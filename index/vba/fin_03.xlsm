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vk\test\vba\"/>
    </mc:Choice>
  </mc:AlternateContent>
  <bookViews>
    <workbookView xWindow="930" yWindow="0" windowWidth="27870" windowHeight="13020" activeTab="1"/>
  </bookViews>
  <sheets>
    <sheet name="share" sheetId="9" r:id="rId1"/>
    <sheet name="cmp" sheetId="16" r:id="rId2"/>
    <sheet name="t" sheetId="14" r:id="rId3"/>
    <sheet name="$-Ru" sheetId="2" r:id="rId4"/>
  </sheets>
  <functionGroups builtInGroupCount="18"/>
  <externalReferences>
    <externalReference r:id="rId5"/>
  </externalReferences>
  <definedNames>
    <definedName name="data_1" localSheetId="2">t!#REF!</definedName>
    <definedName name="data_13" localSheetId="2">t!$BF$3:$BL$210</definedName>
    <definedName name="data_14" localSheetId="2">t!$BF$3:$BL$210</definedName>
    <definedName name="data_15" localSheetId="2">t!$BF$3:$BL$210</definedName>
    <definedName name="data_16" localSheetId="2">t!$BF$3:$BL$210</definedName>
    <definedName name="data_17" localSheetId="2">t!$BF$3:$BL$210</definedName>
    <definedName name="data_2" localSheetId="2">t!$BN$2:$BT$23</definedName>
    <definedName name="data_3" localSheetId="2">t!$BG$2:$BM$23</definedName>
    <definedName name="data_4" localSheetId="2">t!$BG$2:$BM$23</definedName>
    <definedName name="data_5" localSheetId="2">t!$BG$2:$BM$23</definedName>
    <definedName name="data_6" localSheetId="2">t!$BG$2:$BG$209</definedName>
    <definedName name="data_7" localSheetId="2">t!$BG$3:$BG$210</definedName>
    <definedName name="data_t" localSheetId="2">t!$A$2:$G$23</definedName>
    <definedName name="data_t_1" localSheetId="2">t!$AJ$2:$AP$44</definedName>
    <definedName name="data_t_10" localSheetId="2">t!$A$2:$G$23</definedName>
    <definedName name="data_t_11" localSheetId="2">t!$A$2:$G$23</definedName>
    <definedName name="data_t_12" localSheetId="2">t!$A$2:$G$23</definedName>
    <definedName name="data_t_13" localSheetId="2">t!$A$2:$G$23</definedName>
    <definedName name="data_t_14" localSheetId="2">t!$A$2:$G$23</definedName>
    <definedName name="data_t_15" localSheetId="2">t!$A$2:$G$23</definedName>
    <definedName name="data_t_16" localSheetId="2">t!$A$2:$G$23</definedName>
    <definedName name="data_t_17" localSheetId="2">t!$A$2:$G$23</definedName>
    <definedName name="data_t_18" localSheetId="2">t!$A$2:$G$23</definedName>
    <definedName name="data_t_19" localSheetId="2">t!$A$2:$G$23</definedName>
    <definedName name="data_t_2" localSheetId="2">t!$AC$2:$AI$23</definedName>
    <definedName name="data_t_20" localSheetId="2">t!$A$2:$G$23</definedName>
    <definedName name="data_t_21" localSheetId="2">t!$A$2:$G$23</definedName>
    <definedName name="data_t_22" localSheetId="2">t!$A$2:$G$23</definedName>
    <definedName name="data_t_23" localSheetId="2">t!$A$2:$G$23</definedName>
    <definedName name="data_t_24" localSheetId="2">t!$A$2:$G$23</definedName>
    <definedName name="data_t_25" localSheetId="2">t!$A$2:$G$23</definedName>
    <definedName name="data_t_26" localSheetId="2">t!$A$2:$G$23</definedName>
    <definedName name="data_t_27" localSheetId="2">t!$A$2:$G$23</definedName>
    <definedName name="data_t_28" localSheetId="2">t!$A$2:$G$23</definedName>
    <definedName name="data_t_29" localSheetId="2">t!$A$2:$G$23</definedName>
    <definedName name="data_t_3" localSheetId="2">t!$V$2:$AB$44</definedName>
    <definedName name="data_t_30" localSheetId="2">t!$A$2:$G$23</definedName>
    <definedName name="data_t_31" localSheetId="2">t!$A$2:$G$23</definedName>
    <definedName name="data_t_32" localSheetId="2">t!$A$2:$G$23</definedName>
    <definedName name="data_t_33" localSheetId="2">t!$A$2:$G$23</definedName>
    <definedName name="data_t_34" localSheetId="2">t!$A$2:$G$23</definedName>
    <definedName name="data_t_35" localSheetId="2">t!$A$2:$G$23</definedName>
    <definedName name="data_t_36" localSheetId="2">t!$A$2:$G$23</definedName>
    <definedName name="data_t_37" localSheetId="2">t!$A$2:$G$23</definedName>
    <definedName name="data_t_38" localSheetId="2">t!$A$2:$G$23</definedName>
    <definedName name="data_t_39" localSheetId="2">t!$A$2:$G$23</definedName>
    <definedName name="data_t_4" localSheetId="2">t!$O$2:$U$44</definedName>
    <definedName name="data_t_40" localSheetId="2">t!$A$2:$G$477</definedName>
    <definedName name="data_t_41" localSheetId="2">t!$A$2:$G$23</definedName>
    <definedName name="data_t_42" localSheetId="2">t!$A$2:$G$23</definedName>
    <definedName name="data_t_43" localSheetId="2">t!$A$2:$G$23</definedName>
    <definedName name="data_t_44" localSheetId="2">t!$A$2:$G$23</definedName>
    <definedName name="data_t_45" localSheetId="2">t!$A$2:$G$23</definedName>
    <definedName name="data_t_46" localSheetId="2">t!$A$2:$G$23</definedName>
    <definedName name="data_t_47" localSheetId="2">t!$A$2:$G$23</definedName>
    <definedName name="data_t_48" localSheetId="2">t!$A$2:$G$23</definedName>
    <definedName name="data_t_49" localSheetId="2">t!$A$2:$G$23</definedName>
    <definedName name="data_t_5" localSheetId="2">t!$H$2:$N$23</definedName>
    <definedName name="data_t_50" localSheetId="2">t!$A$2:$G$23</definedName>
    <definedName name="data_t_51" localSheetId="2">t!$A$2:$G$23</definedName>
    <definedName name="data_t_52" localSheetId="2">t!$A$2:$G$23</definedName>
    <definedName name="data_t_53" localSheetId="2">t!$A$2:$G$23</definedName>
    <definedName name="data_t_54" localSheetId="2">t!$A$2:$G$23</definedName>
    <definedName name="data_t_55" localSheetId="2">t!$A$2:$G$23</definedName>
    <definedName name="data_t_56" localSheetId="2">t!$A$2:$G$23</definedName>
    <definedName name="data_t_57" localSheetId="2">t!$A$2:$G$23</definedName>
    <definedName name="data_t_58" localSheetId="2">t!$A$2:$G$23</definedName>
    <definedName name="data_t_59" localSheetId="2">t!$A$2:$G$23</definedName>
    <definedName name="data_t_6" localSheetId="2">t!$A$2:$G$44</definedName>
    <definedName name="data_t_60" localSheetId="2">t!$A$2:$G$23</definedName>
    <definedName name="data_t_61" localSheetId="2">t!$A$2:$G$23</definedName>
    <definedName name="data_t_62" localSheetId="2">t!$A$2:$G$23</definedName>
    <definedName name="data_t_63" localSheetId="2">t!$A$2:$G$23</definedName>
    <definedName name="data_t_64" localSheetId="2">t!$A$2:$G$478</definedName>
    <definedName name="data_t_65" localSheetId="2">t!$A$2:$G$730</definedName>
    <definedName name="data_t_66" localSheetId="2">t!$A$2:$G$479</definedName>
    <definedName name="data_t_67" localSheetId="2">t!$A$2:$G$479</definedName>
    <definedName name="data_t_68" localSheetId="2">t!$A$2:$G$479</definedName>
    <definedName name="data_t_69" localSheetId="2">t!$A$2:$G$480</definedName>
    <definedName name="data_t_7" localSheetId="2">t!$A$2:$G$44</definedName>
    <definedName name="data_t_70" localSheetId="2">t!$A$2:$G$481</definedName>
    <definedName name="data_t_71" localSheetId="2">t!$A$2:$G$731</definedName>
    <definedName name="data_t_72" localSheetId="2">t!$A$2:$G$482</definedName>
    <definedName name="data_t_73" localSheetId="2">t!$A$2:$G$732</definedName>
    <definedName name="data_t_74" localSheetId="2">t!$A$2:$G$483</definedName>
    <definedName name="data_t_75" localSheetId="2">t!$A$2:$G$523</definedName>
    <definedName name="data_t_76" localSheetId="2">t!$A$2:$G$734</definedName>
    <definedName name="data_t_77" localSheetId="2">t!$A$2:$G$483</definedName>
    <definedName name="data_t_78" localSheetId="2">t!$A$2:$G$763</definedName>
    <definedName name="data_t_8" localSheetId="2">t!$A$2:$G$23</definedName>
    <definedName name="data_t_9" localSheetId="2">t!$A$2:$G$23</definedName>
    <definedName name="Прошлые_данные___T_1" localSheetId="2">t!#REF!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16" l="1"/>
  <c r="Q6" i="16"/>
  <c r="P6" i="16"/>
  <c r="P5" i="16"/>
  <c r="P9" i="16" s="1"/>
  <c r="Q5" i="16"/>
  <c r="Q9" i="16" s="1"/>
  <c r="R5" i="16"/>
  <c r="R9" i="16" s="1"/>
  <c r="R7" i="16" l="1"/>
  <c r="Q7" i="16"/>
  <c r="P7" i="16"/>
  <c r="W101" i="9"/>
  <c r="Z14" i="9"/>
  <c r="Y14" i="9"/>
  <c r="X14" i="9"/>
  <c r="W14" i="9"/>
  <c r="V14" i="9"/>
  <c r="U14" i="9"/>
  <c r="T14" i="9"/>
  <c r="S14" i="9"/>
  <c r="R14" i="9"/>
  <c r="Q14" i="9"/>
  <c r="P14" i="9"/>
  <c r="O14" i="9"/>
  <c r="Z37" i="9"/>
  <c r="Y37" i="9"/>
  <c r="X37" i="9"/>
  <c r="W37" i="9"/>
  <c r="V37" i="9"/>
  <c r="U37" i="9"/>
  <c r="T37" i="9"/>
  <c r="S37" i="9"/>
  <c r="R37" i="9"/>
  <c r="Q37" i="9"/>
  <c r="P37" i="9"/>
  <c r="O37" i="9"/>
  <c r="Z58" i="9"/>
  <c r="Z59" i="9" s="1"/>
  <c r="Z57" i="9"/>
  <c r="Z55" i="9"/>
  <c r="Z53" i="9"/>
  <c r="Z50" i="9"/>
  <c r="Z51" i="9" s="1"/>
  <c r="Y58" i="9"/>
  <c r="X58" i="9"/>
  <c r="W58" i="9"/>
  <c r="V58" i="9"/>
  <c r="U58" i="9"/>
  <c r="T58" i="9"/>
  <c r="S58" i="9"/>
  <c r="R58" i="9"/>
  <c r="Q58" i="9"/>
  <c r="P58" i="9"/>
  <c r="O58" i="9"/>
  <c r="Z79" i="9" l="1"/>
  <c r="Y79" i="9"/>
  <c r="X79" i="9"/>
  <c r="W79" i="9"/>
  <c r="V79" i="9"/>
  <c r="U79" i="9"/>
  <c r="T79" i="9"/>
  <c r="S79" i="9"/>
  <c r="R79" i="9"/>
  <c r="Q79" i="9"/>
  <c r="P79" i="9"/>
  <c r="O79" i="9"/>
  <c r="W102" i="9"/>
  <c r="O101" i="9"/>
  <c r="O102" i="9" s="1"/>
  <c r="O93" i="9"/>
  <c r="O94" i="9" s="1"/>
  <c r="O100" i="9"/>
  <c r="O98" i="9"/>
  <c r="O96" i="9"/>
  <c r="P101" i="9"/>
  <c r="P102" i="9" s="1"/>
  <c r="P93" i="9"/>
  <c r="P94" i="9" s="1"/>
  <c r="P100" i="9"/>
  <c r="P98" i="9"/>
  <c r="P96" i="9"/>
  <c r="Q101" i="9"/>
  <c r="Q102" i="9" s="1"/>
  <c r="Q93" i="9"/>
  <c r="Q94" i="9" s="1"/>
  <c r="Q100" i="9"/>
  <c r="Q98" i="9"/>
  <c r="Q96" i="9"/>
  <c r="R101" i="9"/>
  <c r="R102" i="9" s="1"/>
  <c r="R93" i="9"/>
  <c r="R94" i="9" s="1"/>
  <c r="R100" i="9"/>
  <c r="R98" i="9"/>
  <c r="R96" i="9"/>
  <c r="S101" i="9"/>
  <c r="S102" i="9" s="1"/>
  <c r="S93" i="9"/>
  <c r="S94" i="9"/>
  <c r="S100" i="9"/>
  <c r="S98" i="9"/>
  <c r="S96" i="9"/>
  <c r="T101" i="9"/>
  <c r="T102" i="9" s="1"/>
  <c r="T93" i="9"/>
  <c r="T94" i="9" s="1"/>
  <c r="T100" i="9"/>
  <c r="T98" i="9"/>
  <c r="T96" i="9"/>
  <c r="U101" i="9"/>
  <c r="U102" i="9" s="1"/>
  <c r="Z101" i="9"/>
  <c r="Z102" i="9" s="1"/>
  <c r="Y101" i="9"/>
  <c r="Y102" i="9" s="1"/>
  <c r="X101" i="9"/>
  <c r="X102" i="9" s="1"/>
  <c r="V101" i="9"/>
  <c r="V102" i="9" s="1"/>
  <c r="U93" i="9"/>
  <c r="U94" i="9" s="1"/>
  <c r="U100" i="9"/>
  <c r="U98" i="9"/>
  <c r="U96" i="9"/>
  <c r="V93" i="9"/>
  <c r="V94" i="9" s="1"/>
  <c r="V100" i="9"/>
  <c r="V98" i="9"/>
  <c r="V96" i="9"/>
  <c r="W93" i="9"/>
  <c r="W94" i="9" s="1"/>
  <c r="W100" i="9"/>
  <c r="W98" i="9"/>
  <c r="W96" i="9"/>
  <c r="X93" i="9"/>
  <c r="X100" i="9"/>
  <c r="X98" i="9"/>
  <c r="X96" i="9"/>
  <c r="X94" i="9"/>
  <c r="Z100" i="9"/>
  <c r="Z98" i="9"/>
  <c r="Z96" i="9"/>
  <c r="Z93" i="9"/>
  <c r="Z94" i="9" s="1"/>
  <c r="Y93" i="9"/>
  <c r="Y94" i="9" s="1"/>
  <c r="Y100" i="9"/>
  <c r="Y98" i="9"/>
  <c r="Y96" i="9"/>
  <c r="Z38" i="9" l="1"/>
  <c r="Z36" i="9"/>
  <c r="Z34" i="9"/>
  <c r="Z32" i="9"/>
  <c r="Z30" i="9"/>
  <c r="S76" i="9"/>
  <c r="U72" i="9"/>
  <c r="Z80" i="9" l="1"/>
  <c r="Z78" i="9"/>
  <c r="Z76" i="9"/>
  <c r="Z74" i="9"/>
  <c r="Z72" i="9"/>
  <c r="Y80" i="9"/>
  <c r="Y78" i="9"/>
  <c r="Y76" i="9"/>
  <c r="Y74" i="9"/>
  <c r="Y72" i="9"/>
  <c r="X80" i="9" l="1"/>
  <c r="W80" i="9"/>
  <c r="V80" i="9"/>
  <c r="U80" i="9"/>
  <c r="T80" i="9"/>
  <c r="S80" i="9"/>
  <c r="R80" i="9"/>
  <c r="Q80" i="9"/>
  <c r="P80" i="9"/>
  <c r="O80" i="9"/>
  <c r="X78" i="9"/>
  <c r="W78" i="9"/>
  <c r="V78" i="9"/>
  <c r="U78" i="9"/>
  <c r="T78" i="9"/>
  <c r="S78" i="9"/>
  <c r="R78" i="9"/>
  <c r="Q78" i="9"/>
  <c r="P78" i="9"/>
  <c r="O78" i="9"/>
  <c r="X76" i="9"/>
  <c r="W76" i="9"/>
  <c r="V76" i="9"/>
  <c r="U76" i="9"/>
  <c r="T76" i="9"/>
  <c r="R76" i="9"/>
  <c r="Q76" i="9"/>
  <c r="P76" i="9"/>
  <c r="O76" i="9"/>
  <c r="X74" i="9"/>
  <c r="W74" i="9"/>
  <c r="V74" i="9"/>
  <c r="U74" i="9"/>
  <c r="T74" i="9"/>
  <c r="S74" i="9"/>
  <c r="R74" i="9"/>
  <c r="Q74" i="9"/>
  <c r="P74" i="9"/>
  <c r="O74" i="9"/>
  <c r="V72" i="9"/>
  <c r="X72" i="9"/>
  <c r="W72" i="9"/>
  <c r="T72" i="9"/>
  <c r="S72" i="9"/>
  <c r="R72" i="9"/>
  <c r="Q72" i="9"/>
  <c r="P72" i="9"/>
  <c r="O72" i="9"/>
  <c r="O50" i="9" l="1"/>
  <c r="O59" i="9"/>
  <c r="O57" i="9"/>
  <c r="O55" i="9"/>
  <c r="O53" i="9"/>
  <c r="O51" i="9"/>
  <c r="P50" i="9"/>
  <c r="P51" i="9" s="1"/>
  <c r="P59" i="9"/>
  <c r="P57" i="9"/>
  <c r="P55" i="9"/>
  <c r="P53" i="9"/>
  <c r="Q50" i="9"/>
  <c r="Q51" i="9" s="1"/>
  <c r="Q59" i="9"/>
  <c r="Q57" i="9"/>
  <c r="Q55" i="9"/>
  <c r="Q53" i="9"/>
  <c r="R50" i="9"/>
  <c r="R51" i="9" s="1"/>
  <c r="R59" i="9"/>
  <c r="R57" i="9"/>
  <c r="R55" i="9"/>
  <c r="R53" i="9"/>
  <c r="S50" i="9"/>
  <c r="S51" i="9" s="1"/>
  <c r="S59" i="9"/>
  <c r="S57" i="9"/>
  <c r="S55" i="9"/>
  <c r="S53" i="9"/>
  <c r="T50" i="9"/>
  <c r="T51" i="9" s="1"/>
  <c r="T59" i="9"/>
  <c r="T57" i="9"/>
  <c r="T55" i="9"/>
  <c r="T53" i="9"/>
  <c r="U50" i="9"/>
  <c r="U51" i="9" s="1"/>
  <c r="U59" i="9"/>
  <c r="U57" i="9"/>
  <c r="U55" i="9"/>
  <c r="U53" i="9"/>
  <c r="V50" i="9"/>
  <c r="V51" i="9" s="1"/>
  <c r="V59" i="9"/>
  <c r="V57" i="9"/>
  <c r="V55" i="9"/>
  <c r="V53" i="9"/>
  <c r="W50" i="9"/>
  <c r="W51" i="9" s="1"/>
  <c r="W59" i="9"/>
  <c r="W57" i="9"/>
  <c r="W55" i="9"/>
  <c r="W53" i="9"/>
  <c r="X50" i="9"/>
  <c r="X51" i="9" s="1"/>
  <c r="X53" i="9"/>
  <c r="X55" i="9"/>
  <c r="X57" i="9"/>
  <c r="Y59" i="9"/>
  <c r="X59" i="9"/>
  <c r="Y50" i="9"/>
  <c r="Y51" i="9" s="1"/>
  <c r="Y57" i="9"/>
  <c r="Y55" i="9"/>
  <c r="Y53" i="9"/>
  <c r="V17" i="2" l="1"/>
  <c r="V16" i="2"/>
  <c r="V15" i="2"/>
  <c r="V14" i="2"/>
  <c r="V13" i="2"/>
  <c r="V12" i="2"/>
  <c r="V36" i="2"/>
  <c r="R38" i="9" l="1"/>
  <c r="S38" i="9"/>
  <c r="T38" i="9"/>
  <c r="U38" i="9"/>
  <c r="Y38" i="9"/>
  <c r="Y36" i="9"/>
  <c r="Y34" i="9"/>
  <c r="Y32" i="9"/>
  <c r="Y30" i="9"/>
  <c r="X38" i="9"/>
  <c r="W38" i="9"/>
  <c r="V38" i="9"/>
  <c r="Q38" i="9"/>
  <c r="P38" i="9"/>
  <c r="O38" i="9"/>
  <c r="X36" i="9"/>
  <c r="W36" i="9"/>
  <c r="V36" i="9"/>
  <c r="U36" i="9"/>
  <c r="T36" i="9"/>
  <c r="S36" i="9"/>
  <c r="R36" i="9"/>
  <c r="Q36" i="9"/>
  <c r="P36" i="9"/>
  <c r="O36" i="9"/>
  <c r="X34" i="9"/>
  <c r="W34" i="9"/>
  <c r="V34" i="9"/>
  <c r="U34" i="9"/>
  <c r="T34" i="9"/>
  <c r="S34" i="9"/>
  <c r="R34" i="9"/>
  <c r="Q34" i="9"/>
  <c r="P34" i="9"/>
  <c r="O34" i="9"/>
  <c r="X32" i="9"/>
  <c r="W32" i="9"/>
  <c r="V32" i="9"/>
  <c r="U32" i="9"/>
  <c r="T32" i="9"/>
  <c r="S32" i="9"/>
  <c r="R32" i="9"/>
  <c r="Q32" i="9"/>
  <c r="P32" i="9"/>
  <c r="O32" i="9"/>
  <c r="X30" i="9"/>
  <c r="W30" i="9"/>
  <c r="V30" i="9"/>
  <c r="U30" i="9"/>
  <c r="T30" i="9"/>
  <c r="S30" i="9"/>
  <c r="R30" i="9"/>
  <c r="Q30" i="9"/>
  <c r="P30" i="9"/>
  <c r="O30" i="9"/>
  <c r="O6" i="9" l="1"/>
  <c r="O7" i="9" s="1"/>
  <c r="P6" i="9"/>
  <c r="P7" i="9" s="1"/>
  <c r="O11" i="9"/>
  <c r="P11" i="9"/>
  <c r="O9" i="9"/>
  <c r="P9" i="9"/>
  <c r="O13" i="9"/>
  <c r="P13" i="9"/>
  <c r="O15" i="9"/>
  <c r="P15" i="9"/>
  <c r="Q6" i="9"/>
  <c r="Q7" i="9" s="1"/>
  <c r="Q9" i="9"/>
  <c r="Q11" i="9"/>
  <c r="Q13" i="9"/>
  <c r="Q15" i="9"/>
  <c r="R6" i="9"/>
  <c r="R7" i="9" s="1"/>
  <c r="R9" i="9"/>
  <c r="R11" i="9"/>
  <c r="R13" i="9"/>
  <c r="R15" i="9"/>
  <c r="S6" i="9"/>
  <c r="S7" i="9" s="1"/>
  <c r="S9" i="9"/>
  <c r="S13" i="9"/>
  <c r="S11" i="9"/>
  <c r="S15" i="9"/>
  <c r="T6" i="9"/>
  <c r="T7" i="9" s="1"/>
  <c r="T13" i="9"/>
  <c r="T9" i="9"/>
  <c r="T11" i="9"/>
  <c r="T15" i="9"/>
  <c r="U11" i="9"/>
  <c r="U9" i="9"/>
  <c r="U6" i="9"/>
  <c r="U7" i="9" s="1"/>
  <c r="U13" i="9"/>
  <c r="U15" i="9"/>
  <c r="V9" i="9"/>
  <c r="V11" i="9"/>
  <c r="W11" i="9"/>
  <c r="X11" i="9"/>
  <c r="V6" i="9"/>
  <c r="V7" i="9" s="1"/>
  <c r="V13" i="9"/>
  <c r="V15" i="9"/>
  <c r="X9" i="9"/>
  <c r="Y11" i="9"/>
  <c r="Z11" i="9"/>
  <c r="W9" i="9"/>
  <c r="W6" i="9"/>
  <c r="W7" i="9" s="1"/>
  <c r="W15" i="9"/>
  <c r="X6" i="9"/>
  <c r="X7" i="9" s="1"/>
  <c r="X15" i="9"/>
  <c r="Y9" i="9"/>
  <c r="Z8" i="9"/>
  <c r="Z9" i="9" s="1"/>
  <c r="Y6" i="9"/>
  <c r="Y7" i="9" s="1"/>
  <c r="Y15" i="9"/>
  <c r="Z15" i="9"/>
  <c r="Z6" i="9"/>
  <c r="Z7" i="9" s="1"/>
  <c r="Z13" i="9"/>
  <c r="Y13" i="9"/>
  <c r="X13" i="9"/>
  <c r="W13" i="9"/>
  <c r="S43" i="2" l="1"/>
  <c r="Q43" i="2"/>
  <c r="O43" i="2"/>
  <c r="M42" i="2"/>
  <c r="L42" i="2"/>
  <c r="K42" i="2"/>
  <c r="J42" i="2"/>
  <c r="I42" i="2"/>
  <c r="H42" i="2"/>
  <c r="G42" i="2"/>
  <c r="F42" i="2"/>
  <c r="E42" i="2"/>
  <c r="D42" i="2"/>
  <c r="C42" i="2"/>
  <c r="B42" i="2"/>
  <c r="S41" i="2"/>
  <c r="Q41" i="2"/>
  <c r="O41" i="2"/>
  <c r="M40" i="2"/>
  <c r="L40" i="2"/>
  <c r="K40" i="2"/>
  <c r="J40" i="2"/>
  <c r="I40" i="2"/>
  <c r="H40" i="2"/>
  <c r="G40" i="2"/>
  <c r="F40" i="2"/>
  <c r="E40" i="2"/>
  <c r="D40" i="2"/>
  <c r="C40" i="2"/>
  <c r="B40" i="2"/>
  <c r="S39" i="2"/>
  <c r="Q39" i="2"/>
  <c r="O39" i="2"/>
  <c r="M38" i="2"/>
  <c r="L38" i="2"/>
  <c r="K38" i="2"/>
  <c r="J38" i="2"/>
  <c r="I38" i="2"/>
  <c r="H38" i="2"/>
  <c r="G38" i="2"/>
  <c r="F38" i="2"/>
  <c r="E38" i="2"/>
  <c r="D38" i="2"/>
  <c r="C38" i="2"/>
  <c r="B38" i="2"/>
  <c r="S37" i="2"/>
  <c r="Q37" i="2"/>
  <c r="O37" i="2"/>
  <c r="M36" i="2"/>
  <c r="L36" i="2"/>
  <c r="K36" i="2"/>
  <c r="J36" i="2"/>
  <c r="I36" i="2"/>
  <c r="H36" i="2"/>
  <c r="G36" i="2"/>
  <c r="F36" i="2"/>
  <c r="E36" i="2"/>
  <c r="D36" i="2"/>
  <c r="C36" i="2"/>
  <c r="B36" i="2"/>
  <c r="S35" i="2"/>
  <c r="Q35" i="2"/>
  <c r="O35" i="2"/>
  <c r="M34" i="2"/>
  <c r="L34" i="2"/>
  <c r="K34" i="2"/>
  <c r="J34" i="2"/>
  <c r="I34" i="2"/>
  <c r="H34" i="2"/>
  <c r="G34" i="2"/>
  <c r="F34" i="2"/>
  <c r="E34" i="2"/>
  <c r="D34" i="2"/>
  <c r="C34" i="2"/>
  <c r="B34" i="2"/>
  <c r="S33" i="2"/>
  <c r="Q33" i="2"/>
  <c r="O33" i="2"/>
  <c r="M32" i="2"/>
  <c r="L32" i="2"/>
  <c r="K32" i="2"/>
  <c r="J32" i="2"/>
  <c r="I32" i="2"/>
  <c r="H32" i="2"/>
  <c r="G32" i="2"/>
  <c r="F32" i="2"/>
  <c r="E32" i="2"/>
  <c r="D32" i="2"/>
  <c r="C32" i="2"/>
  <c r="B32" i="2"/>
  <c r="S31" i="2"/>
  <c r="Q31" i="2"/>
  <c r="O31" i="2"/>
  <c r="M30" i="2"/>
  <c r="L30" i="2"/>
  <c r="K30" i="2"/>
  <c r="J30" i="2"/>
  <c r="I30" i="2"/>
  <c r="H30" i="2"/>
  <c r="G30" i="2"/>
  <c r="F30" i="2"/>
  <c r="E30" i="2"/>
  <c r="D30" i="2"/>
  <c r="C30" i="2"/>
  <c r="B30" i="2"/>
  <c r="S29" i="2"/>
  <c r="Q29" i="2"/>
  <c r="O29" i="2"/>
  <c r="M28" i="2"/>
  <c r="L28" i="2"/>
  <c r="K28" i="2"/>
  <c r="J28" i="2"/>
  <c r="I28" i="2"/>
  <c r="H28" i="2"/>
  <c r="G28" i="2"/>
  <c r="F28" i="2"/>
  <c r="E28" i="2"/>
  <c r="D28" i="2"/>
  <c r="C28" i="2"/>
  <c r="B28" i="2"/>
  <c r="S27" i="2"/>
  <c r="Q27" i="2"/>
  <c r="O27" i="2"/>
  <c r="M26" i="2"/>
  <c r="L26" i="2"/>
  <c r="K26" i="2"/>
  <c r="J26" i="2"/>
  <c r="I26" i="2"/>
  <c r="H26" i="2"/>
  <c r="G26" i="2"/>
  <c r="F26" i="2"/>
  <c r="E26" i="2"/>
  <c r="D26" i="2"/>
  <c r="C26" i="2"/>
  <c r="B26" i="2"/>
  <c r="S25" i="2"/>
  <c r="Q25" i="2"/>
  <c r="O25" i="2"/>
  <c r="M24" i="2"/>
  <c r="L24" i="2"/>
  <c r="K24" i="2"/>
  <c r="J24" i="2"/>
  <c r="I24" i="2"/>
  <c r="H24" i="2"/>
  <c r="G24" i="2"/>
  <c r="F24" i="2"/>
  <c r="E24" i="2"/>
  <c r="D24" i="2"/>
  <c r="C24" i="2"/>
  <c r="B24" i="2"/>
  <c r="S23" i="2"/>
  <c r="Q23" i="2"/>
  <c r="O23" i="2"/>
  <c r="M22" i="2"/>
  <c r="L22" i="2"/>
  <c r="K22" i="2"/>
  <c r="J22" i="2"/>
  <c r="I22" i="2"/>
  <c r="H22" i="2"/>
  <c r="G22" i="2"/>
  <c r="F22" i="2"/>
  <c r="E22" i="2"/>
  <c r="D22" i="2"/>
  <c r="C22" i="2"/>
  <c r="B22" i="2"/>
  <c r="S21" i="2"/>
  <c r="Q21" i="2"/>
  <c r="O21" i="2"/>
  <c r="M20" i="2"/>
  <c r="L20" i="2"/>
  <c r="K20" i="2"/>
  <c r="J20" i="2"/>
  <c r="I20" i="2"/>
  <c r="H20" i="2"/>
  <c r="G20" i="2"/>
  <c r="F20" i="2"/>
  <c r="E20" i="2"/>
  <c r="D20" i="2"/>
  <c r="C20" i="2"/>
  <c r="B20" i="2"/>
  <c r="S19" i="2"/>
  <c r="Q19" i="2"/>
  <c r="O19" i="2"/>
  <c r="M18" i="2"/>
  <c r="L18" i="2"/>
  <c r="K18" i="2"/>
  <c r="J18" i="2"/>
  <c r="I18" i="2"/>
  <c r="H18" i="2"/>
  <c r="G18" i="2"/>
  <c r="F18" i="2"/>
  <c r="E18" i="2"/>
  <c r="D18" i="2"/>
  <c r="C18" i="2"/>
  <c r="B18" i="2"/>
  <c r="S17" i="2"/>
  <c r="Q17" i="2"/>
  <c r="O17" i="2"/>
  <c r="M16" i="2"/>
  <c r="L16" i="2"/>
  <c r="K16" i="2"/>
  <c r="J16" i="2"/>
  <c r="I16" i="2"/>
  <c r="H16" i="2"/>
  <c r="G16" i="2"/>
  <c r="F16" i="2"/>
  <c r="E16" i="2"/>
  <c r="D16" i="2"/>
  <c r="C16" i="2"/>
  <c r="B16" i="2"/>
  <c r="S15" i="2"/>
  <c r="Q15" i="2"/>
  <c r="O15" i="2"/>
  <c r="M14" i="2"/>
  <c r="L14" i="2"/>
  <c r="K14" i="2"/>
  <c r="J14" i="2"/>
  <c r="I14" i="2"/>
  <c r="H14" i="2"/>
  <c r="G14" i="2"/>
  <c r="F14" i="2"/>
  <c r="E14" i="2"/>
  <c r="D14" i="2"/>
  <c r="C14" i="2"/>
  <c r="B14" i="2"/>
  <c r="S13" i="2"/>
  <c r="Q13" i="2"/>
  <c r="O13" i="2"/>
  <c r="M12" i="2"/>
  <c r="L12" i="2"/>
  <c r="K12" i="2"/>
  <c r="J12" i="2"/>
  <c r="I12" i="2"/>
  <c r="H12" i="2"/>
  <c r="G12" i="2"/>
  <c r="F12" i="2"/>
  <c r="E12" i="2"/>
  <c r="D12" i="2"/>
  <c r="C12" i="2"/>
  <c r="B12" i="2"/>
  <c r="S11" i="2"/>
  <c r="Q11" i="2"/>
  <c r="O11" i="2"/>
  <c r="M10" i="2"/>
  <c r="L10" i="2"/>
  <c r="K10" i="2"/>
  <c r="J10" i="2"/>
  <c r="I10" i="2"/>
  <c r="H10" i="2"/>
  <c r="G10" i="2"/>
  <c r="F10" i="2"/>
  <c r="E10" i="2"/>
  <c r="D10" i="2"/>
  <c r="C10" i="2"/>
  <c r="B10" i="2"/>
  <c r="S9" i="2"/>
  <c r="Q9" i="2"/>
  <c r="O9" i="2"/>
  <c r="M8" i="2"/>
  <c r="L8" i="2"/>
  <c r="K8" i="2"/>
  <c r="J8" i="2"/>
  <c r="I8" i="2"/>
  <c r="H8" i="2"/>
  <c r="G8" i="2"/>
  <c r="F8" i="2"/>
  <c r="E8" i="2"/>
  <c r="D8" i="2"/>
  <c r="C8" i="2"/>
  <c r="B8" i="2"/>
  <c r="S7" i="2"/>
  <c r="Q7" i="2"/>
  <c r="O7" i="2"/>
  <c r="M6" i="2"/>
  <c r="L6" i="2"/>
  <c r="K6" i="2"/>
  <c r="J6" i="2"/>
  <c r="I6" i="2"/>
  <c r="H6" i="2"/>
  <c r="G6" i="2"/>
  <c r="F6" i="2"/>
  <c r="E6" i="2"/>
  <c r="D6" i="2"/>
  <c r="C6" i="2"/>
  <c r="B6" i="2"/>
  <c r="M4" i="2"/>
  <c r="L4" i="2"/>
  <c r="K4" i="2"/>
  <c r="J4" i="2"/>
  <c r="I4" i="2"/>
  <c r="H4" i="2"/>
  <c r="G4" i="2"/>
  <c r="F4" i="2"/>
  <c r="E4" i="2"/>
  <c r="D4" i="2"/>
  <c r="C4" i="2"/>
  <c r="S3" i="2"/>
  <c r="Q3" i="2"/>
  <c r="O3" i="2"/>
  <c r="M3" i="2"/>
  <c r="L3" i="2"/>
  <c r="K3" i="2"/>
  <c r="J3" i="2"/>
  <c r="I3" i="2"/>
  <c r="H3" i="2"/>
  <c r="G3" i="2"/>
  <c r="F3" i="2"/>
  <c r="E3" i="2"/>
  <c r="D3" i="2"/>
  <c r="C3" i="2"/>
  <c r="B3" i="2"/>
</calcChain>
</file>

<file path=xl/connections.xml><?xml version="1.0" encoding="utf-8"?>
<connections xmlns="http://schemas.openxmlformats.org/spreadsheetml/2006/main">
  <connection id="1" name="Прошлые данные - GAZP" type="6" refreshedVersion="5" background="1" saveData="1">
    <textPr prompt="0" codePage="65001" sourceFile="C:\avk\test\vba\Прошлые данные - GAZP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2" name="Прошлые данные - GAZP1" type="6" refreshedVersion="5" background="1" saveData="1">
    <textPr prompt="0" codePage="65001" sourceFile="C:\avk\test\vba\Прошлые данные - GAZP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" name="Прошлые данные - KO" type="6" refreshedVersion="5" background="1" saveData="1">
    <textPr prompt="0" codePage="65001" sourceFile="C:\avk\test\vba\Прошлые данные - KO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" name="Прошлые данные - LKOH" type="6" refreshedVersion="5" background="1" saveData="1">
    <textPr prompt="0" codePage="65001" sourceFile="C:\avk\test\vba\Прошлые данные - LKOH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" name="Прошлые данные - M" type="6" refreshedVersion="5" background="1" saveData="1">
    <textPr prompt="0" codePage="65001" sourceFile="C:\avk\test\vba\Прошлые данные - M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" name="Прошлые данные - M1" type="6" refreshedVersion="5" background="1" saveData="1">
    <textPr prompt="0" codePage="65001" sourceFile="C:\avk\test\vba\Прошлые данные - M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7" name="Прошлые данные - T" type="6" refreshedVersion="5" background="1" saveData="1">
    <textPr prompt="0" codePage="65001" sourceFile="\\mow.boeing.ru\dfs\Home2\gj284c\Downloads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" name="Прошлые данные - T (4)" type="6" refreshedVersion="5" background="1" saveData="1">
    <textPr prompt="0" codePage="65001" sourceFile="C:\avk\test\vba\Прошлые данные - T (4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9" name="Прошлые данные - T(1)" type="6" refreshedVersion="5" background="1" saveData="1">
    <textPr prompt="0" codePage="65001" sourceFile="\\mow.boeing.ru\dfs\Home2\gj284c\Downloads\Прошлые данные - T(1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0" name="Прошлые данные - T(1)1" type="6" refreshedVersion="5" background="1" saveData="1">
    <textPr prompt="0" codePage="65001" sourceFile="\\mow.boeing.ru\dfs\Home2\gj284c\Downloads\Прошлые данные - T(1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1" name="Прошлые данные - T(1)2" type="6" refreshedVersion="5" background="1" saveData="1">
    <textPr prompt="0" codePage="65001" sourceFile="\\mow.boeing.ru\dfs\Home2\gj284c\Downloads\Прошлые данные - T(1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2" name="Прошлые данные - T(1)3" type="6" refreshedVersion="5" background="1" saveData="1">
    <textPr prompt="0" codePage="65001" sourceFile="\\mow.boeing.ru\dfs\Home2\gj284c\Downloads\Прошлые данные - T(1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3" name="Прошлые данные - T(1)4" type="6" refreshedVersion="5" background="1" saveData="1">
    <textPr prompt="0" codePage="65001" sourceFile="\\mow.boeing.ru\dfs\Home2\gj284c\Downloads\Прошлые данные - T(1)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4" name="Прошлые данные - T1" type="6" refreshedVersion="5" background="1" saveData="1">
    <textPr prompt="0" codePage="65001" sourceFile="\\mow.boeing.ru\dfs\Home2\gj284c\Downloads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5" name="Прошлые данные - T1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6" name="Прошлые данные - T1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7" name="Прошлые данные - T1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8" name="Прошлые данные - T1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19" name="Прошлые данные - T14" type="6" refreshedVersion="5" background="1" saveData="1">
    <textPr prompt="0" codePage="1251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20" name="Прошлые данные - T15" type="6" refreshedVersion="5" background="1" saveData="1">
    <textPr prompt="0" codePage="1251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21" name="Прошлые данные - T16" type="6" refreshedVersion="5" background="1" saveData="1">
    <textPr prompt="0" codePage="1251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22" name="Прошлые данные - T17" type="6" refreshedVersion="5" background="1" saveData="1">
    <textPr prompt="0" codePage="1251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23" name="Прошлые данные - T18" type="6" refreshedVersion="5" background="1" saveData="1">
    <textPr prompt="0" codePage="1251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24" name="Прошлые данные - T19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25" name="Прошлые данные - T2" type="6" refreshedVersion="5" background="1" saveData="1">
    <textPr prompt="0" codePage="65001" sourceFile="C:\avk\test\vba\Прошлые данные - T.csv" decimal="," thousands="." comma="1">
      <textFields count="7">
        <textField/>
        <textField/>
        <textField/>
        <textField/>
        <textField/>
        <textField/>
        <textField/>
      </textFields>
    </textPr>
  </connection>
  <connection id="26" name="Прошлые данные - T2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27" name="Прошлые данные - T2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28" name="Прошлые данные - T22" type="6" refreshedVersion="0" background="1">
    <textPr prompt="0" sourceFile="\\mow.boeing.ru\dfs\Home2\gj284c\Downloads\Прошлые данные - T.csv">
      <textFields>
        <textField/>
      </textFields>
    </textPr>
  </connection>
  <connection id="29" name="Прошлые данные - T2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0" name="Прошлые данные - T24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1" name="Прошлые данные - T25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2" name="Прошлые данные - T26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3" name="Прошлые данные - T27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4" name="Прошлые данные - T28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5" name="Прошлые данные - T29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6" name="Прошлые данные - T3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37" name="Прошлые данные - T3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8" name="Прошлые данные - T3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39" name="Прошлые данные - T3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0" name="Прошлые данные - T3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1" name="Прошлые данные - T34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2" name="Прошлые данные - T35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3" name="Прошлые данные - T36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4" name="Прошлые данные - T37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5" name="Прошлые данные - T38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6" name="Прошлые данные - T39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7" name="Прошлые данные - T4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48" name="Прошлые данные - T4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49" name="Прошлые данные - T4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0" name="Прошлые данные - T4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1" name="Прошлые данные - T4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2" name="Прошлые данные - T44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3" name="Прошлые данные - T45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4" name="Прошлые данные - T46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5" name="Прошлые данные - T47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6" name="Прошлые данные - T48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7" name="Прошлые данные - T49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58" name="Прошлые данные - T5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59" name="Прошлые данные - T5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0" name="Прошлые данные - T5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1" name="Прошлые данные - T5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2" name="Прошлые данные - T5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3" name="Прошлые данные - T54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4" name="Прошлые данные - T55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5" name="Прошлые данные - T56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6" name="Прошлые данные - T57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7" name="Прошлые данные - T58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8" name="Прошлые данные - T59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69" name="Прошлые данные - T6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70" name="Прошлые данные - T60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71" name="Прошлые данные - T6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72" name="Прошлые данные - T6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73" name="Прошлые данные - T63" type="6" refreshedVersion="0" background="1">
    <textPr prompt="0" sourceFile="C:\avk\test\vba\Прошлые данные - T.csv">
      <textFields>
        <textField/>
      </textFields>
    </textPr>
  </connection>
  <connection id="74" name="Прошлые данные - T64" type="6" refreshedVersion="0" background="1">
    <textPr prompt="0" sourceFile="C:\avk\test\vba\Прошлые данные - T.csv">
      <textFields>
        <textField/>
      </textFields>
    </textPr>
  </connection>
  <connection id="75" name="Прошлые данные - T65" type="6" refreshedVersion="0" background="1">
    <textPr prompt="0" sourceFile="C:\avk\test\vba\Прошлые данные - T.csv">
      <textFields>
        <textField/>
      </textFields>
    </textPr>
  </connection>
  <connection id="76" name="Прошлые данные - T66" type="6" refreshedVersion="0" background="1">
    <textPr prompt="0" sourceFile="C:\avk\test\vba\Прошлые данные - T.csv">
      <textFields>
        <textField/>
      </textFields>
    </textPr>
  </connection>
  <connection id="77" name="Прошлые данные - T67" type="6" refreshedVersion="0" background="1">
    <textPr prompt="0" sourceFile="C:\avk\test\vba\Прошлые данные - T.csv">
      <textFields>
        <textField/>
      </textFields>
    </textPr>
  </connection>
  <connection id="78" name="Прошлые данные - T68" type="6" refreshedVersion="0" background="1">
    <textPr prompt="0" sourceFile="C:\avk\test\vba\Прошлые данные - T.csv">
      <textFields>
        <textField/>
      </textFields>
    </textPr>
  </connection>
  <connection id="79" name="Прошлые данные - T69" type="6" refreshedVersion="0" background="1">
    <textPr prompt="0" sourceFile="C:\avk\test\vba\Прошлые данные - T.csv">
      <textFields>
        <textField/>
      </textFields>
    </textPr>
  </connection>
  <connection id="80" name="Прошлые данные - T7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81" name="Прошлые данные - T70" type="6" refreshedVersion="0" background="1">
    <textPr prompt="0" sourceFile="C:\avk\test\vba\Прошлые данные - T.csv">
      <textFields>
        <textField/>
      </textFields>
    </textPr>
  </connection>
  <connection id="82" name="Прошлые данные - T71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3" name="Прошлые данные - T72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4" name="Прошлые данные - T73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5" name="Прошлые данные - T74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6" name="Прошлые данные - T75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7" name="Прошлые данные - T76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8" name="Прошлые данные - T77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89" name="Прошлые данные - T78" type="6" refreshedVersion="5" background="1" saveData="1">
    <textPr prompt="0" codePage="65001" sourceFile="C:\avk\test\vba\Прошлые данные - T.csv" decimal="," thousands="." comma="1">
      <textFields count="7">
        <textField type="DMY"/>
        <textField/>
        <textField/>
        <textField/>
        <textField/>
        <textField/>
        <textField/>
      </textFields>
    </textPr>
  </connection>
  <connection id="90" name="Прошлые данные - T8" type="6" refreshedVersion="5" background="1" saveData="1">
    <textPr prompt="0" sourceFile="\\mow.boeing.ru\dfs\Home2\gj284c\Downloads\Прошлые данные - T.csv">
      <textFields count="7">
        <textField/>
        <textField/>
        <textField/>
        <textField/>
        <textField/>
        <textField/>
        <textField/>
      </textFields>
    </textPr>
  </connection>
  <connection id="91" name="Прошлые данные - T9" type="6" refreshedVersion="5" background="1" saveData="1">
    <textPr prompt="0" codePage="65001" sourceFile="C:\avk\test\vba\Прошлые данные - T.csv" decimal="," thousands=".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<sst xmlns="http://schemas.openxmlformats.org/spreadsheetml/2006/main" count="195" uniqueCount="94">
  <si>
    <t xml:space="preserve"> 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</si>
  <si>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</si>
  <si>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</si>
  <si>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</si>
  <si>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</si>
  <si>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</si>
  <si>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</si>
  <si>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</si>
  <si>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</si>
  <si>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</si>
  <si>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</si>
  <si>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</si>
  <si>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as is</t>
  </si>
  <si>
    <t>jul-jan</t>
  </si>
  <si>
    <t>jun-feb</t>
  </si>
  <si>
    <t>min</t>
  </si>
  <si>
    <t>max</t>
  </si>
  <si>
    <t>share</t>
  </si>
  <si>
    <t>eq</t>
  </si>
  <si>
    <t>debt</t>
  </si>
  <si>
    <t>https://investors.att.com/financial-reports/annual-reports/2019</t>
  </si>
  <si>
    <t>https://ru.investing.com/equities/at-t-historical-data</t>
  </si>
  <si>
    <t>debt_1</t>
  </si>
  <si>
    <t>4.20</t>
  </si>
  <si>
    <t>1.20</t>
  </si>
  <si>
    <t>2.20</t>
  </si>
  <si>
    <t>3.20</t>
  </si>
  <si>
    <t>eq_1</t>
  </si>
  <si>
    <t>inc40</t>
  </si>
  <si>
    <t>cur_debt</t>
  </si>
  <si>
    <t>cur_ass</t>
  </si>
  <si>
    <t>cdebt_1</t>
  </si>
  <si>
    <t>cass_1</t>
  </si>
  <si>
    <t>4.19</t>
  </si>
  <si>
    <t>3.19</t>
  </si>
  <si>
    <t>2.19</t>
  </si>
  <si>
    <t>1.19</t>
  </si>
  <si>
    <t>4.18</t>
  </si>
  <si>
    <t>3.18</t>
  </si>
  <si>
    <t>2.18</t>
  </si>
  <si>
    <t>1.18</t>
  </si>
  <si>
    <t>https://ru.investing.com/equities/lukoil_rts-historical-data</t>
  </si>
  <si>
    <t>https://lukoil.ru/InvestorAndShareholderCenter/ReportsAndPresentations/FinancialReports</t>
  </si>
  <si>
    <t>up</t>
  </si>
  <si>
    <t>down</t>
  </si>
  <si>
    <t>rs</t>
  </si>
  <si>
    <t xml:space="preserve">rsi = </t>
  </si>
  <si>
    <t>Дата</t>
  </si>
  <si>
    <t>Цена</t>
  </si>
  <si>
    <t>Откр.</t>
  </si>
  <si>
    <t>Макс.</t>
  </si>
  <si>
    <t>Мин.</t>
  </si>
  <si>
    <t>Объём</t>
  </si>
  <si>
    <t>Изм. %</t>
  </si>
  <si>
    <t>EMA12</t>
  </si>
  <si>
    <t>EMA26</t>
  </si>
  <si>
    <t>fMACD</t>
  </si>
  <si>
    <t>sigMACD</t>
  </si>
  <si>
    <t>EMA9</t>
  </si>
  <si>
    <t>EMA13</t>
  </si>
  <si>
    <t>1q2018</t>
  </si>
  <si>
    <t>2q2018</t>
  </si>
  <si>
    <t>3q2018</t>
  </si>
  <si>
    <t>4q2018</t>
  </si>
  <si>
    <t>1q2019</t>
  </si>
  <si>
    <t>2q2019</t>
  </si>
  <si>
    <t>3q2019</t>
  </si>
  <si>
    <t>4q2019</t>
  </si>
  <si>
    <t>1q2020</t>
  </si>
  <si>
    <t>2q2020</t>
  </si>
  <si>
    <t>3q2020</t>
  </si>
  <si>
    <t>4q2020</t>
  </si>
  <si>
    <t>DM+</t>
  </si>
  <si>
    <t>DM-</t>
  </si>
  <si>
    <t>https://ru.investing.com/equities/coca-cola-co-historical-data</t>
  </si>
  <si>
    <t>https://investors.coca-colacompany.com/financial-information/financial-results</t>
  </si>
  <si>
    <t>DX</t>
  </si>
  <si>
    <t>ADX</t>
  </si>
  <si>
    <t>RSI</t>
  </si>
  <si>
    <t>https://ru.investing.com/equities/gazprom_rts-historical-data</t>
  </si>
  <si>
    <t>share,b</t>
  </si>
  <si>
    <t>https://www.gazprom.ru/investors/disclosure/reports/2020/</t>
  </si>
  <si>
    <t>share: Примечание 22. Акционерный капитал</t>
  </si>
  <si>
    <t>mas</t>
  </si>
  <si>
    <t>https://ru.investing.com/equities/macys-historical-data</t>
  </si>
  <si>
    <t>https://www.macysinc.com/investors/financial-information/financial-results</t>
  </si>
  <si>
    <t>share:  https://www.macysinc.com/investors/stock-data/quote: Shares Out/ Form 10-Q(first page)</t>
  </si>
  <si>
    <t>inc</t>
  </si>
  <si>
    <t>share,m</t>
  </si>
  <si>
    <t>P</t>
  </si>
  <si>
    <t>B</t>
  </si>
  <si>
    <t>E</t>
  </si>
  <si>
    <t>P/B</t>
  </si>
  <si>
    <t>E/P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</si>
</sst>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%"/>
    <numFmt numFmtId="166" formatCode="0.000"/>
    <numFmt numFmtId="167" formatCode="#,##0.000"/>
    <numFmt numFmtId="168" formatCode="#,##0.0"/>
  </numFmts>
  <fonts count="9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  <font>
      <u/>
      <sz val="9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u/>
      <sz val="10"/>
      <color theme="1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1">
    <xf numFmtId="0" fontId="0" fillId="0" borderId="0" xfId="0"/>
    <xf numFmtId="0" fontId="0" fillId="0" borderId="3" xfId="0" applyBorder="1"/>
    <xf numFmtId="0" fontId="0" fillId="0" borderId="4" xfId="0" applyBorder="1"/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/>
    </xf>
    <xf numFmtId="0" fontId="1" fillId="0" borderId="11" xfId="0" applyFont="1" applyBorder="1" applyAlignment="1">
      <alignment horizontal="center"/>
    </xf>
    <xf numFmtId="0" fontId="0" fillId="0" borderId="8" xfId="0" applyBorder="1" applyAlignment="1">
      <alignment horizontal="right"/>
    </xf>
    <xf numFmtId="165" fontId="0" fillId="0" borderId="9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/>
    </xf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12" xfId="0" applyFont="1" applyBorder="1" applyAlignment="1">
      <alignment horizontal="center"/>
    </xf>
    <xf numFmtId="0" fontId="0" fillId="0" borderId="1" xfId="0" applyBorder="1"/>
    <xf numFmtId="2" fontId="0" fillId="0" borderId="13" xfId="0" applyNumberFormat="1" applyBorder="1"/>
    <xf numFmtId="0" fontId="0" fillId="0" borderId="14" xfId="0" applyBorder="1"/>
    <xf numFmtId="0" fontId="0" fillId="0" borderId="13" xfId="0" applyBorder="1"/>
    <xf numFmtId="0" fontId="0" fillId="0" borderId="2" xfId="0" applyBorder="1"/>
    <xf numFmtId="0" fontId="1" fillId="0" borderId="0" xfId="0" applyFont="1"/>
    <xf numFmtId="165" fontId="1" fillId="0" borderId="0" xfId="0" applyNumberFormat="1" applyFont="1"/>
    <xf numFmtId="2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1" xfId="0" applyBorder="1"/>
    <xf numFmtId="0" fontId="0" fillId="0" borderId="5" xfId="0" applyBorder="1"/>
    <xf numFmtId="165" fontId="1" fillId="2" borderId="4" xfId="0" applyNumberFormat="1" applyFont="1" applyFill="1" applyBorder="1"/>
    <xf numFmtId="165" fontId="1" fillId="2" borderId="4" xfId="0" applyNumberFormat="1" applyFont="1" applyFill="1" applyBorder="1" applyAlignment="1">
      <alignment horizontal="right"/>
    </xf>
    <xf numFmtId="165" fontId="1" fillId="2" borderId="5" xfId="0" applyNumberFormat="1" applyFont="1" applyFill="1" applyBorder="1" applyAlignment="1">
      <alignment horizontal="right"/>
    </xf>
    <xf numFmtId="0" fontId="0" fillId="2" borderId="9" xfId="0" applyFill="1" applyBorder="1"/>
    <xf numFmtId="0" fontId="0" fillId="2" borderId="10" xfId="0" applyFill="1" applyBorder="1"/>
    <xf numFmtId="165" fontId="1" fillId="3" borderId="0" xfId="0" applyNumberFormat="1" applyFont="1" applyFill="1"/>
    <xf numFmtId="165" fontId="1" fillId="3" borderId="0" xfId="0" applyNumberFormat="1" applyFont="1" applyFill="1" applyAlignment="1">
      <alignment horizontal="right"/>
    </xf>
    <xf numFmtId="165" fontId="1" fillId="3" borderId="7" xfId="0" applyNumberFormat="1" applyFont="1" applyFill="1" applyBorder="1" applyAlignment="1">
      <alignment horizontal="right"/>
    </xf>
    <xf numFmtId="0" fontId="0" fillId="3" borderId="9" xfId="0" applyFill="1" applyBorder="1"/>
    <xf numFmtId="0" fontId="0" fillId="3" borderId="10" xfId="0" applyFill="1" applyBorder="1"/>
    <xf numFmtId="165" fontId="1" fillId="2" borderId="0" xfId="0" applyNumberFormat="1" applyFont="1" applyFill="1"/>
    <xf numFmtId="165" fontId="1" fillId="2" borderId="0" xfId="0" applyNumberFormat="1" applyFont="1" applyFill="1" applyAlignment="1">
      <alignment horizontal="right"/>
    </xf>
    <xf numFmtId="165" fontId="1" fillId="2" borderId="7" xfId="0" applyNumberFormat="1" applyFont="1" applyFill="1" applyBorder="1" applyAlignment="1">
      <alignment horizontal="right"/>
    </xf>
    <xf numFmtId="165" fontId="1" fillId="3" borderId="0" xfId="0" applyNumberFormat="1" applyFont="1" applyFill="1" applyAlignment="1">
      <alignment horizontal="center" vertical="center"/>
    </xf>
    <xf numFmtId="165" fontId="1" fillId="3" borderId="7" xfId="0" applyNumberFormat="1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165" fontId="1" fillId="2" borderId="7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5" fontId="1" fillId="3" borderId="4" xfId="0" applyNumberFormat="1" applyFont="1" applyFill="1" applyBorder="1" applyAlignment="1">
      <alignment horizontal="center" vertical="center"/>
    </xf>
    <xf numFmtId="165" fontId="1" fillId="3" borderId="5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/>
    </xf>
    <xf numFmtId="165" fontId="1" fillId="2" borderId="4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6" xfId="0" applyBorder="1"/>
    <xf numFmtId="10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3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4" fillId="2" borderId="0" xfId="0" quotePrefix="1" applyFont="1" applyFill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3" fontId="0" fillId="0" borderId="3" xfId="0" applyNumberFormat="1" applyBorder="1" applyAlignment="1">
      <alignment horizontal="center"/>
    </xf>
    <xf numFmtId="3" fontId="2" fillId="0" borderId="4" xfId="0" applyNumberFormat="1" applyFon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/>
    </xf>
    <xf numFmtId="3" fontId="2" fillId="0" borderId="9" xfId="0" applyNumberFormat="1" applyFont="1" applyBorder="1" applyAlignment="1">
      <alignment horizontal="center" vertical="center" wrapText="1"/>
    </xf>
    <xf numFmtId="3" fontId="2" fillId="0" borderId="4" xfId="0" applyNumberFormat="1" applyFont="1" applyBorder="1" applyAlignment="1">
      <alignment horizontal="center"/>
    </xf>
    <xf numFmtId="3" fontId="2" fillId="0" borderId="9" xfId="0" applyNumberFormat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167" fontId="2" fillId="0" borderId="0" xfId="0" applyNumberFormat="1" applyFont="1" applyAlignment="1">
      <alignment horizontal="center" vertical="center" wrapText="1"/>
    </xf>
    <xf numFmtId="0" fontId="0" fillId="5" borderId="7" xfId="0" applyFill="1" applyBorder="1"/>
    <xf numFmtId="0" fontId="0" fillId="0" borderId="8" xfId="0" applyBorder="1"/>
    <xf numFmtId="0" fontId="0" fillId="4" borderId="7" xfId="0" applyFill="1" applyBorder="1"/>
    <xf numFmtId="0" fontId="0" fillId="5" borderId="5" xfId="0" applyFill="1" applyBorder="1"/>
    <xf numFmtId="0" fontId="0" fillId="5" borderId="10" xfId="0" applyFill="1" applyBorder="1"/>
    <xf numFmtId="168" fontId="2" fillId="0" borderId="4" xfId="0" applyNumberFormat="1" applyFont="1" applyBorder="1" applyAlignment="1">
      <alignment horizontal="center" vertical="center" wrapText="1"/>
    </xf>
    <xf numFmtId="168" fontId="2" fillId="0" borderId="4" xfId="0" applyNumberFormat="1" applyFont="1" applyBorder="1" applyAlignment="1">
      <alignment horizontal="center"/>
    </xf>
    <xf numFmtId="168" fontId="2" fillId="0" borderId="9" xfId="0" applyNumberFormat="1" applyFont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/>
    </xf>
    <xf numFmtId="4" fontId="7" fillId="0" borderId="0" xfId="0" applyNumberFormat="1" applyFont="1" applyAlignment="1">
      <alignment horizontal="center" vertical="center" wrapText="1"/>
    </xf>
    <xf numFmtId="4" fontId="2" fillId="0" borderId="0" xfId="0" applyNumberFormat="1" applyFont="1" applyAlignment="1">
      <alignment horizontal="center" vertical="center" wrapText="1"/>
    </xf>
    <xf numFmtId="3" fontId="7" fillId="0" borderId="4" xfId="0" applyNumberFormat="1" applyFont="1" applyBorder="1" applyAlignment="1">
      <alignment horizontal="center" vertical="center" wrapText="1"/>
    </xf>
    <xf numFmtId="3" fontId="7" fillId="0" borderId="5" xfId="0" applyNumberFormat="1" applyFont="1" applyBorder="1" applyAlignment="1">
      <alignment horizontal="center" vertical="center" wrapText="1"/>
    </xf>
    <xf numFmtId="3" fontId="7" fillId="0" borderId="9" xfId="0" applyNumberFormat="1" applyFont="1" applyBorder="1" applyAlignment="1">
      <alignment horizontal="center" vertical="center" wrapText="1"/>
    </xf>
    <xf numFmtId="3" fontId="7" fillId="0" borderId="10" xfId="0" applyNumberFormat="1" applyFont="1" applyBorder="1" applyAlignment="1">
      <alignment horizontal="center" vertical="center" wrapText="1"/>
    </xf>
    <xf numFmtId="3" fontId="7" fillId="0" borderId="4" xfId="0" applyNumberFormat="1" applyFont="1" applyBorder="1" applyAlignment="1">
      <alignment horizontal="center"/>
    </xf>
    <xf numFmtId="3" fontId="7" fillId="0" borderId="5" xfId="0" applyNumberFormat="1" applyFont="1" applyBorder="1" applyAlignment="1">
      <alignment horizontal="center"/>
    </xf>
    <xf numFmtId="3" fontId="7" fillId="0" borderId="9" xfId="0" applyNumberFormat="1" applyFont="1" applyBorder="1" applyAlignment="1">
      <alignment horizontal="center"/>
    </xf>
    <xf numFmtId="3" fontId="7" fillId="0" borderId="10" xfId="0" applyNumberFormat="1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167" fontId="7" fillId="0" borderId="0" xfId="0" applyNumberFormat="1" applyFont="1" applyAlignment="1">
      <alignment horizontal="center" vertical="center" wrapText="1"/>
    </xf>
    <xf numFmtId="2" fontId="7" fillId="0" borderId="5" xfId="0" applyNumberFormat="1" applyFont="1" applyBorder="1" applyAlignment="1">
      <alignment horizontal="center"/>
    </xf>
    <xf numFmtId="2" fontId="7" fillId="0" borderId="10" xfId="0" applyNumberFormat="1" applyFont="1" applyBorder="1" applyAlignment="1">
      <alignment horizontal="center"/>
    </xf>
    <xf numFmtId="168" fontId="7" fillId="0" borderId="5" xfId="0" applyNumberFormat="1" applyFont="1" applyBorder="1" applyAlignment="1">
      <alignment horizontal="center" vertical="center" wrapText="1"/>
    </xf>
    <xf numFmtId="168" fontId="7" fillId="0" borderId="10" xfId="0" applyNumberFormat="1" applyFont="1" applyBorder="1" applyAlignment="1">
      <alignment horizontal="center" vertical="center" wrapText="1"/>
    </xf>
    <xf numFmtId="168" fontId="7" fillId="0" borderId="5" xfId="0" applyNumberFormat="1" applyFont="1" applyBorder="1" applyAlignment="1">
      <alignment horizontal="center"/>
    </xf>
    <xf numFmtId="168" fontId="7" fillId="0" borderId="10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6" fontId="7" fillId="0" borderId="0" xfId="0" applyNumberFormat="1" applyFont="1" applyAlignment="1">
      <alignment horizontal="center" vertical="center" wrapText="1"/>
    </xf>
    <xf numFmtId="164" fontId="7" fillId="0" borderId="5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3" fontId="2" fillId="0" borderId="3" xfId="0" applyNumberFormat="1" applyFont="1" applyBorder="1" applyAlignment="1">
      <alignment horizontal="center"/>
    </xf>
    <xf numFmtId="3" fontId="2" fillId="6" borderId="4" xfId="0" applyNumberFormat="1" applyFont="1" applyFill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8" fillId="0" borderId="14" xfId="1" applyFont="1" applyBorder="1" applyAlignment="1">
      <alignment horizontal="center"/>
    </xf>
    <xf numFmtId="0" fontId="8" fillId="0" borderId="2" xfId="1" applyFont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14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3" fillId="0" borderId="1" xfId="1" applyBorder="1" applyAlignment="1">
      <alignment horizontal="center"/>
    </xf>
    <xf numFmtId="0" fontId="3" fillId="0" borderId="14" xfId="1" applyBorder="1" applyAlignment="1">
      <alignment horizontal="center"/>
    </xf>
    <xf numFmtId="0" fontId="3" fillId="0" borderId="2" xfId="1" applyBorder="1" applyAlignment="1">
      <alignment horizontal="center"/>
    </xf>
    <xf numFmtId="0" fontId="0" fillId="0" borderId="4" xfId="0" applyBorder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14" xfId="1" applyFont="1" applyBorder="1" applyAlignment="1">
      <alignment horizontal="center"/>
    </xf>
    <xf numFmtId="0" fontId="6" fillId="0" borderId="2" xfId="1" applyFont="1" applyBorder="1" applyAlignment="1">
      <alignment horizontal="center"/>
    </xf>
    <xf numFmtId="0" fontId="3" fillId="0" borderId="0" xfId="1" applyAlignment="1">
      <alignment horizontal="right"/>
    </xf>
    <xf numFmtId="0" fontId="0" fillId="0" borderId="0" xfId="0" applyAlignment="1">
      <alignment horizontal="right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4" fontId="2" fillId="0" borderId="9" xfId="0" applyNumberFormat="1" applyFont="1" applyBorder="1" applyAlignment="1">
      <alignment horizontal="center" vertical="center" wrapText="1"/>
    </xf>
    <xf numFmtId="4" fontId="2" fillId="0" borderId="9" xfId="0" applyNumberFormat="1" applyFont="1" applyBorder="1" applyAlignment="1">
      <alignment horizontal="center"/>
    </xf>
    <xf numFmtId="4" fontId="2" fillId="0" borderId="10" xfId="0" applyNumberFormat="1" applyFont="1" applyBorder="1" applyAlignment="1">
      <alignment horizontal="center"/>
    </xf>
    <xf numFmtId="4" fontId="2" fillId="0" borderId="10" xfId="0" applyNumberFormat="1" applyFont="1" applyBorder="1" applyAlignment="1">
      <alignment horizontal="center" vertical="center" wrapText="1"/>
    </xf>
    <xf numFmtId="164" fontId="0" fillId="0" borderId="5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00"/>
      <color rgb="FF00B050"/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2"/>
          <c:tx>
            <c:v>inc</c:v>
          </c:tx>
          <c:spPr>
            <a:solidFill>
              <a:srgbClr val="00B0F0">
                <a:alpha val="50196"/>
              </a:srgbClr>
            </a:solidFill>
            <a:ln>
              <a:noFill/>
            </a:ln>
            <a:effectLst/>
          </c:spPr>
          <c:val>
            <c:numRef>
              <c:f>share!$O$15:$Z$15</c:f>
              <c:numCache>
                <c:formatCode>0.0</c:formatCode>
                <c:ptCount val="12"/>
                <c:pt idx="0">
                  <c:v>16.526531254920485</c:v>
                </c:pt>
                <c:pt idx="1">
                  <c:v>16.526531254920485</c:v>
                </c:pt>
                <c:pt idx="2">
                  <c:v>13.223503569467326</c:v>
                </c:pt>
                <c:pt idx="3">
                  <c:v>14.062499999999998</c:v>
                </c:pt>
                <c:pt idx="4">
                  <c:v>11.891152741692876</c:v>
                </c:pt>
                <c:pt idx="5">
                  <c:v>10.853475351631845</c:v>
                </c:pt>
                <c:pt idx="6">
                  <c:v>10.779309403575814</c:v>
                </c:pt>
                <c:pt idx="7">
                  <c:v>7.3960612691466086</c:v>
                </c:pt>
                <c:pt idx="8">
                  <c:v>13.811047725059135</c:v>
                </c:pt>
                <c:pt idx="9">
                  <c:v>4.3750874737578727</c:v>
                </c:pt>
                <c:pt idx="10">
                  <c:v>8.865258150272842</c:v>
                </c:pt>
                <c:pt idx="11">
                  <c:v>8.865258150272842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58504"/>
        <c:axId val="488558896"/>
      </c:areaChart>
      <c:barChart>
        <c:barDir val="col"/>
        <c:grouping val="clustered"/>
        <c:varyColors val="0"/>
        <c:ser>
          <c:idx val="0"/>
          <c:order val="0"/>
          <c:tx>
            <c:v>debt</c:v>
          </c:tx>
          <c:spPr>
            <a:solidFill>
              <a:srgbClr val="FF0000">
                <a:alpha val="50000"/>
              </a:srgbClr>
            </a:solidFill>
            <a:ln>
              <a:solidFill>
                <a:srgbClr val="FFC000">
                  <a:alpha val="50000"/>
                </a:srgbClr>
              </a:solidFill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share!$O$7:$Z$7</c:f>
              <c:numCache>
                <c:formatCode>0.0</c:formatCode>
                <c:ptCount val="12"/>
                <c:pt idx="0">
                  <c:v>55.305621162021723</c:v>
                </c:pt>
                <c:pt idx="1">
                  <c:v>55.305621162021723</c:v>
                </c:pt>
                <c:pt idx="2">
                  <c:v>48.036655683690284</c:v>
                </c:pt>
                <c:pt idx="3">
                  <c:v>46.32401315789474</c:v>
                </c:pt>
                <c:pt idx="4">
                  <c:v>48.329413373444552</c:v>
                </c:pt>
                <c:pt idx="5">
                  <c:v>48.181482998770989</c:v>
                </c:pt>
                <c:pt idx="6">
                  <c:v>48.378463218233939</c:v>
                </c:pt>
                <c:pt idx="7">
                  <c:v>47.830278993435449</c:v>
                </c:pt>
                <c:pt idx="8">
                  <c:v>48.68582162237373</c:v>
                </c:pt>
                <c:pt idx="9">
                  <c:v>49.608117564730584</c:v>
                </c:pt>
                <c:pt idx="10">
                  <c:v>47.978172659857279</c:v>
                </c:pt>
                <c:pt idx="11">
                  <c:v>47.978172659857279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8-43DE-A9C5-A07D27B9B9AC}"/>
            </c:ext>
          </c:extLst>
        </c:ser>
        <c:ser>
          <c:idx val="1"/>
          <c:order val="1"/>
          <c:tx>
            <c:v>eq</c:v>
          </c:tx>
          <c:spPr>
            <a:solidFill>
              <a:srgbClr val="00B050">
                <a:alpha val="50000"/>
              </a:srgbClr>
            </a:solidFill>
            <a:ln>
              <a:solidFill>
                <a:srgbClr val="00B050"/>
              </a:solidFill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00B050">
                  <a:alpha val="50000"/>
                </a:srgbClr>
              </a:solidFill>
              <a:ln>
                <a:solidFill>
                  <a:srgbClr val="00B050"/>
                </a:solidFill>
              </a:ln>
              <a:effectLst/>
            </c:spPr>
          </c:dPt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share!$O$13:$Z$13</c:f>
              <c:numCache>
                <c:formatCode>0.0</c:formatCode>
                <c:ptCount val="12"/>
                <c:pt idx="0">
                  <c:v>28.99228467957802</c:v>
                </c:pt>
                <c:pt idx="1">
                  <c:v>28.99228467957802</c:v>
                </c:pt>
                <c:pt idx="2">
                  <c:v>25.394151565074136</c:v>
                </c:pt>
                <c:pt idx="3">
                  <c:v>26.574013157894733</c:v>
                </c:pt>
                <c:pt idx="4">
                  <c:v>26.65814303295501</c:v>
                </c:pt>
                <c:pt idx="5">
                  <c:v>26.502935955209612</c:v>
                </c:pt>
                <c:pt idx="6">
                  <c:v>26.522041763341068</c:v>
                </c:pt>
                <c:pt idx="7">
                  <c:v>27.616794310722099</c:v>
                </c:pt>
                <c:pt idx="8">
                  <c:v>27.194796159732853</c:v>
                </c:pt>
                <c:pt idx="9">
                  <c:v>27.074877536738978</c:v>
                </c:pt>
                <c:pt idx="10">
                  <c:v>27.298167063103399</c:v>
                </c:pt>
                <c:pt idx="11">
                  <c:v>27.298167063103399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558504"/>
        <c:axId val="48855889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v>cur_debt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share!$O$2:$Z$2</c15:sqref>
                        </c15:formulaRef>
                      </c:ext>
                    </c:extLst>
                    <c:strCache>
                      <c:ptCount val="12"/>
                      <c:pt idx="0">
                        <c:v>1.18</c:v>
                      </c:pt>
                      <c:pt idx="1">
                        <c:v>2.18</c:v>
                      </c:pt>
                      <c:pt idx="2">
                        <c:v>3.18</c:v>
                      </c:pt>
                      <c:pt idx="3">
                        <c:v>4.18</c:v>
                      </c:pt>
                      <c:pt idx="4">
                        <c:v>1.19</c:v>
                      </c:pt>
                      <c:pt idx="5">
                        <c:v>2.19</c:v>
                      </c:pt>
                      <c:pt idx="6">
                        <c:v>3.19</c:v>
                      </c:pt>
                      <c:pt idx="7">
                        <c:v>4.19</c:v>
                      </c:pt>
                      <c:pt idx="8">
                        <c:v>1.20</c:v>
                      </c:pt>
                      <c:pt idx="9">
                        <c:v>2.20</c:v>
                      </c:pt>
                      <c:pt idx="10">
                        <c:v>3.20</c:v>
                      </c:pt>
                      <c:pt idx="11">
                        <c:v>4.20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share!$U$9:$Z$9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9.2979391292479878</c:v>
                      </c:pt>
                      <c:pt idx="1">
                        <c:v>9.4243708971553612</c:v>
                      </c:pt>
                      <c:pt idx="2">
                        <c:v>9.6980659524140815</c:v>
                      </c:pt>
                      <c:pt idx="3">
                        <c:v>9.7228831350594831</c:v>
                      </c:pt>
                      <c:pt idx="4">
                        <c:v>8.3391632852945285</c:v>
                      </c:pt>
                      <c:pt idx="5">
                        <c:v>8.3391632852945285</c:v>
                      </c:pt>
                    </c:numCache>
                  </c:numRef>
                </c:val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v>min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share!$O$4:$Z$4</c:f>
              <c:numCache>
                <c:formatCode>0.00</c:formatCode>
                <c:ptCount val="12"/>
                <c:pt idx="0">
                  <c:v>34.44</c:v>
                </c:pt>
                <c:pt idx="1">
                  <c:v>31.17</c:v>
                </c:pt>
                <c:pt idx="2">
                  <c:v>30.13</c:v>
                </c:pt>
                <c:pt idx="3">
                  <c:v>26.8</c:v>
                </c:pt>
                <c:pt idx="4">
                  <c:v>28.3</c:v>
                </c:pt>
                <c:pt idx="5">
                  <c:v>30.05</c:v>
                </c:pt>
                <c:pt idx="6" formatCode="General">
                  <c:v>31.52</c:v>
                </c:pt>
                <c:pt idx="7" formatCode="General">
                  <c:v>36.4</c:v>
                </c:pt>
                <c:pt idx="8" formatCode="General">
                  <c:v>26.08</c:v>
                </c:pt>
                <c:pt idx="9" formatCode="General">
                  <c:v>27.25</c:v>
                </c:pt>
                <c:pt idx="10" formatCode="General">
                  <c:v>27.75</c:v>
                </c:pt>
                <c:pt idx="11" formatCode="General">
                  <c:v>26.35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C8-43DE-A9C5-A07D27B9B9AC}"/>
            </c:ext>
          </c:extLst>
        </c:ser>
        <c:ser>
          <c:idx val="4"/>
          <c:order val="4"/>
          <c:tx>
            <c:v>max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share!$O$3:$Z$3</c:f>
              <c:numCache>
                <c:formatCode>0.00</c:formatCode>
                <c:ptCount val="12"/>
                <c:pt idx="0">
                  <c:v>39.29</c:v>
                </c:pt>
                <c:pt idx="1">
                  <c:v>36.39</c:v>
                </c:pt>
                <c:pt idx="2">
                  <c:v>34.28</c:v>
                </c:pt>
                <c:pt idx="3">
                  <c:v>34.299999999999997</c:v>
                </c:pt>
                <c:pt idx="4">
                  <c:v>31.64</c:v>
                </c:pt>
                <c:pt idx="5">
                  <c:v>33.549999999999997</c:v>
                </c:pt>
                <c:pt idx="6" formatCode="General">
                  <c:v>38.75</c:v>
                </c:pt>
                <c:pt idx="7" formatCode="General">
                  <c:v>39.700000000000003</c:v>
                </c:pt>
                <c:pt idx="8" formatCode="General">
                  <c:v>39.549999999999997</c:v>
                </c:pt>
                <c:pt idx="9" formatCode="General">
                  <c:v>33.24</c:v>
                </c:pt>
                <c:pt idx="10" formatCode="General">
                  <c:v>30.76</c:v>
                </c:pt>
                <c:pt idx="11" formatCode="General">
                  <c:v>29.16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58504"/>
        <c:axId val="488558896"/>
      </c:lineChart>
      <c:catAx>
        <c:axId val="48855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58896"/>
        <c:crosses val="autoZero"/>
        <c:auto val="1"/>
        <c:lblAlgn val="ctr"/>
        <c:lblOffset val="100"/>
        <c:noMultiLvlLbl val="0"/>
      </c:catAx>
      <c:valAx>
        <c:axId val="48855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58504"/>
        <c:crosses val="autoZero"/>
        <c:crossBetween val="between"/>
      </c:valAx>
      <c:spPr>
        <a:noFill/>
        <a:ln>
          <a:solidFill>
            <a:srgbClr val="FFC000">
              <a:alpha val="50000"/>
            </a:srgbClr>
          </a:solidFill>
          <a:beve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LKOH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2"/>
          <c:tx>
            <c:v>inc</c:v>
          </c:tx>
          <c:spPr>
            <a:solidFill>
              <a:srgbClr val="00B0F0">
                <a:alpha val="50196"/>
              </a:srgbClr>
            </a:solidFill>
            <a:ln w="25400">
              <a:noFill/>
            </a:ln>
            <a:effectLst/>
          </c:spPr>
          <c:val>
            <c:numRef>
              <c:f>share!$O$38:$Z$38</c:f>
              <c:numCache>
                <c:formatCode>#,##0</c:formatCode>
                <c:ptCount val="12"/>
                <c:pt idx="0">
                  <c:v>3074.7531734837803</c:v>
                </c:pt>
                <c:pt idx="1">
                  <c:v>4710.8603667136813</c:v>
                </c:pt>
                <c:pt idx="2">
                  <c:v>5197.740112994351</c:v>
                </c:pt>
                <c:pt idx="3">
                  <c:v>4461.2068965517246</c:v>
                </c:pt>
                <c:pt idx="4">
                  <c:v>4363.1039531478764</c:v>
                </c:pt>
                <c:pt idx="5">
                  <c:v>5378.90044576523</c:v>
                </c:pt>
                <c:pt idx="6">
                  <c:v>5858.8957055214723</c:v>
                </c:pt>
                <c:pt idx="7">
                  <c:v>4923.312883435583</c:v>
                </c:pt>
                <c:pt idx="8">
                  <c:v>-1401.840490797546</c:v>
                </c:pt>
                <c:pt idx="9">
                  <c:v>-567.48466257668713</c:v>
                </c:pt>
                <c:pt idx="10">
                  <c:v>1561.3496932515336</c:v>
                </c:pt>
                <c:pt idx="11">
                  <c:v>1561.3496932515336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60072"/>
        <c:axId val="488560856"/>
      </c:areaChart>
      <c:barChart>
        <c:barDir val="col"/>
        <c:grouping val="clustered"/>
        <c:varyColors val="0"/>
        <c:ser>
          <c:idx val="0"/>
          <c:order val="0"/>
          <c:tx>
            <c:v>debt</c:v>
          </c:tx>
          <c:spPr>
            <a:solidFill>
              <a:srgbClr val="FF000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share!$O$30:$Z$30</c:f>
              <c:numCache>
                <c:formatCode>#,##0</c:formatCode>
                <c:ptCount val="12"/>
                <c:pt idx="0">
                  <c:v>2267.9830747531737</c:v>
                </c:pt>
                <c:pt idx="1">
                  <c:v>2483.7799717912553</c:v>
                </c:pt>
                <c:pt idx="2">
                  <c:v>2473.1638418079096</c:v>
                </c:pt>
                <c:pt idx="3">
                  <c:v>2382.1839080459772</c:v>
                </c:pt>
                <c:pt idx="4">
                  <c:v>2600.2928257686676</c:v>
                </c:pt>
                <c:pt idx="5">
                  <c:v>3005.9435364041601</c:v>
                </c:pt>
                <c:pt idx="6">
                  <c:v>2602.7607361963187</c:v>
                </c:pt>
                <c:pt idx="7">
                  <c:v>3026.0736196319017</c:v>
                </c:pt>
                <c:pt idx="8">
                  <c:v>2699.3865030674847</c:v>
                </c:pt>
                <c:pt idx="9">
                  <c:v>3128.8343558282209</c:v>
                </c:pt>
                <c:pt idx="10">
                  <c:v>3019.9386503067485</c:v>
                </c:pt>
                <c:pt idx="11">
                  <c:v>3019.9386503067485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8-43DE-A9C5-A07D27B9B9AC}"/>
            </c:ext>
          </c:extLst>
        </c:ser>
        <c:ser>
          <c:idx val="1"/>
          <c:order val="1"/>
          <c:tx>
            <c:v>eq</c:v>
          </c:tx>
          <c:spPr>
            <a:solidFill>
              <a:srgbClr val="00B050">
                <a:alpha val="49804"/>
              </a:srgbClr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share!$O$36:$Z$36</c:f>
              <c:numCache>
                <c:formatCode>#,##0</c:formatCode>
                <c:ptCount val="12"/>
                <c:pt idx="0">
                  <c:v>5071.9322990126939</c:v>
                </c:pt>
                <c:pt idx="1">
                  <c:v>5260.930888575459</c:v>
                </c:pt>
                <c:pt idx="2">
                  <c:v>5596.0451977401135</c:v>
                </c:pt>
                <c:pt idx="3">
                  <c:v>5852.0114942528744</c:v>
                </c:pt>
                <c:pt idx="4">
                  <c:v>5938.5065885797949</c:v>
                </c:pt>
                <c:pt idx="5">
                  <c:v>5756.3150074294199</c:v>
                </c:pt>
                <c:pt idx="6">
                  <c:v>6365.0306748466255</c:v>
                </c:pt>
                <c:pt idx="7">
                  <c:v>6093.5582822085889</c:v>
                </c:pt>
                <c:pt idx="8">
                  <c:v>6697.8527607361957</c:v>
                </c:pt>
                <c:pt idx="9">
                  <c:v>6077.3006134969328</c:v>
                </c:pt>
                <c:pt idx="10">
                  <c:v>6481.5950920245396</c:v>
                </c:pt>
                <c:pt idx="11">
                  <c:v>6481.5950920245396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560072"/>
        <c:axId val="488560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v>cur_debt</c:v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share!$O$2:$Z$2</c15:sqref>
                        </c15:formulaRef>
                      </c:ext>
                    </c:extLst>
                    <c:strCache>
                      <c:ptCount val="12"/>
                      <c:pt idx="0">
                        <c:v>1.18</c:v>
                      </c:pt>
                      <c:pt idx="1">
                        <c:v>2.18</c:v>
                      </c:pt>
                      <c:pt idx="2">
                        <c:v>3.18</c:v>
                      </c:pt>
                      <c:pt idx="3">
                        <c:v>4.18</c:v>
                      </c:pt>
                      <c:pt idx="4">
                        <c:v>1.19</c:v>
                      </c:pt>
                      <c:pt idx="5">
                        <c:v>2.19</c:v>
                      </c:pt>
                      <c:pt idx="6">
                        <c:v>3.19</c:v>
                      </c:pt>
                      <c:pt idx="7">
                        <c:v>4.19</c:v>
                      </c:pt>
                      <c:pt idx="8">
                        <c:v>1.20</c:v>
                      </c:pt>
                      <c:pt idx="9">
                        <c:v>2.20</c:v>
                      </c:pt>
                      <c:pt idx="10">
                        <c:v>3.20</c:v>
                      </c:pt>
                      <c:pt idx="11">
                        <c:v>4.20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share!$U$9:$Z$9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9.2979391292479878</c:v>
                      </c:pt>
                      <c:pt idx="1">
                        <c:v>9.4243708971553612</c:v>
                      </c:pt>
                      <c:pt idx="2">
                        <c:v>9.6980659524140815</c:v>
                      </c:pt>
                      <c:pt idx="3">
                        <c:v>9.7228831350594831</c:v>
                      </c:pt>
                      <c:pt idx="4">
                        <c:v>8.3391632852945285</c:v>
                      </c:pt>
                      <c:pt idx="5">
                        <c:v>8.3391632852945285</c:v>
                      </c:pt>
                    </c:numCache>
                  </c:numRef>
                </c:val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v>min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share!$O$27:$Z$27</c:f>
              <c:numCache>
                <c:formatCode>#,##0</c:formatCode>
                <c:ptCount val="12"/>
                <c:pt idx="0">
                  <c:v>3340</c:v>
                </c:pt>
                <c:pt idx="1">
                  <c:v>3532.5</c:v>
                </c:pt>
                <c:pt idx="2">
                  <c:v>4200</c:v>
                </c:pt>
                <c:pt idx="3">
                  <c:v>4555</c:v>
                </c:pt>
                <c:pt idx="4">
                  <c:v>4886.5</c:v>
                </c:pt>
                <c:pt idx="5">
                  <c:v>4980</c:v>
                </c:pt>
                <c:pt idx="6">
                  <c:v>4982</c:v>
                </c:pt>
                <c:pt idx="7">
                  <c:v>5261</c:v>
                </c:pt>
                <c:pt idx="8">
                  <c:v>3663</c:v>
                </c:pt>
                <c:pt idx="9">
                  <c:v>4281</c:v>
                </c:pt>
                <c:pt idx="10">
                  <c:v>4410</c:v>
                </c:pt>
                <c:pt idx="11">
                  <c:v>3961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C8-43DE-A9C5-A07D27B9B9AC}"/>
            </c:ext>
          </c:extLst>
        </c:ser>
        <c:ser>
          <c:idx val="4"/>
          <c:order val="4"/>
          <c:tx>
            <c:v>max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share!$O$26:$Z$26</c:f>
              <c:numCache>
                <c:formatCode>#,##0</c:formatCode>
                <c:ptCount val="12"/>
                <c:pt idx="0">
                  <c:v>4004</c:v>
                </c:pt>
                <c:pt idx="1">
                  <c:v>4453.5</c:v>
                </c:pt>
                <c:pt idx="2">
                  <c:v>5042.5</c:v>
                </c:pt>
                <c:pt idx="3">
                  <c:v>5342</c:v>
                </c:pt>
                <c:pt idx="4">
                  <c:v>5895</c:v>
                </c:pt>
                <c:pt idx="5">
                  <c:v>5996</c:v>
                </c:pt>
                <c:pt idx="6">
                  <c:v>5600</c:v>
                </c:pt>
                <c:pt idx="7">
                  <c:v>6258.5</c:v>
                </c:pt>
                <c:pt idx="8">
                  <c:v>6810</c:v>
                </c:pt>
                <c:pt idx="9">
                  <c:v>5566.5</c:v>
                </c:pt>
                <c:pt idx="10">
                  <c:v>5512</c:v>
                </c:pt>
                <c:pt idx="11">
                  <c:v>5123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60072"/>
        <c:axId val="488560856"/>
      </c:lineChart>
      <c:catAx>
        <c:axId val="488560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60856"/>
        <c:crosses val="autoZero"/>
        <c:auto val="1"/>
        <c:lblAlgn val="ctr"/>
        <c:lblOffset val="100"/>
        <c:noMultiLvlLbl val="0"/>
      </c:catAx>
      <c:valAx>
        <c:axId val="48856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60072"/>
        <c:crosses val="autoZero"/>
        <c:crossBetween val="between"/>
      </c:valAx>
      <c:spPr>
        <a:noFill/>
        <a:ln>
          <a:solidFill>
            <a:srgbClr val="FFC000">
              <a:alpha val="50000"/>
            </a:srgbClr>
          </a:solidFill>
          <a:beve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KO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2"/>
          <c:tx>
            <c:v>inc</c:v>
          </c:tx>
          <c:spPr>
            <a:solidFill>
              <a:srgbClr val="00B0F0">
                <a:alpha val="50196"/>
              </a:srgbClr>
            </a:solidFill>
            <a:ln w="25400">
              <a:noFill/>
            </a:ln>
            <a:effectLst/>
          </c:spPr>
          <c:val>
            <c:numRef>
              <c:f>share!$O$59:$Z$59</c:f>
              <c:numCache>
                <c:formatCode>#,##0.0</c:formatCode>
                <c:ptCount val="12"/>
                <c:pt idx="0">
                  <c:v>6.4150058616647136</c:v>
                </c:pt>
                <c:pt idx="1">
                  <c:v>10.886016451233841</c:v>
                </c:pt>
                <c:pt idx="2">
                  <c:v>8.8366627497062264</c:v>
                </c:pt>
                <c:pt idx="3">
                  <c:v>4.0825903331769124</c:v>
                </c:pt>
                <c:pt idx="4">
                  <c:v>7.8576445797237184</c:v>
                </c:pt>
                <c:pt idx="5">
                  <c:v>12.213633169360506</c:v>
                </c:pt>
                <c:pt idx="6">
                  <c:v>12.116822429906541</c:v>
                </c:pt>
                <c:pt idx="7">
                  <c:v>9.528257823446987</c:v>
                </c:pt>
                <c:pt idx="8">
                  <c:v>12.916763814408954</c:v>
                </c:pt>
                <c:pt idx="9">
                  <c:v>8.2887077997671721</c:v>
                </c:pt>
                <c:pt idx="10">
                  <c:v>8.2867783985102417</c:v>
                </c:pt>
                <c:pt idx="11">
                  <c:v>8.2867783985102417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01032"/>
        <c:axId val="488699464"/>
      </c:areaChart>
      <c:barChart>
        <c:barDir val="col"/>
        <c:grouping val="clustered"/>
        <c:varyColors val="0"/>
        <c:ser>
          <c:idx val="0"/>
          <c:order val="0"/>
          <c:tx>
            <c:v>debt</c:v>
          </c:tx>
          <c:spPr>
            <a:solidFill>
              <a:srgbClr val="FF000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share!$O$51:$Z$51</c:f>
              <c:numCache>
                <c:formatCode>#,##0.0</c:formatCode>
                <c:ptCount val="12"/>
                <c:pt idx="0">
                  <c:v>16.794841735052756</c:v>
                </c:pt>
                <c:pt idx="1">
                  <c:v>16.312573443008226</c:v>
                </c:pt>
                <c:pt idx="2">
                  <c:v>15.673325499412456</c:v>
                </c:pt>
                <c:pt idx="3">
                  <c:v>15.051618958235572</c:v>
                </c:pt>
                <c:pt idx="4">
                  <c:v>16.047763989697966</c:v>
                </c:pt>
                <c:pt idx="5">
                  <c:v>16.325837432654016</c:v>
                </c:pt>
                <c:pt idx="6">
                  <c:v>15.595794392523363</c:v>
                </c:pt>
                <c:pt idx="7">
                  <c:v>15.24521251751518</c:v>
                </c:pt>
                <c:pt idx="8">
                  <c:v>17.30006994637445</c:v>
                </c:pt>
                <c:pt idx="9">
                  <c:v>17.578579743888241</c:v>
                </c:pt>
                <c:pt idx="10">
                  <c:v>17.900372439478584</c:v>
                </c:pt>
                <c:pt idx="11">
                  <c:v>17.900372439478584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8-43DE-A9C5-A07D27B9B9AC}"/>
            </c:ext>
          </c:extLst>
        </c:ser>
        <c:ser>
          <c:idx val="1"/>
          <c:order val="1"/>
          <c:tx>
            <c:v>eq</c:v>
          </c:tx>
          <c:spPr>
            <a:solidFill>
              <a:srgbClr val="00B05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share!$O$57:$Z$57</c:f>
              <c:numCache>
                <c:formatCode>#,##0.0</c:formatCode>
                <c:ptCount val="12"/>
                <c:pt idx="0">
                  <c:v>5.0808909730363432</c:v>
                </c:pt>
                <c:pt idx="1">
                  <c:v>4.7426556991774387</c:v>
                </c:pt>
                <c:pt idx="2">
                  <c:v>4.7426556991774387</c:v>
                </c:pt>
                <c:pt idx="3">
                  <c:v>4.4697325199436886</c:v>
                </c:pt>
                <c:pt idx="4">
                  <c:v>4.6359166471552333</c:v>
                </c:pt>
                <c:pt idx="5">
                  <c:v>4.7540407589599436</c:v>
                </c:pt>
                <c:pt idx="6">
                  <c:v>4.8317757009345792</c:v>
                </c:pt>
                <c:pt idx="7">
                  <c:v>4.9276039234002802</c:v>
                </c:pt>
                <c:pt idx="8">
                  <c:v>4.6164607134530202</c:v>
                </c:pt>
                <c:pt idx="9">
                  <c:v>4.4703143189755528</c:v>
                </c:pt>
                <c:pt idx="10">
                  <c:v>4.7253258845437616</c:v>
                </c:pt>
                <c:pt idx="11">
                  <c:v>4.7253258845437616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701032"/>
        <c:axId val="488699464"/>
        <c:extLst/>
      </c:barChart>
      <c:lineChart>
        <c:grouping val="standard"/>
        <c:varyColors val="0"/>
        <c:ser>
          <c:idx val="3"/>
          <c:order val="3"/>
          <c:tx>
            <c:v>min</c:v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val>
            <c:numRef>
              <c:f>share!$O$48:$Z$48</c:f>
              <c:numCache>
                <c:formatCode>0.00</c:formatCode>
                <c:ptCount val="12"/>
                <c:pt idx="0">
                  <c:v>42.19</c:v>
                </c:pt>
                <c:pt idx="1">
                  <c:v>41.45</c:v>
                </c:pt>
                <c:pt idx="2">
                  <c:v>43.58</c:v>
                </c:pt>
                <c:pt idx="3">
                  <c:v>44.25</c:v>
                </c:pt>
                <c:pt idx="4">
                  <c:v>44.42</c:v>
                </c:pt>
                <c:pt idx="5">
                  <c:v>46.03</c:v>
                </c:pt>
                <c:pt idx="6">
                  <c:v>50.78</c:v>
                </c:pt>
                <c:pt idx="7">
                  <c:v>51.58</c:v>
                </c:pt>
                <c:pt idx="8">
                  <c:v>36.270000000000003</c:v>
                </c:pt>
                <c:pt idx="9">
                  <c:v>41.8</c:v>
                </c:pt>
                <c:pt idx="10">
                  <c:v>43.83</c:v>
                </c:pt>
                <c:pt idx="11">
                  <c:v>47.3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C8-43DE-A9C5-A07D27B9B9AC}"/>
            </c:ext>
          </c:extLst>
        </c:ser>
        <c:ser>
          <c:idx val="4"/>
          <c:order val="4"/>
          <c:tx>
            <c:v>max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share!$O$47:$Z$47</c:f>
              <c:numCache>
                <c:formatCode>0.00</c:formatCode>
                <c:ptCount val="12"/>
                <c:pt idx="0">
                  <c:v>48.62</c:v>
                </c:pt>
                <c:pt idx="1">
                  <c:v>45.03</c:v>
                </c:pt>
                <c:pt idx="2">
                  <c:v>46.87</c:v>
                </c:pt>
                <c:pt idx="3">
                  <c:v>50.84</c:v>
                </c:pt>
                <c:pt idx="4">
                  <c:v>49.94</c:v>
                </c:pt>
                <c:pt idx="5">
                  <c:v>52.2</c:v>
                </c:pt>
                <c:pt idx="6">
                  <c:v>55.92</c:v>
                </c:pt>
                <c:pt idx="7">
                  <c:v>55.45</c:v>
                </c:pt>
                <c:pt idx="8">
                  <c:v>60.13</c:v>
                </c:pt>
                <c:pt idx="9">
                  <c:v>49.96</c:v>
                </c:pt>
                <c:pt idx="10">
                  <c:v>52.13</c:v>
                </c:pt>
                <c:pt idx="11">
                  <c:v>54.61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01032"/>
        <c:axId val="488699464"/>
      </c:lineChart>
      <c:catAx>
        <c:axId val="48870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9464"/>
        <c:crosses val="autoZero"/>
        <c:auto val="1"/>
        <c:lblAlgn val="ctr"/>
        <c:lblOffset val="100"/>
        <c:noMultiLvlLbl val="0"/>
      </c:catAx>
      <c:valAx>
        <c:axId val="48869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01032"/>
        <c:crosses val="autoZero"/>
        <c:crossBetween val="between"/>
      </c:valAx>
      <c:spPr>
        <a:noFill/>
        <a:ln>
          <a:solidFill>
            <a:srgbClr val="FFC000">
              <a:alpha val="50000"/>
            </a:srgbClr>
          </a:solidFill>
          <a:beve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GAZP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2"/>
          <c:tx>
            <c:v>inc</c:v>
          </c:tx>
          <c:spPr>
            <a:solidFill>
              <a:srgbClr val="00B0F0">
                <a:alpha val="50196"/>
              </a:srgbClr>
            </a:solidFill>
            <a:ln w="25400">
              <a:noFill/>
            </a:ln>
            <a:effectLst/>
          </c:spPr>
          <c:val>
            <c:numRef>
              <c:f>share!$O$80:$Z$80</c:f>
              <c:numCache>
                <c:formatCode>#,##0</c:formatCode>
                <c:ptCount val="12"/>
                <c:pt idx="0">
                  <c:v>330.80168776371306</c:v>
                </c:pt>
                <c:pt idx="1">
                  <c:v>228.69198312236287</c:v>
                </c:pt>
                <c:pt idx="2">
                  <c:v>337.55274261603375</c:v>
                </c:pt>
                <c:pt idx="3">
                  <c:v>322.36286919831224</c:v>
                </c:pt>
                <c:pt idx="4">
                  <c:v>471.72995780590719</c:v>
                </c:pt>
                <c:pt idx="5">
                  <c:v>269.19831223628694</c:v>
                </c:pt>
                <c:pt idx="6">
                  <c:v>192.40506329113924</c:v>
                </c:pt>
                <c:pt idx="7">
                  <c:v>268.06083650190112</c:v>
                </c:pt>
                <c:pt idx="8">
                  <c:v>-91.254752851711018</c:v>
                </c:pt>
                <c:pt idx="9">
                  <c:v>129.27756653992395</c:v>
                </c:pt>
                <c:pt idx="10">
                  <c:v>129.27756653992395</c:v>
                </c:pt>
                <c:pt idx="11">
                  <c:v>129.27756653992395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50792"/>
        <c:axId val="234948440"/>
      </c:areaChart>
      <c:barChart>
        <c:barDir val="col"/>
        <c:grouping val="clustered"/>
        <c:varyColors val="0"/>
        <c:ser>
          <c:idx val="0"/>
          <c:order val="0"/>
          <c:tx>
            <c:v>debt</c:v>
          </c:tx>
          <c:spPr>
            <a:solidFill>
              <a:srgbClr val="FF000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share!$O$72:$Z$72</c:f>
              <c:numCache>
                <c:formatCode>#,##0</c:formatCode>
                <c:ptCount val="12"/>
                <c:pt idx="0">
                  <c:v>259.66244725738397</c:v>
                </c:pt>
                <c:pt idx="1">
                  <c:v>271.60337552742618</c:v>
                </c:pt>
                <c:pt idx="2">
                  <c:v>278.86075949367091</c:v>
                </c:pt>
                <c:pt idx="3">
                  <c:v>296.7932489451477</c:v>
                </c:pt>
                <c:pt idx="4">
                  <c:v>299.11392405063293</c:v>
                </c:pt>
                <c:pt idx="5">
                  <c:v>303.7552742616034</c:v>
                </c:pt>
                <c:pt idx="6">
                  <c:v>293.50210970464138</c:v>
                </c:pt>
                <c:pt idx="7">
                  <c:v>305.28094634558511</c:v>
                </c:pt>
                <c:pt idx="8">
                  <c:v>329.15082382762989</c:v>
                </c:pt>
                <c:pt idx="9">
                  <c:v>327.37642585551328</c:v>
                </c:pt>
                <c:pt idx="10">
                  <c:v>327.37642585551328</c:v>
                </c:pt>
                <c:pt idx="11">
                  <c:v>327.37642585551328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8-43DE-A9C5-A07D27B9B9AC}"/>
            </c:ext>
          </c:extLst>
        </c:ser>
        <c:ser>
          <c:idx val="1"/>
          <c:order val="1"/>
          <c:tx>
            <c:v>eq</c:v>
          </c:tx>
          <c:spPr>
            <a:solidFill>
              <a:srgbClr val="00B05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share!$O$78:$Z$78</c:f>
              <c:numCache>
                <c:formatCode>#,##0</c:formatCode>
                <c:ptCount val="12"/>
                <c:pt idx="0">
                  <c:v>524.51476793248946</c:v>
                </c:pt>
                <c:pt idx="1">
                  <c:v>535.10548523206751</c:v>
                </c:pt>
                <c:pt idx="2">
                  <c:v>562.23628691983129</c:v>
                </c:pt>
                <c:pt idx="3">
                  <c:v>581.2658227848101</c:v>
                </c:pt>
                <c:pt idx="4">
                  <c:v>596.83544303797476</c:v>
                </c:pt>
                <c:pt idx="5">
                  <c:v>594.17721518987344</c:v>
                </c:pt>
                <c:pt idx="6">
                  <c:v>608.7341772151899</c:v>
                </c:pt>
                <c:pt idx="7">
                  <c:v>617.44824672581319</c:v>
                </c:pt>
                <c:pt idx="8">
                  <c:v>620.4900718208703</c:v>
                </c:pt>
                <c:pt idx="9">
                  <c:v>604.52049007182086</c:v>
                </c:pt>
                <c:pt idx="10">
                  <c:v>604.52049007182086</c:v>
                </c:pt>
                <c:pt idx="11">
                  <c:v>604.52049007182086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950792"/>
        <c:axId val="234948440"/>
        <c:extLst/>
      </c:barChart>
      <c:lineChart>
        <c:grouping val="standard"/>
        <c:varyColors val="0"/>
        <c:ser>
          <c:idx val="3"/>
          <c:order val="3"/>
          <c:tx>
            <c:v>min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olid"/>
              </a:ln>
              <a:effectLst/>
            </c:spPr>
          </c:marker>
          <c:val>
            <c:numRef>
              <c:f>share!$O$69:$Z$69</c:f>
              <c:numCache>
                <c:formatCode>0.0</c:formatCode>
                <c:ptCount val="12"/>
                <c:pt idx="0">
                  <c:v>130.63</c:v>
                </c:pt>
                <c:pt idx="1">
                  <c:v>128.19</c:v>
                </c:pt>
                <c:pt idx="2">
                  <c:v>136.41999999999999</c:v>
                </c:pt>
                <c:pt idx="3">
                  <c:v>145.02000000000001</c:v>
                </c:pt>
                <c:pt idx="4">
                  <c:v>148.83000000000001</c:v>
                </c:pt>
                <c:pt idx="5">
                  <c:v>149.91999999999999</c:v>
                </c:pt>
                <c:pt idx="6">
                  <c:v>206</c:v>
                </c:pt>
                <c:pt idx="7">
                  <c:v>220.68</c:v>
                </c:pt>
                <c:pt idx="8">
                  <c:v>158.16999999999999</c:v>
                </c:pt>
                <c:pt idx="9">
                  <c:v>177.5</c:v>
                </c:pt>
                <c:pt idx="10">
                  <c:v>169.6</c:v>
                </c:pt>
                <c:pt idx="11">
                  <c:v>151.9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C8-43DE-A9C5-A07D27B9B9AC}"/>
            </c:ext>
          </c:extLst>
        </c:ser>
        <c:ser>
          <c:idx val="4"/>
          <c:order val="4"/>
          <c:tx>
            <c:v>max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share!$O$68:$Z$68</c:f>
              <c:numCache>
                <c:formatCode>0.0</c:formatCode>
                <c:ptCount val="12"/>
                <c:pt idx="0">
                  <c:v>151.65</c:v>
                </c:pt>
                <c:pt idx="1">
                  <c:v>151.27000000000001</c:v>
                </c:pt>
                <c:pt idx="2">
                  <c:v>163.19</c:v>
                </c:pt>
                <c:pt idx="3">
                  <c:v>176.95</c:v>
                </c:pt>
                <c:pt idx="4">
                  <c:v>166.49</c:v>
                </c:pt>
                <c:pt idx="5">
                  <c:v>251.65</c:v>
                </c:pt>
                <c:pt idx="6">
                  <c:v>256.39999999999998</c:v>
                </c:pt>
                <c:pt idx="7">
                  <c:v>272.68</c:v>
                </c:pt>
                <c:pt idx="8">
                  <c:v>261.89999999999998</c:v>
                </c:pt>
                <c:pt idx="9">
                  <c:v>208.15</c:v>
                </c:pt>
                <c:pt idx="10">
                  <c:v>202.33</c:v>
                </c:pt>
                <c:pt idx="11">
                  <c:v>187.69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950792"/>
        <c:axId val="234948440"/>
      </c:lineChart>
      <c:catAx>
        <c:axId val="234950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948440"/>
        <c:crosses val="autoZero"/>
        <c:auto val="1"/>
        <c:lblAlgn val="ctr"/>
        <c:lblOffset val="100"/>
        <c:noMultiLvlLbl val="0"/>
      </c:catAx>
      <c:valAx>
        <c:axId val="23494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950792"/>
        <c:crosses val="autoZero"/>
        <c:crossBetween val="between"/>
      </c:valAx>
      <c:spPr>
        <a:noFill/>
        <a:ln>
          <a:solidFill>
            <a:srgbClr val="FFC000">
              <a:alpha val="50000"/>
            </a:srgbClr>
          </a:solidFill>
          <a:beve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2"/>
          <c:tx>
            <c:v>inc</c:v>
          </c:tx>
          <c:spPr>
            <a:solidFill>
              <a:srgbClr val="00B0F0">
                <a:alpha val="50196"/>
              </a:srgbClr>
            </a:solidFill>
            <a:ln w="25400"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share!$O$102:$Z$102</c:f>
              <c:numCache>
                <c:formatCode>#,##0</c:formatCode>
                <c:ptCount val="12"/>
                <c:pt idx="0">
                  <c:v>8.5517511505695722</c:v>
                </c:pt>
                <c:pt idx="1">
                  <c:v>10.685083232889207</c:v>
                </c:pt>
                <c:pt idx="2">
                  <c:v>4.033044948936447</c:v>
                </c:pt>
                <c:pt idx="3">
                  <c:v>48.083170890188434</c:v>
                </c:pt>
                <c:pt idx="4">
                  <c:v>8.8062939100592477</c:v>
                </c:pt>
                <c:pt idx="5">
                  <c:v>5.5679647793855809</c:v>
                </c:pt>
                <c:pt idx="6">
                  <c:v>0.12946659761781462</c:v>
                </c:pt>
                <c:pt idx="7">
                  <c:v>21.960986952590105</c:v>
                </c:pt>
                <c:pt idx="8">
                  <c:v>-64.466219700876735</c:v>
                </c:pt>
                <c:pt idx="9">
                  <c:v>-27.784045124899276</c:v>
                </c:pt>
                <c:pt idx="10">
                  <c:v>-5.8662369057211929</c:v>
                </c:pt>
                <c:pt idx="11">
                  <c:v>-5.8662369057211929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83400"/>
        <c:axId val="541885752"/>
      </c:areaChart>
      <c:barChart>
        <c:barDir val="col"/>
        <c:grouping val="clustered"/>
        <c:varyColors val="0"/>
        <c:ser>
          <c:idx val="0"/>
          <c:order val="0"/>
          <c:tx>
            <c:v>debt</c:v>
          </c:tx>
          <c:spPr>
            <a:solidFill>
              <a:srgbClr val="FF000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share!$O$94:$Z$94</c:f>
              <c:numCache>
                <c:formatCode>#,##0</c:formatCode>
                <c:ptCount val="12"/>
                <c:pt idx="0">
                  <c:v>44.935861866370729</c:v>
                </c:pt>
                <c:pt idx="1">
                  <c:v>41.613186956380098</c:v>
                </c:pt>
                <c:pt idx="2">
                  <c:v>47.863136668184481</c:v>
                </c:pt>
                <c:pt idx="3">
                  <c:v>41.448992852501625</c:v>
                </c:pt>
                <c:pt idx="4">
                  <c:v>48.47670541004306</c:v>
                </c:pt>
                <c:pt idx="5">
                  <c:v>46.699685992683946</c:v>
                </c:pt>
                <c:pt idx="6">
                  <c:v>53.372604867944077</c:v>
                </c:pt>
                <c:pt idx="7">
                  <c:v>47.78129440640744</c:v>
                </c:pt>
                <c:pt idx="8">
                  <c:v>51.199071686436305</c:v>
                </c:pt>
                <c:pt idx="9">
                  <c:v>49.282836422240131</c:v>
                </c:pt>
                <c:pt idx="10">
                  <c:v>54.701047542304593</c:v>
                </c:pt>
                <c:pt idx="11">
                  <c:v>54.701047542304593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C8-43DE-A9C5-A07D27B9B9AC}"/>
            </c:ext>
          </c:extLst>
        </c:ser>
        <c:ser>
          <c:idx val="1"/>
          <c:order val="1"/>
          <c:tx>
            <c:v>eq</c:v>
          </c:tx>
          <c:spPr>
            <a:solidFill>
              <a:srgbClr val="00B050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strRef>
              <c:f>share!$O$2:$Z$2</c:f>
              <c:strCache>
                <c:ptCount val="12"/>
                <c:pt idx="0">
                  <c:v>1.18</c:v>
                </c:pt>
                <c:pt idx="1">
                  <c:v>2.18</c:v>
                </c:pt>
                <c:pt idx="2">
                  <c:v>3.18</c:v>
                </c:pt>
                <c:pt idx="3">
                  <c:v>4.18</c:v>
                </c:pt>
                <c:pt idx="4">
                  <c:v>1.19</c:v>
                </c:pt>
                <c:pt idx="5">
                  <c:v>2.19</c:v>
                </c:pt>
                <c:pt idx="6">
                  <c:v>3.19</c:v>
                </c:pt>
                <c:pt idx="7">
                  <c:v>4.19</c:v>
                </c:pt>
                <c:pt idx="8">
                  <c:v>1.20</c:v>
                </c:pt>
                <c:pt idx="9">
                  <c:v>2.20</c:v>
                </c:pt>
                <c:pt idx="10">
                  <c:v>3.20</c:v>
                </c:pt>
                <c:pt idx="11">
                  <c:v>4.20</c:v>
                </c:pt>
              </c:strCache>
            </c:strRef>
          </c:cat>
          <c:val>
            <c:numRef>
              <c:f>share!$O$100:$Z$100</c:f>
              <c:numCache>
                <c:formatCode>#,##0</c:formatCode>
                <c:ptCount val="12"/>
                <c:pt idx="0">
                  <c:v>18.934621536051178</c:v>
                </c:pt>
                <c:pt idx="1">
                  <c:v>19.200573345929566</c:v>
                </c:pt>
                <c:pt idx="2">
                  <c:v>18.360111884472779</c:v>
                </c:pt>
                <c:pt idx="3">
                  <c:v>20.909681611435996</c:v>
                </c:pt>
                <c:pt idx="4">
                  <c:v>20.471395732832583</c:v>
                </c:pt>
                <c:pt idx="5">
                  <c:v>20.442847431290666</c:v>
                </c:pt>
                <c:pt idx="6">
                  <c:v>19.604479544277577</c:v>
                </c:pt>
                <c:pt idx="7">
                  <c:v>20.594884381862808</c:v>
                </c:pt>
                <c:pt idx="8">
                  <c:v>8.6932697266632282</c:v>
                </c:pt>
                <c:pt idx="9">
                  <c:v>7.4907332796132149</c:v>
                </c:pt>
                <c:pt idx="10">
                  <c:v>7.2006446414182115</c:v>
                </c:pt>
                <c:pt idx="11">
                  <c:v>7.2006446414182115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883400"/>
        <c:axId val="541885752"/>
        <c:extLst/>
      </c:barChart>
      <c:lineChart>
        <c:grouping val="standard"/>
        <c:varyColors val="0"/>
        <c:ser>
          <c:idx val="3"/>
          <c:order val="3"/>
          <c:tx>
            <c:v>min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olid"/>
              </a:ln>
              <a:effectLst/>
            </c:spPr>
          </c:marker>
          <c:val>
            <c:numRef>
              <c:f>share!$O$91:$Z$91</c:f>
              <c:numCache>
                <c:formatCode>0.00</c:formatCode>
                <c:ptCount val="12"/>
                <c:pt idx="0">
                  <c:v>22.47</c:v>
                </c:pt>
                <c:pt idx="1">
                  <c:v>27.94</c:v>
                </c:pt>
                <c:pt idx="2">
                  <c:v>34.049999999999997</c:v>
                </c:pt>
                <c:pt idx="3">
                  <c:v>27.74</c:v>
                </c:pt>
                <c:pt idx="4">
                  <c:v>22.73</c:v>
                </c:pt>
                <c:pt idx="5">
                  <c:v>20.02</c:v>
                </c:pt>
                <c:pt idx="6">
                  <c:v>14.2</c:v>
                </c:pt>
                <c:pt idx="7">
                  <c:v>14.11</c:v>
                </c:pt>
                <c:pt idx="8">
                  <c:v>4.7300000000000004</c:v>
                </c:pt>
                <c:pt idx="9">
                  <c:v>4.38</c:v>
                </c:pt>
                <c:pt idx="10">
                  <c:v>5.6</c:v>
                </c:pt>
                <c:pt idx="11">
                  <c:v>5.57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3C8-43DE-A9C5-A07D27B9B9AC}"/>
            </c:ext>
          </c:extLst>
        </c:ser>
        <c:ser>
          <c:idx val="4"/>
          <c:order val="4"/>
          <c:tx>
            <c:v>max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share!$O$90:$Z$90</c:f>
              <c:numCache>
                <c:formatCode>0.00</c:formatCode>
                <c:ptCount val="12"/>
                <c:pt idx="0">
                  <c:v>31.04</c:v>
                </c:pt>
                <c:pt idx="1">
                  <c:v>41.33</c:v>
                </c:pt>
                <c:pt idx="2">
                  <c:v>41.99</c:v>
                </c:pt>
                <c:pt idx="3">
                  <c:v>38.35</c:v>
                </c:pt>
                <c:pt idx="4">
                  <c:v>31.98</c:v>
                </c:pt>
                <c:pt idx="5">
                  <c:v>26.33</c:v>
                </c:pt>
                <c:pt idx="6">
                  <c:v>23.4</c:v>
                </c:pt>
                <c:pt idx="7">
                  <c:v>17.05</c:v>
                </c:pt>
                <c:pt idx="8">
                  <c:v>18.57</c:v>
                </c:pt>
                <c:pt idx="9">
                  <c:v>10.45</c:v>
                </c:pt>
                <c:pt idx="10">
                  <c:v>7.98</c:v>
                </c:pt>
                <c:pt idx="11">
                  <c:v>11.4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3C8-43DE-A9C5-A07D27B9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83400"/>
        <c:axId val="541885752"/>
      </c:lineChart>
      <c:catAx>
        <c:axId val="54188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85752"/>
        <c:crosses val="autoZero"/>
        <c:auto val="1"/>
        <c:lblAlgn val="ctr"/>
        <c:lblOffset val="100"/>
        <c:noMultiLvlLbl val="0"/>
      </c:catAx>
      <c:valAx>
        <c:axId val="54188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83400"/>
        <c:crosses val="autoZero"/>
        <c:crossBetween val="between"/>
      </c:valAx>
      <c:spPr>
        <a:noFill/>
        <a:ln>
          <a:solidFill>
            <a:srgbClr val="FFC000">
              <a:alpha val="50000"/>
            </a:srgbClr>
          </a:solidFill>
          <a:beve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GazP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xVal>
            <c:numRef>
              <c:f>cmp!$P$9:$R$9</c:f>
              <c:numCache>
                <c:formatCode>#,##0.00</c:formatCode>
                <c:ptCount val="3"/>
                <c:pt idx="0">
                  <c:v>0.27695590156794425</c:v>
                </c:pt>
                <c:pt idx="1">
                  <c:v>0.39951526513855629</c:v>
                </c:pt>
                <c:pt idx="2">
                  <c:v>0.30377795792857637</c:v>
                </c:pt>
              </c:numCache>
            </c:numRef>
          </c:xVal>
          <c:yVal>
            <c:numRef>
              <c:f>cmp!$P$7:$R$7</c:f>
              <c:numCache>
                <c:formatCode>#,##0.00</c:formatCode>
                <c:ptCount val="3"/>
                <c:pt idx="0">
                  <c:v>0.40048808174464978</c:v>
                </c:pt>
                <c:pt idx="1">
                  <c:v>0.21733487635957607</c:v>
                </c:pt>
                <c:pt idx="2">
                  <c:v>0.29194166467207705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120312"/>
        <c:axId val="690122272"/>
      </c:scatterChart>
      <c:valAx>
        <c:axId val="690120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22272"/>
        <c:crosses val="autoZero"/>
        <c:crossBetween val="midCat"/>
      </c:valAx>
      <c:valAx>
        <c:axId val="69012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2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t!$A$3:$A$717</c:f>
              <c:numCache>
                <c:formatCode>m/d/yyyy</c:formatCode>
                <c:ptCount val="715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  <c:pt idx="218">
                  <c:v>43887</c:v>
                </c:pt>
                <c:pt idx="219">
                  <c:v>43886</c:v>
                </c:pt>
                <c:pt idx="220">
                  <c:v>43882</c:v>
                </c:pt>
                <c:pt idx="221">
                  <c:v>43881</c:v>
                </c:pt>
                <c:pt idx="222">
                  <c:v>43880</c:v>
                </c:pt>
                <c:pt idx="223">
                  <c:v>43879</c:v>
                </c:pt>
                <c:pt idx="224">
                  <c:v>43878</c:v>
                </c:pt>
                <c:pt idx="225">
                  <c:v>43875</c:v>
                </c:pt>
                <c:pt idx="226">
                  <c:v>43874</c:v>
                </c:pt>
                <c:pt idx="227">
                  <c:v>43873</c:v>
                </c:pt>
                <c:pt idx="228">
                  <c:v>43872</c:v>
                </c:pt>
                <c:pt idx="229">
                  <c:v>43871</c:v>
                </c:pt>
                <c:pt idx="230">
                  <c:v>43868</c:v>
                </c:pt>
                <c:pt idx="231">
                  <c:v>43867</c:v>
                </c:pt>
                <c:pt idx="232">
                  <c:v>43866</c:v>
                </c:pt>
                <c:pt idx="233">
                  <c:v>43865</c:v>
                </c:pt>
                <c:pt idx="234">
                  <c:v>43864</c:v>
                </c:pt>
                <c:pt idx="235">
                  <c:v>43861</c:v>
                </c:pt>
                <c:pt idx="236">
                  <c:v>43860</c:v>
                </c:pt>
                <c:pt idx="237">
                  <c:v>43859</c:v>
                </c:pt>
                <c:pt idx="238">
                  <c:v>43858</c:v>
                </c:pt>
                <c:pt idx="239">
                  <c:v>43857</c:v>
                </c:pt>
                <c:pt idx="240">
                  <c:v>43854</c:v>
                </c:pt>
                <c:pt idx="241">
                  <c:v>43853</c:v>
                </c:pt>
                <c:pt idx="242">
                  <c:v>43852</c:v>
                </c:pt>
                <c:pt idx="243">
                  <c:v>43851</c:v>
                </c:pt>
                <c:pt idx="244">
                  <c:v>43850</c:v>
                </c:pt>
                <c:pt idx="245">
                  <c:v>43847</c:v>
                </c:pt>
                <c:pt idx="246">
                  <c:v>43846</c:v>
                </c:pt>
                <c:pt idx="247">
                  <c:v>43845</c:v>
                </c:pt>
                <c:pt idx="248">
                  <c:v>43844</c:v>
                </c:pt>
                <c:pt idx="249">
                  <c:v>43843</c:v>
                </c:pt>
                <c:pt idx="250">
                  <c:v>43840</c:v>
                </c:pt>
                <c:pt idx="251">
                  <c:v>43839</c:v>
                </c:pt>
                <c:pt idx="252">
                  <c:v>43838</c:v>
                </c:pt>
                <c:pt idx="253">
                  <c:v>43836</c:v>
                </c:pt>
                <c:pt idx="254">
                  <c:v>43833</c:v>
                </c:pt>
                <c:pt idx="255">
                  <c:v>43829</c:v>
                </c:pt>
                <c:pt idx="256">
                  <c:v>43826</c:v>
                </c:pt>
                <c:pt idx="257">
                  <c:v>43825</c:v>
                </c:pt>
                <c:pt idx="258">
                  <c:v>43824</c:v>
                </c:pt>
                <c:pt idx="259">
                  <c:v>43823</c:v>
                </c:pt>
                <c:pt idx="260">
                  <c:v>43822</c:v>
                </c:pt>
                <c:pt idx="261">
                  <c:v>43819</c:v>
                </c:pt>
                <c:pt idx="262">
                  <c:v>43818</c:v>
                </c:pt>
                <c:pt idx="263">
                  <c:v>43817</c:v>
                </c:pt>
                <c:pt idx="264">
                  <c:v>43816</c:v>
                </c:pt>
                <c:pt idx="265">
                  <c:v>43815</c:v>
                </c:pt>
                <c:pt idx="266">
                  <c:v>43812</c:v>
                </c:pt>
                <c:pt idx="267">
                  <c:v>43811</c:v>
                </c:pt>
                <c:pt idx="268">
                  <c:v>43810</c:v>
                </c:pt>
                <c:pt idx="269">
                  <c:v>43809</c:v>
                </c:pt>
                <c:pt idx="270">
                  <c:v>43808</c:v>
                </c:pt>
                <c:pt idx="271">
                  <c:v>43805</c:v>
                </c:pt>
                <c:pt idx="272">
                  <c:v>43804</c:v>
                </c:pt>
                <c:pt idx="273">
                  <c:v>43803</c:v>
                </c:pt>
                <c:pt idx="274">
                  <c:v>43802</c:v>
                </c:pt>
                <c:pt idx="275">
                  <c:v>43801</c:v>
                </c:pt>
                <c:pt idx="276">
                  <c:v>43798</c:v>
                </c:pt>
                <c:pt idx="277">
                  <c:v>43797</c:v>
                </c:pt>
                <c:pt idx="278">
                  <c:v>43796</c:v>
                </c:pt>
                <c:pt idx="279">
                  <c:v>43795</c:v>
                </c:pt>
                <c:pt idx="280">
                  <c:v>43794</c:v>
                </c:pt>
                <c:pt idx="281">
                  <c:v>43791</c:v>
                </c:pt>
                <c:pt idx="282">
                  <c:v>43790</c:v>
                </c:pt>
                <c:pt idx="283">
                  <c:v>43789</c:v>
                </c:pt>
                <c:pt idx="284">
                  <c:v>43788</c:v>
                </c:pt>
                <c:pt idx="285">
                  <c:v>43787</c:v>
                </c:pt>
                <c:pt idx="286">
                  <c:v>43784</c:v>
                </c:pt>
                <c:pt idx="287">
                  <c:v>43783</c:v>
                </c:pt>
                <c:pt idx="288">
                  <c:v>43782</c:v>
                </c:pt>
                <c:pt idx="289">
                  <c:v>43781</c:v>
                </c:pt>
                <c:pt idx="290">
                  <c:v>43780</c:v>
                </c:pt>
                <c:pt idx="291">
                  <c:v>43777</c:v>
                </c:pt>
                <c:pt idx="292">
                  <c:v>43776</c:v>
                </c:pt>
                <c:pt idx="293">
                  <c:v>43775</c:v>
                </c:pt>
                <c:pt idx="294">
                  <c:v>43774</c:v>
                </c:pt>
                <c:pt idx="295">
                  <c:v>43770</c:v>
                </c:pt>
                <c:pt idx="296">
                  <c:v>43769</c:v>
                </c:pt>
                <c:pt idx="297">
                  <c:v>43768</c:v>
                </c:pt>
                <c:pt idx="298">
                  <c:v>43767</c:v>
                </c:pt>
                <c:pt idx="299">
                  <c:v>43766</c:v>
                </c:pt>
                <c:pt idx="300">
                  <c:v>43763</c:v>
                </c:pt>
                <c:pt idx="301">
                  <c:v>43762</c:v>
                </c:pt>
                <c:pt idx="302">
                  <c:v>43761</c:v>
                </c:pt>
                <c:pt idx="303">
                  <c:v>43760</c:v>
                </c:pt>
                <c:pt idx="304">
                  <c:v>43759</c:v>
                </c:pt>
                <c:pt idx="305">
                  <c:v>43756</c:v>
                </c:pt>
                <c:pt idx="306">
                  <c:v>43755</c:v>
                </c:pt>
                <c:pt idx="307">
                  <c:v>43754</c:v>
                </c:pt>
                <c:pt idx="308">
                  <c:v>43753</c:v>
                </c:pt>
                <c:pt idx="309">
                  <c:v>43752</c:v>
                </c:pt>
                <c:pt idx="310">
                  <c:v>43749</c:v>
                </c:pt>
                <c:pt idx="311">
                  <c:v>43748</c:v>
                </c:pt>
                <c:pt idx="312">
                  <c:v>43747</c:v>
                </c:pt>
                <c:pt idx="313">
                  <c:v>43746</c:v>
                </c:pt>
                <c:pt idx="314">
                  <c:v>43745</c:v>
                </c:pt>
                <c:pt idx="315">
                  <c:v>43742</c:v>
                </c:pt>
                <c:pt idx="316">
                  <c:v>43741</c:v>
                </c:pt>
                <c:pt idx="317">
                  <c:v>43740</c:v>
                </c:pt>
                <c:pt idx="318">
                  <c:v>43739</c:v>
                </c:pt>
                <c:pt idx="319">
                  <c:v>43738</c:v>
                </c:pt>
                <c:pt idx="320">
                  <c:v>43735</c:v>
                </c:pt>
                <c:pt idx="321">
                  <c:v>43734</c:v>
                </c:pt>
                <c:pt idx="322">
                  <c:v>43733</c:v>
                </c:pt>
                <c:pt idx="323">
                  <c:v>43732</c:v>
                </c:pt>
                <c:pt idx="324">
                  <c:v>43731</c:v>
                </c:pt>
                <c:pt idx="325">
                  <c:v>43728</c:v>
                </c:pt>
                <c:pt idx="326">
                  <c:v>43727</c:v>
                </c:pt>
                <c:pt idx="327">
                  <c:v>43726</c:v>
                </c:pt>
                <c:pt idx="328">
                  <c:v>43725</c:v>
                </c:pt>
                <c:pt idx="329">
                  <c:v>43724</c:v>
                </c:pt>
                <c:pt idx="330">
                  <c:v>43721</c:v>
                </c:pt>
                <c:pt idx="331">
                  <c:v>43720</c:v>
                </c:pt>
                <c:pt idx="332">
                  <c:v>43719</c:v>
                </c:pt>
                <c:pt idx="333">
                  <c:v>43718</c:v>
                </c:pt>
                <c:pt idx="334">
                  <c:v>43717</c:v>
                </c:pt>
                <c:pt idx="335">
                  <c:v>43714</c:v>
                </c:pt>
                <c:pt idx="336">
                  <c:v>43713</c:v>
                </c:pt>
                <c:pt idx="337">
                  <c:v>43712</c:v>
                </c:pt>
                <c:pt idx="338">
                  <c:v>43711</c:v>
                </c:pt>
                <c:pt idx="339">
                  <c:v>43710</c:v>
                </c:pt>
                <c:pt idx="340">
                  <c:v>43707</c:v>
                </c:pt>
                <c:pt idx="341">
                  <c:v>43706</c:v>
                </c:pt>
                <c:pt idx="342">
                  <c:v>43705</c:v>
                </c:pt>
                <c:pt idx="343">
                  <c:v>43704</c:v>
                </c:pt>
                <c:pt idx="344">
                  <c:v>43703</c:v>
                </c:pt>
                <c:pt idx="345">
                  <c:v>43700</c:v>
                </c:pt>
                <c:pt idx="346">
                  <c:v>43699</c:v>
                </c:pt>
                <c:pt idx="347">
                  <c:v>43698</c:v>
                </c:pt>
                <c:pt idx="348">
                  <c:v>43697</c:v>
                </c:pt>
                <c:pt idx="349">
                  <c:v>43696</c:v>
                </c:pt>
                <c:pt idx="350">
                  <c:v>43693</c:v>
                </c:pt>
                <c:pt idx="351">
                  <c:v>43692</c:v>
                </c:pt>
                <c:pt idx="352">
                  <c:v>43691</c:v>
                </c:pt>
                <c:pt idx="353">
                  <c:v>43690</c:v>
                </c:pt>
                <c:pt idx="354">
                  <c:v>43689</c:v>
                </c:pt>
                <c:pt idx="355">
                  <c:v>43686</c:v>
                </c:pt>
                <c:pt idx="356">
                  <c:v>43685</c:v>
                </c:pt>
                <c:pt idx="357">
                  <c:v>43684</c:v>
                </c:pt>
                <c:pt idx="358">
                  <c:v>43683</c:v>
                </c:pt>
                <c:pt idx="359">
                  <c:v>43682</c:v>
                </c:pt>
                <c:pt idx="360">
                  <c:v>43679</c:v>
                </c:pt>
                <c:pt idx="361">
                  <c:v>43678</c:v>
                </c:pt>
                <c:pt idx="362">
                  <c:v>43677</c:v>
                </c:pt>
                <c:pt idx="363">
                  <c:v>43676</c:v>
                </c:pt>
                <c:pt idx="364">
                  <c:v>43675</c:v>
                </c:pt>
                <c:pt idx="365">
                  <c:v>43672</c:v>
                </c:pt>
                <c:pt idx="366">
                  <c:v>43671</c:v>
                </c:pt>
                <c:pt idx="367">
                  <c:v>43670</c:v>
                </c:pt>
                <c:pt idx="368">
                  <c:v>43669</c:v>
                </c:pt>
                <c:pt idx="369">
                  <c:v>43668</c:v>
                </c:pt>
                <c:pt idx="370">
                  <c:v>43665</c:v>
                </c:pt>
                <c:pt idx="371">
                  <c:v>43664</c:v>
                </c:pt>
                <c:pt idx="372">
                  <c:v>43663</c:v>
                </c:pt>
                <c:pt idx="373">
                  <c:v>43662</c:v>
                </c:pt>
                <c:pt idx="374">
                  <c:v>43661</c:v>
                </c:pt>
                <c:pt idx="375">
                  <c:v>43658</c:v>
                </c:pt>
                <c:pt idx="376">
                  <c:v>43657</c:v>
                </c:pt>
                <c:pt idx="377">
                  <c:v>43656</c:v>
                </c:pt>
                <c:pt idx="378">
                  <c:v>43655</c:v>
                </c:pt>
                <c:pt idx="379">
                  <c:v>43654</c:v>
                </c:pt>
                <c:pt idx="380">
                  <c:v>43651</c:v>
                </c:pt>
                <c:pt idx="381">
                  <c:v>43650</c:v>
                </c:pt>
                <c:pt idx="382">
                  <c:v>43649</c:v>
                </c:pt>
                <c:pt idx="383">
                  <c:v>43648</c:v>
                </c:pt>
                <c:pt idx="384">
                  <c:v>43647</c:v>
                </c:pt>
                <c:pt idx="385">
                  <c:v>43644</c:v>
                </c:pt>
                <c:pt idx="386">
                  <c:v>43643</c:v>
                </c:pt>
                <c:pt idx="387">
                  <c:v>43642</c:v>
                </c:pt>
                <c:pt idx="388">
                  <c:v>43641</c:v>
                </c:pt>
                <c:pt idx="389">
                  <c:v>43640</c:v>
                </c:pt>
                <c:pt idx="390">
                  <c:v>43637</c:v>
                </c:pt>
                <c:pt idx="391">
                  <c:v>43636</c:v>
                </c:pt>
                <c:pt idx="392">
                  <c:v>43635</c:v>
                </c:pt>
                <c:pt idx="393">
                  <c:v>43634</c:v>
                </c:pt>
                <c:pt idx="394">
                  <c:v>43633</c:v>
                </c:pt>
                <c:pt idx="395">
                  <c:v>43630</c:v>
                </c:pt>
                <c:pt idx="396">
                  <c:v>43629</c:v>
                </c:pt>
                <c:pt idx="397">
                  <c:v>43627</c:v>
                </c:pt>
                <c:pt idx="398">
                  <c:v>43626</c:v>
                </c:pt>
                <c:pt idx="399">
                  <c:v>43623</c:v>
                </c:pt>
                <c:pt idx="400">
                  <c:v>43622</c:v>
                </c:pt>
                <c:pt idx="401">
                  <c:v>43621</c:v>
                </c:pt>
                <c:pt idx="402">
                  <c:v>43620</c:v>
                </c:pt>
                <c:pt idx="403">
                  <c:v>43619</c:v>
                </c:pt>
                <c:pt idx="404">
                  <c:v>43616</c:v>
                </c:pt>
                <c:pt idx="405">
                  <c:v>43615</c:v>
                </c:pt>
                <c:pt idx="406">
                  <c:v>43614</c:v>
                </c:pt>
                <c:pt idx="407">
                  <c:v>43613</c:v>
                </c:pt>
                <c:pt idx="408">
                  <c:v>43612</c:v>
                </c:pt>
                <c:pt idx="409">
                  <c:v>43609</c:v>
                </c:pt>
                <c:pt idx="410">
                  <c:v>43608</c:v>
                </c:pt>
                <c:pt idx="411">
                  <c:v>43607</c:v>
                </c:pt>
                <c:pt idx="412">
                  <c:v>43606</c:v>
                </c:pt>
                <c:pt idx="413">
                  <c:v>43605</c:v>
                </c:pt>
                <c:pt idx="414">
                  <c:v>43602</c:v>
                </c:pt>
                <c:pt idx="415">
                  <c:v>43601</c:v>
                </c:pt>
                <c:pt idx="416">
                  <c:v>43600</c:v>
                </c:pt>
                <c:pt idx="417">
                  <c:v>43599</c:v>
                </c:pt>
                <c:pt idx="418">
                  <c:v>43598</c:v>
                </c:pt>
                <c:pt idx="419">
                  <c:v>43595</c:v>
                </c:pt>
                <c:pt idx="420">
                  <c:v>43593</c:v>
                </c:pt>
                <c:pt idx="421">
                  <c:v>43592</c:v>
                </c:pt>
                <c:pt idx="422">
                  <c:v>43591</c:v>
                </c:pt>
                <c:pt idx="423">
                  <c:v>43588</c:v>
                </c:pt>
                <c:pt idx="424">
                  <c:v>43587</c:v>
                </c:pt>
                <c:pt idx="425">
                  <c:v>43585</c:v>
                </c:pt>
                <c:pt idx="426">
                  <c:v>43584</c:v>
                </c:pt>
                <c:pt idx="427">
                  <c:v>43581</c:v>
                </c:pt>
                <c:pt idx="428">
                  <c:v>43580</c:v>
                </c:pt>
                <c:pt idx="429">
                  <c:v>43579</c:v>
                </c:pt>
                <c:pt idx="430">
                  <c:v>43578</c:v>
                </c:pt>
                <c:pt idx="431">
                  <c:v>43577</c:v>
                </c:pt>
                <c:pt idx="432">
                  <c:v>43574</c:v>
                </c:pt>
                <c:pt idx="433">
                  <c:v>43573</c:v>
                </c:pt>
                <c:pt idx="434">
                  <c:v>43572</c:v>
                </c:pt>
                <c:pt idx="435">
                  <c:v>43571</c:v>
                </c:pt>
                <c:pt idx="436">
                  <c:v>43570</c:v>
                </c:pt>
                <c:pt idx="437">
                  <c:v>43567</c:v>
                </c:pt>
                <c:pt idx="438">
                  <c:v>43566</c:v>
                </c:pt>
                <c:pt idx="439">
                  <c:v>43565</c:v>
                </c:pt>
                <c:pt idx="440">
                  <c:v>43564</c:v>
                </c:pt>
                <c:pt idx="441">
                  <c:v>43563</c:v>
                </c:pt>
                <c:pt idx="442">
                  <c:v>43560</c:v>
                </c:pt>
                <c:pt idx="443">
                  <c:v>43559</c:v>
                </c:pt>
                <c:pt idx="444">
                  <c:v>43558</c:v>
                </c:pt>
                <c:pt idx="445">
                  <c:v>43557</c:v>
                </c:pt>
                <c:pt idx="446">
                  <c:v>43556</c:v>
                </c:pt>
                <c:pt idx="447">
                  <c:v>43553</c:v>
                </c:pt>
                <c:pt idx="448">
                  <c:v>43552</c:v>
                </c:pt>
                <c:pt idx="449">
                  <c:v>43551</c:v>
                </c:pt>
                <c:pt idx="450">
                  <c:v>43550</c:v>
                </c:pt>
                <c:pt idx="451">
                  <c:v>43549</c:v>
                </c:pt>
                <c:pt idx="452">
                  <c:v>43546</c:v>
                </c:pt>
                <c:pt idx="453">
                  <c:v>43545</c:v>
                </c:pt>
                <c:pt idx="454">
                  <c:v>43544</c:v>
                </c:pt>
                <c:pt idx="455">
                  <c:v>43543</c:v>
                </c:pt>
                <c:pt idx="456">
                  <c:v>43542</c:v>
                </c:pt>
                <c:pt idx="457">
                  <c:v>43539</c:v>
                </c:pt>
                <c:pt idx="458">
                  <c:v>43538</c:v>
                </c:pt>
                <c:pt idx="459">
                  <c:v>43537</c:v>
                </c:pt>
                <c:pt idx="460">
                  <c:v>43536</c:v>
                </c:pt>
                <c:pt idx="461">
                  <c:v>43535</c:v>
                </c:pt>
                <c:pt idx="462">
                  <c:v>43531</c:v>
                </c:pt>
                <c:pt idx="463">
                  <c:v>43530</c:v>
                </c:pt>
                <c:pt idx="464">
                  <c:v>43529</c:v>
                </c:pt>
                <c:pt idx="465">
                  <c:v>43528</c:v>
                </c:pt>
                <c:pt idx="466">
                  <c:v>43525</c:v>
                </c:pt>
                <c:pt idx="467">
                  <c:v>43524</c:v>
                </c:pt>
                <c:pt idx="468">
                  <c:v>43523</c:v>
                </c:pt>
                <c:pt idx="469">
                  <c:v>43522</c:v>
                </c:pt>
                <c:pt idx="470">
                  <c:v>43521</c:v>
                </c:pt>
                <c:pt idx="471">
                  <c:v>43518</c:v>
                </c:pt>
                <c:pt idx="472">
                  <c:v>43517</c:v>
                </c:pt>
                <c:pt idx="473">
                  <c:v>43516</c:v>
                </c:pt>
                <c:pt idx="474">
                  <c:v>43515</c:v>
                </c:pt>
                <c:pt idx="475">
                  <c:v>43514</c:v>
                </c:pt>
                <c:pt idx="476">
                  <c:v>43511</c:v>
                </c:pt>
                <c:pt idx="477">
                  <c:v>43510</c:v>
                </c:pt>
                <c:pt idx="478">
                  <c:v>43509</c:v>
                </c:pt>
                <c:pt idx="479">
                  <c:v>43508</c:v>
                </c:pt>
                <c:pt idx="480">
                  <c:v>43507</c:v>
                </c:pt>
                <c:pt idx="481">
                  <c:v>43504</c:v>
                </c:pt>
                <c:pt idx="482">
                  <c:v>43503</c:v>
                </c:pt>
                <c:pt idx="483">
                  <c:v>43502</c:v>
                </c:pt>
                <c:pt idx="484">
                  <c:v>43501</c:v>
                </c:pt>
                <c:pt idx="485">
                  <c:v>43500</c:v>
                </c:pt>
                <c:pt idx="486">
                  <c:v>43497</c:v>
                </c:pt>
                <c:pt idx="487">
                  <c:v>43496</c:v>
                </c:pt>
                <c:pt idx="488">
                  <c:v>43495</c:v>
                </c:pt>
                <c:pt idx="489">
                  <c:v>43494</c:v>
                </c:pt>
                <c:pt idx="490">
                  <c:v>43493</c:v>
                </c:pt>
                <c:pt idx="491">
                  <c:v>43490</c:v>
                </c:pt>
                <c:pt idx="492">
                  <c:v>43489</c:v>
                </c:pt>
                <c:pt idx="493">
                  <c:v>43488</c:v>
                </c:pt>
                <c:pt idx="494">
                  <c:v>43487</c:v>
                </c:pt>
                <c:pt idx="495">
                  <c:v>43486</c:v>
                </c:pt>
                <c:pt idx="496">
                  <c:v>43483</c:v>
                </c:pt>
                <c:pt idx="497">
                  <c:v>43482</c:v>
                </c:pt>
                <c:pt idx="498">
                  <c:v>43481</c:v>
                </c:pt>
                <c:pt idx="499">
                  <c:v>43480</c:v>
                </c:pt>
                <c:pt idx="500">
                  <c:v>43479</c:v>
                </c:pt>
                <c:pt idx="501">
                  <c:v>43476</c:v>
                </c:pt>
                <c:pt idx="502">
                  <c:v>43475</c:v>
                </c:pt>
                <c:pt idx="503">
                  <c:v>43474</c:v>
                </c:pt>
                <c:pt idx="504">
                  <c:v>43473</c:v>
                </c:pt>
                <c:pt idx="505">
                  <c:v>43469</c:v>
                </c:pt>
                <c:pt idx="506">
                  <c:v>43468</c:v>
                </c:pt>
                <c:pt idx="507">
                  <c:v>43463</c:v>
                </c:pt>
                <c:pt idx="508">
                  <c:v>43462</c:v>
                </c:pt>
                <c:pt idx="509">
                  <c:v>43461</c:v>
                </c:pt>
                <c:pt idx="510">
                  <c:v>43460</c:v>
                </c:pt>
                <c:pt idx="511">
                  <c:v>43459</c:v>
                </c:pt>
                <c:pt idx="512">
                  <c:v>43458</c:v>
                </c:pt>
                <c:pt idx="513">
                  <c:v>43455</c:v>
                </c:pt>
                <c:pt idx="514">
                  <c:v>43454</c:v>
                </c:pt>
                <c:pt idx="515">
                  <c:v>43453</c:v>
                </c:pt>
                <c:pt idx="516">
                  <c:v>43452</c:v>
                </c:pt>
                <c:pt idx="517">
                  <c:v>43451</c:v>
                </c:pt>
                <c:pt idx="518">
                  <c:v>43448</c:v>
                </c:pt>
                <c:pt idx="519">
                  <c:v>43447</c:v>
                </c:pt>
                <c:pt idx="520">
                  <c:v>43446</c:v>
                </c:pt>
                <c:pt idx="521">
                  <c:v>43445</c:v>
                </c:pt>
                <c:pt idx="522">
                  <c:v>43444</c:v>
                </c:pt>
                <c:pt idx="523">
                  <c:v>43441</c:v>
                </c:pt>
                <c:pt idx="524">
                  <c:v>43440</c:v>
                </c:pt>
                <c:pt idx="525">
                  <c:v>43439</c:v>
                </c:pt>
                <c:pt idx="526">
                  <c:v>43438</c:v>
                </c:pt>
                <c:pt idx="527">
                  <c:v>43437</c:v>
                </c:pt>
                <c:pt idx="528">
                  <c:v>43434</c:v>
                </c:pt>
                <c:pt idx="529">
                  <c:v>43433</c:v>
                </c:pt>
                <c:pt idx="530">
                  <c:v>43432</c:v>
                </c:pt>
                <c:pt idx="531">
                  <c:v>43431</c:v>
                </c:pt>
                <c:pt idx="532">
                  <c:v>43430</c:v>
                </c:pt>
                <c:pt idx="533">
                  <c:v>43427</c:v>
                </c:pt>
                <c:pt idx="534">
                  <c:v>43426</c:v>
                </c:pt>
                <c:pt idx="535">
                  <c:v>43425</c:v>
                </c:pt>
                <c:pt idx="536">
                  <c:v>43424</c:v>
                </c:pt>
                <c:pt idx="537">
                  <c:v>43423</c:v>
                </c:pt>
                <c:pt idx="538">
                  <c:v>43420</c:v>
                </c:pt>
                <c:pt idx="539">
                  <c:v>43419</c:v>
                </c:pt>
                <c:pt idx="540">
                  <c:v>43418</c:v>
                </c:pt>
                <c:pt idx="541">
                  <c:v>43417</c:v>
                </c:pt>
                <c:pt idx="542">
                  <c:v>43416</c:v>
                </c:pt>
                <c:pt idx="543">
                  <c:v>43413</c:v>
                </c:pt>
                <c:pt idx="544">
                  <c:v>43412</c:v>
                </c:pt>
                <c:pt idx="545">
                  <c:v>43411</c:v>
                </c:pt>
                <c:pt idx="546">
                  <c:v>43410</c:v>
                </c:pt>
                <c:pt idx="547">
                  <c:v>43406</c:v>
                </c:pt>
                <c:pt idx="548">
                  <c:v>43405</c:v>
                </c:pt>
                <c:pt idx="549">
                  <c:v>43404</c:v>
                </c:pt>
                <c:pt idx="550">
                  <c:v>43403</c:v>
                </c:pt>
                <c:pt idx="551">
                  <c:v>43402</c:v>
                </c:pt>
                <c:pt idx="552">
                  <c:v>43399</c:v>
                </c:pt>
                <c:pt idx="553">
                  <c:v>43398</c:v>
                </c:pt>
                <c:pt idx="554">
                  <c:v>43397</c:v>
                </c:pt>
                <c:pt idx="555">
                  <c:v>43396</c:v>
                </c:pt>
                <c:pt idx="556">
                  <c:v>43395</c:v>
                </c:pt>
                <c:pt idx="557">
                  <c:v>43392</c:v>
                </c:pt>
                <c:pt idx="558">
                  <c:v>43391</c:v>
                </c:pt>
                <c:pt idx="559">
                  <c:v>43390</c:v>
                </c:pt>
                <c:pt idx="560">
                  <c:v>43389</c:v>
                </c:pt>
                <c:pt idx="561">
                  <c:v>43388</c:v>
                </c:pt>
                <c:pt idx="562">
                  <c:v>43385</c:v>
                </c:pt>
                <c:pt idx="563">
                  <c:v>43384</c:v>
                </c:pt>
                <c:pt idx="564">
                  <c:v>43383</c:v>
                </c:pt>
                <c:pt idx="565">
                  <c:v>43382</c:v>
                </c:pt>
                <c:pt idx="566">
                  <c:v>43381</c:v>
                </c:pt>
                <c:pt idx="567">
                  <c:v>43378</c:v>
                </c:pt>
                <c:pt idx="568">
                  <c:v>43377</c:v>
                </c:pt>
                <c:pt idx="569">
                  <c:v>43376</c:v>
                </c:pt>
                <c:pt idx="570">
                  <c:v>43375</c:v>
                </c:pt>
                <c:pt idx="571">
                  <c:v>43374</c:v>
                </c:pt>
                <c:pt idx="572">
                  <c:v>43371</c:v>
                </c:pt>
                <c:pt idx="573">
                  <c:v>43370</c:v>
                </c:pt>
                <c:pt idx="574">
                  <c:v>43369</c:v>
                </c:pt>
                <c:pt idx="575">
                  <c:v>43368</c:v>
                </c:pt>
                <c:pt idx="576">
                  <c:v>43367</c:v>
                </c:pt>
                <c:pt idx="577">
                  <c:v>43364</c:v>
                </c:pt>
                <c:pt idx="578">
                  <c:v>43363</c:v>
                </c:pt>
                <c:pt idx="579">
                  <c:v>43362</c:v>
                </c:pt>
                <c:pt idx="580">
                  <c:v>43361</c:v>
                </c:pt>
                <c:pt idx="581">
                  <c:v>43360</c:v>
                </c:pt>
                <c:pt idx="582">
                  <c:v>43357</c:v>
                </c:pt>
                <c:pt idx="583">
                  <c:v>43356</c:v>
                </c:pt>
                <c:pt idx="584">
                  <c:v>43355</c:v>
                </c:pt>
                <c:pt idx="585">
                  <c:v>43354</c:v>
                </c:pt>
                <c:pt idx="586">
                  <c:v>43353</c:v>
                </c:pt>
                <c:pt idx="587">
                  <c:v>43350</c:v>
                </c:pt>
                <c:pt idx="588">
                  <c:v>43349</c:v>
                </c:pt>
                <c:pt idx="589">
                  <c:v>43348</c:v>
                </c:pt>
                <c:pt idx="590">
                  <c:v>43347</c:v>
                </c:pt>
                <c:pt idx="591">
                  <c:v>43346</c:v>
                </c:pt>
                <c:pt idx="592">
                  <c:v>43343</c:v>
                </c:pt>
                <c:pt idx="593">
                  <c:v>43342</c:v>
                </c:pt>
                <c:pt idx="594">
                  <c:v>43341</c:v>
                </c:pt>
                <c:pt idx="595">
                  <c:v>43340</c:v>
                </c:pt>
                <c:pt idx="596">
                  <c:v>43339</c:v>
                </c:pt>
                <c:pt idx="597">
                  <c:v>43336</c:v>
                </c:pt>
                <c:pt idx="598">
                  <c:v>43335</c:v>
                </c:pt>
                <c:pt idx="599">
                  <c:v>43334</c:v>
                </c:pt>
                <c:pt idx="600">
                  <c:v>43333</c:v>
                </c:pt>
                <c:pt idx="601">
                  <c:v>43332</c:v>
                </c:pt>
                <c:pt idx="602">
                  <c:v>43329</c:v>
                </c:pt>
                <c:pt idx="603">
                  <c:v>43328</c:v>
                </c:pt>
                <c:pt idx="604">
                  <c:v>43327</c:v>
                </c:pt>
                <c:pt idx="605">
                  <c:v>43326</c:v>
                </c:pt>
                <c:pt idx="606">
                  <c:v>43325</c:v>
                </c:pt>
                <c:pt idx="607">
                  <c:v>43322</c:v>
                </c:pt>
                <c:pt idx="608">
                  <c:v>43321</c:v>
                </c:pt>
                <c:pt idx="609">
                  <c:v>43320</c:v>
                </c:pt>
                <c:pt idx="610">
                  <c:v>43319</c:v>
                </c:pt>
                <c:pt idx="611">
                  <c:v>43318</c:v>
                </c:pt>
                <c:pt idx="612">
                  <c:v>43315</c:v>
                </c:pt>
                <c:pt idx="613">
                  <c:v>43314</c:v>
                </c:pt>
                <c:pt idx="614">
                  <c:v>43313</c:v>
                </c:pt>
                <c:pt idx="615">
                  <c:v>43312</c:v>
                </c:pt>
                <c:pt idx="616">
                  <c:v>43311</c:v>
                </c:pt>
                <c:pt idx="617">
                  <c:v>43308</c:v>
                </c:pt>
                <c:pt idx="618">
                  <c:v>43307</c:v>
                </c:pt>
                <c:pt idx="619">
                  <c:v>43306</c:v>
                </c:pt>
                <c:pt idx="620">
                  <c:v>43305</c:v>
                </c:pt>
                <c:pt idx="621">
                  <c:v>43304</c:v>
                </c:pt>
                <c:pt idx="622">
                  <c:v>43301</c:v>
                </c:pt>
                <c:pt idx="623">
                  <c:v>43300</c:v>
                </c:pt>
                <c:pt idx="624">
                  <c:v>43299</c:v>
                </c:pt>
                <c:pt idx="625">
                  <c:v>43298</c:v>
                </c:pt>
                <c:pt idx="626">
                  <c:v>43297</c:v>
                </c:pt>
                <c:pt idx="627">
                  <c:v>43294</c:v>
                </c:pt>
                <c:pt idx="628">
                  <c:v>43293</c:v>
                </c:pt>
                <c:pt idx="629">
                  <c:v>43292</c:v>
                </c:pt>
                <c:pt idx="630">
                  <c:v>43291</c:v>
                </c:pt>
                <c:pt idx="631">
                  <c:v>43290</c:v>
                </c:pt>
                <c:pt idx="632">
                  <c:v>43287</c:v>
                </c:pt>
                <c:pt idx="633">
                  <c:v>43286</c:v>
                </c:pt>
                <c:pt idx="634">
                  <c:v>43285</c:v>
                </c:pt>
                <c:pt idx="635">
                  <c:v>43284</c:v>
                </c:pt>
                <c:pt idx="636">
                  <c:v>43283</c:v>
                </c:pt>
                <c:pt idx="637">
                  <c:v>43280</c:v>
                </c:pt>
                <c:pt idx="638">
                  <c:v>43279</c:v>
                </c:pt>
                <c:pt idx="639">
                  <c:v>43278</c:v>
                </c:pt>
                <c:pt idx="640">
                  <c:v>43277</c:v>
                </c:pt>
                <c:pt idx="641">
                  <c:v>43276</c:v>
                </c:pt>
                <c:pt idx="642">
                  <c:v>43273</c:v>
                </c:pt>
                <c:pt idx="643">
                  <c:v>43272</c:v>
                </c:pt>
                <c:pt idx="644">
                  <c:v>43271</c:v>
                </c:pt>
                <c:pt idx="645">
                  <c:v>43270</c:v>
                </c:pt>
                <c:pt idx="646">
                  <c:v>43269</c:v>
                </c:pt>
                <c:pt idx="647">
                  <c:v>43266</c:v>
                </c:pt>
                <c:pt idx="648">
                  <c:v>43265</c:v>
                </c:pt>
                <c:pt idx="649">
                  <c:v>43264</c:v>
                </c:pt>
                <c:pt idx="650">
                  <c:v>43262</c:v>
                </c:pt>
                <c:pt idx="651">
                  <c:v>43260</c:v>
                </c:pt>
                <c:pt idx="652">
                  <c:v>43259</c:v>
                </c:pt>
                <c:pt idx="653">
                  <c:v>43258</c:v>
                </c:pt>
                <c:pt idx="654">
                  <c:v>43257</c:v>
                </c:pt>
                <c:pt idx="655">
                  <c:v>43256</c:v>
                </c:pt>
                <c:pt idx="656">
                  <c:v>43255</c:v>
                </c:pt>
                <c:pt idx="657">
                  <c:v>43252</c:v>
                </c:pt>
                <c:pt idx="658">
                  <c:v>43251</c:v>
                </c:pt>
                <c:pt idx="659">
                  <c:v>43250</c:v>
                </c:pt>
                <c:pt idx="660">
                  <c:v>43249</c:v>
                </c:pt>
                <c:pt idx="661">
                  <c:v>43248</c:v>
                </c:pt>
                <c:pt idx="662">
                  <c:v>43245</c:v>
                </c:pt>
                <c:pt idx="663">
                  <c:v>43244</c:v>
                </c:pt>
                <c:pt idx="664">
                  <c:v>43243</c:v>
                </c:pt>
                <c:pt idx="665">
                  <c:v>43242</c:v>
                </c:pt>
                <c:pt idx="666">
                  <c:v>43241</c:v>
                </c:pt>
                <c:pt idx="667">
                  <c:v>43238</c:v>
                </c:pt>
                <c:pt idx="668">
                  <c:v>43237</c:v>
                </c:pt>
                <c:pt idx="669">
                  <c:v>43236</c:v>
                </c:pt>
                <c:pt idx="670">
                  <c:v>43235</c:v>
                </c:pt>
                <c:pt idx="671">
                  <c:v>43234</c:v>
                </c:pt>
                <c:pt idx="672">
                  <c:v>43231</c:v>
                </c:pt>
                <c:pt idx="673">
                  <c:v>43230</c:v>
                </c:pt>
                <c:pt idx="674">
                  <c:v>43228</c:v>
                </c:pt>
                <c:pt idx="675">
                  <c:v>43227</c:v>
                </c:pt>
                <c:pt idx="676">
                  <c:v>43224</c:v>
                </c:pt>
                <c:pt idx="677">
                  <c:v>43223</c:v>
                </c:pt>
                <c:pt idx="678">
                  <c:v>43222</c:v>
                </c:pt>
                <c:pt idx="679">
                  <c:v>43220</c:v>
                </c:pt>
                <c:pt idx="680">
                  <c:v>43218</c:v>
                </c:pt>
                <c:pt idx="681">
                  <c:v>43217</c:v>
                </c:pt>
                <c:pt idx="682">
                  <c:v>43216</c:v>
                </c:pt>
                <c:pt idx="683">
                  <c:v>43215</c:v>
                </c:pt>
                <c:pt idx="684">
                  <c:v>43214</c:v>
                </c:pt>
                <c:pt idx="685">
                  <c:v>43213</c:v>
                </c:pt>
                <c:pt idx="686">
                  <c:v>43210</c:v>
                </c:pt>
                <c:pt idx="687">
                  <c:v>43209</c:v>
                </c:pt>
                <c:pt idx="688">
                  <c:v>43208</c:v>
                </c:pt>
                <c:pt idx="689">
                  <c:v>43207</c:v>
                </c:pt>
                <c:pt idx="690">
                  <c:v>43206</c:v>
                </c:pt>
                <c:pt idx="691">
                  <c:v>43203</c:v>
                </c:pt>
                <c:pt idx="692">
                  <c:v>43202</c:v>
                </c:pt>
                <c:pt idx="693">
                  <c:v>43201</c:v>
                </c:pt>
                <c:pt idx="694">
                  <c:v>43200</c:v>
                </c:pt>
                <c:pt idx="695">
                  <c:v>43199</c:v>
                </c:pt>
                <c:pt idx="696">
                  <c:v>43196</c:v>
                </c:pt>
                <c:pt idx="697">
                  <c:v>43195</c:v>
                </c:pt>
                <c:pt idx="698">
                  <c:v>43194</c:v>
                </c:pt>
                <c:pt idx="699">
                  <c:v>43193</c:v>
                </c:pt>
                <c:pt idx="700">
                  <c:v>43192</c:v>
                </c:pt>
                <c:pt idx="701">
                  <c:v>43189</c:v>
                </c:pt>
                <c:pt idx="702">
                  <c:v>43188</c:v>
                </c:pt>
                <c:pt idx="703">
                  <c:v>43187</c:v>
                </c:pt>
                <c:pt idx="704">
                  <c:v>43186</c:v>
                </c:pt>
                <c:pt idx="705">
                  <c:v>43185</c:v>
                </c:pt>
                <c:pt idx="706">
                  <c:v>43182</c:v>
                </c:pt>
                <c:pt idx="707">
                  <c:v>43181</c:v>
                </c:pt>
                <c:pt idx="708">
                  <c:v>43180</c:v>
                </c:pt>
                <c:pt idx="709">
                  <c:v>43179</c:v>
                </c:pt>
                <c:pt idx="710">
                  <c:v>43178</c:v>
                </c:pt>
                <c:pt idx="711">
                  <c:v>43175</c:v>
                </c:pt>
                <c:pt idx="712">
                  <c:v>43174</c:v>
                </c:pt>
                <c:pt idx="713">
                  <c:v>43173</c:v>
                </c:pt>
                <c:pt idx="714">
                  <c:v>43172</c:v>
                </c:pt>
              </c:numCache>
            </c:numRef>
          </c:cat>
          <c:val>
            <c:numRef>
              <c:f>t!$B$3:$B$717</c:f>
              <c:numCache>
                <c:formatCode>0.00</c:formatCode>
                <c:ptCount val="715"/>
                <c:pt idx="0">
                  <c:v>227.4</c:v>
                </c:pt>
                <c:pt idx="1">
                  <c:v>225.49</c:v>
                </c:pt>
                <c:pt idx="2">
                  <c:v>214.38</c:v>
                </c:pt>
                <c:pt idx="3">
                  <c:v>215.32</c:v>
                </c:pt>
                <c:pt idx="4">
                  <c:v>212.71</c:v>
                </c:pt>
                <c:pt idx="5">
                  <c:v>212.98</c:v>
                </c:pt>
                <c:pt idx="6">
                  <c:v>208.75</c:v>
                </c:pt>
                <c:pt idx="7">
                  <c:v>206.11</c:v>
                </c:pt>
                <c:pt idx="8">
                  <c:v>205.03</c:v>
                </c:pt>
                <c:pt idx="9">
                  <c:v>206.24</c:v>
                </c:pt>
                <c:pt idx="10">
                  <c:v>207.63</c:v>
                </c:pt>
                <c:pt idx="11">
                  <c:v>208.4</c:v>
                </c:pt>
                <c:pt idx="12">
                  <c:v>203.46</c:v>
                </c:pt>
                <c:pt idx="13">
                  <c:v>212.69</c:v>
                </c:pt>
                <c:pt idx="14">
                  <c:v>214.52</c:v>
                </c:pt>
                <c:pt idx="15">
                  <c:v>206.2</c:v>
                </c:pt>
                <c:pt idx="16">
                  <c:v>201</c:v>
                </c:pt>
                <c:pt idx="17">
                  <c:v>199.91</c:v>
                </c:pt>
                <c:pt idx="18">
                  <c:v>201.5</c:v>
                </c:pt>
                <c:pt idx="19">
                  <c:v>192.95</c:v>
                </c:pt>
                <c:pt idx="20">
                  <c:v>189.35</c:v>
                </c:pt>
                <c:pt idx="21">
                  <c:v>190</c:v>
                </c:pt>
                <c:pt idx="22">
                  <c:v>190.76</c:v>
                </c:pt>
                <c:pt idx="23">
                  <c:v>188.79</c:v>
                </c:pt>
                <c:pt idx="24">
                  <c:v>185.12</c:v>
                </c:pt>
                <c:pt idx="25">
                  <c:v>187.22</c:v>
                </c:pt>
                <c:pt idx="26">
                  <c:v>185.34</c:v>
                </c:pt>
                <c:pt idx="27">
                  <c:v>181.89</c:v>
                </c:pt>
                <c:pt idx="28">
                  <c:v>185.9</c:v>
                </c:pt>
                <c:pt idx="29">
                  <c:v>185.52</c:v>
                </c:pt>
                <c:pt idx="30">
                  <c:v>188.03</c:v>
                </c:pt>
                <c:pt idx="31">
                  <c:v>186.76</c:v>
                </c:pt>
                <c:pt idx="32">
                  <c:v>184.15</c:v>
                </c:pt>
                <c:pt idx="33">
                  <c:v>183.21</c:v>
                </c:pt>
                <c:pt idx="34">
                  <c:v>184.16</c:v>
                </c:pt>
                <c:pt idx="35">
                  <c:v>185</c:v>
                </c:pt>
                <c:pt idx="36">
                  <c:v>182.9</c:v>
                </c:pt>
                <c:pt idx="37">
                  <c:v>185.32</c:v>
                </c:pt>
                <c:pt idx="38">
                  <c:v>180.3</c:v>
                </c:pt>
                <c:pt idx="39">
                  <c:v>172.91</c:v>
                </c:pt>
                <c:pt idx="40">
                  <c:v>170.53</c:v>
                </c:pt>
                <c:pt idx="41">
                  <c:v>172.92</c:v>
                </c:pt>
                <c:pt idx="42">
                  <c:v>170.13</c:v>
                </c:pt>
                <c:pt idx="43">
                  <c:v>164.92</c:v>
                </c:pt>
                <c:pt idx="44">
                  <c:v>163.69999999999999</c:v>
                </c:pt>
                <c:pt idx="45">
                  <c:v>161.09</c:v>
                </c:pt>
                <c:pt idx="46">
                  <c:v>157.74</c:v>
                </c:pt>
                <c:pt idx="47">
                  <c:v>154.28</c:v>
                </c:pt>
                <c:pt idx="48">
                  <c:v>156.74</c:v>
                </c:pt>
                <c:pt idx="49">
                  <c:v>154.30000000000001</c:v>
                </c:pt>
                <c:pt idx="50">
                  <c:v>159.21</c:v>
                </c:pt>
                <c:pt idx="51">
                  <c:v>162.16999999999999</c:v>
                </c:pt>
                <c:pt idx="52">
                  <c:v>164.96</c:v>
                </c:pt>
                <c:pt idx="53">
                  <c:v>165.27</c:v>
                </c:pt>
                <c:pt idx="54">
                  <c:v>164.37</c:v>
                </c:pt>
                <c:pt idx="55">
                  <c:v>166.53</c:v>
                </c:pt>
                <c:pt idx="56">
                  <c:v>163.6</c:v>
                </c:pt>
                <c:pt idx="57">
                  <c:v>163.98</c:v>
                </c:pt>
                <c:pt idx="58">
                  <c:v>167.16</c:v>
                </c:pt>
                <c:pt idx="59">
                  <c:v>167.24</c:v>
                </c:pt>
                <c:pt idx="60">
                  <c:v>166.37</c:v>
                </c:pt>
                <c:pt idx="61">
                  <c:v>169.05</c:v>
                </c:pt>
                <c:pt idx="62">
                  <c:v>166.97</c:v>
                </c:pt>
                <c:pt idx="63">
                  <c:v>167.43</c:v>
                </c:pt>
                <c:pt idx="64">
                  <c:v>168.23</c:v>
                </c:pt>
                <c:pt idx="65">
                  <c:v>171.35</c:v>
                </c:pt>
                <c:pt idx="66">
                  <c:v>170.64</c:v>
                </c:pt>
                <c:pt idx="67">
                  <c:v>169.47</c:v>
                </c:pt>
                <c:pt idx="68">
                  <c:v>168.4</c:v>
                </c:pt>
                <c:pt idx="69">
                  <c:v>169.97</c:v>
                </c:pt>
                <c:pt idx="70">
                  <c:v>171.44</c:v>
                </c:pt>
                <c:pt idx="71">
                  <c:v>172.74</c:v>
                </c:pt>
                <c:pt idx="72">
                  <c:v>173.77</c:v>
                </c:pt>
                <c:pt idx="73">
                  <c:v>174.23</c:v>
                </c:pt>
                <c:pt idx="74">
                  <c:v>177</c:v>
                </c:pt>
                <c:pt idx="75">
                  <c:v>179</c:v>
                </c:pt>
                <c:pt idx="76">
                  <c:v>177.17</c:v>
                </c:pt>
                <c:pt idx="77">
                  <c:v>181.52</c:v>
                </c:pt>
                <c:pt idx="78">
                  <c:v>183.9</c:v>
                </c:pt>
                <c:pt idx="79">
                  <c:v>183.26</c:v>
                </c:pt>
                <c:pt idx="80">
                  <c:v>182.22</c:v>
                </c:pt>
                <c:pt idx="81">
                  <c:v>178.19</c:v>
                </c:pt>
                <c:pt idx="82">
                  <c:v>178.05</c:v>
                </c:pt>
                <c:pt idx="83">
                  <c:v>173.8</c:v>
                </c:pt>
                <c:pt idx="84">
                  <c:v>173.69</c:v>
                </c:pt>
                <c:pt idx="85">
                  <c:v>172.95</c:v>
                </c:pt>
                <c:pt idx="86">
                  <c:v>177.04</c:v>
                </c:pt>
                <c:pt idx="87">
                  <c:v>179.55</c:v>
                </c:pt>
                <c:pt idx="88">
                  <c:v>179.13</c:v>
                </c:pt>
                <c:pt idx="89">
                  <c:v>181.95</c:v>
                </c:pt>
                <c:pt idx="90">
                  <c:v>184.22</c:v>
                </c:pt>
                <c:pt idx="91">
                  <c:v>181.01</c:v>
                </c:pt>
                <c:pt idx="92">
                  <c:v>182.9</c:v>
                </c:pt>
                <c:pt idx="93">
                  <c:v>184.58</c:v>
                </c:pt>
                <c:pt idx="94">
                  <c:v>187.48</c:v>
                </c:pt>
                <c:pt idx="95">
                  <c:v>186.25</c:v>
                </c:pt>
                <c:pt idx="96">
                  <c:v>187.1</c:v>
                </c:pt>
                <c:pt idx="97">
                  <c:v>184.51</c:v>
                </c:pt>
                <c:pt idx="98">
                  <c:v>186.95</c:v>
                </c:pt>
                <c:pt idx="99">
                  <c:v>189.26</c:v>
                </c:pt>
                <c:pt idx="100">
                  <c:v>190.3</c:v>
                </c:pt>
                <c:pt idx="101">
                  <c:v>190.47</c:v>
                </c:pt>
                <c:pt idx="102">
                  <c:v>192.83</c:v>
                </c:pt>
                <c:pt idx="103">
                  <c:v>193.76</c:v>
                </c:pt>
                <c:pt idx="104">
                  <c:v>192.8</c:v>
                </c:pt>
                <c:pt idx="105">
                  <c:v>189.7</c:v>
                </c:pt>
                <c:pt idx="106">
                  <c:v>187.7</c:v>
                </c:pt>
                <c:pt idx="107">
                  <c:v>187.23</c:v>
                </c:pt>
                <c:pt idx="108">
                  <c:v>189.07</c:v>
                </c:pt>
                <c:pt idx="109">
                  <c:v>189.15</c:v>
                </c:pt>
                <c:pt idx="110">
                  <c:v>183.31</c:v>
                </c:pt>
                <c:pt idx="111">
                  <c:v>183.6</c:v>
                </c:pt>
                <c:pt idx="112">
                  <c:v>182.59</c:v>
                </c:pt>
                <c:pt idx="113">
                  <c:v>182.52</c:v>
                </c:pt>
                <c:pt idx="114">
                  <c:v>184.69</c:v>
                </c:pt>
                <c:pt idx="115">
                  <c:v>184.3</c:v>
                </c:pt>
                <c:pt idx="116">
                  <c:v>185.03</c:v>
                </c:pt>
                <c:pt idx="117">
                  <c:v>185.45</c:v>
                </c:pt>
                <c:pt idx="118">
                  <c:v>184.69</c:v>
                </c:pt>
                <c:pt idx="119">
                  <c:v>187.15</c:v>
                </c:pt>
                <c:pt idx="120">
                  <c:v>186.78</c:v>
                </c:pt>
                <c:pt idx="121">
                  <c:v>188.36</c:v>
                </c:pt>
                <c:pt idx="122">
                  <c:v>184.65</c:v>
                </c:pt>
                <c:pt idx="123">
                  <c:v>183.32</c:v>
                </c:pt>
                <c:pt idx="124">
                  <c:v>182.26</c:v>
                </c:pt>
                <c:pt idx="125">
                  <c:v>193.6</c:v>
                </c:pt>
                <c:pt idx="126">
                  <c:v>195.7</c:v>
                </c:pt>
                <c:pt idx="127">
                  <c:v>200.94</c:v>
                </c:pt>
                <c:pt idx="128">
                  <c:v>199.44</c:v>
                </c:pt>
                <c:pt idx="129">
                  <c:v>201.17</c:v>
                </c:pt>
                <c:pt idx="130">
                  <c:v>197.96</c:v>
                </c:pt>
                <c:pt idx="131">
                  <c:v>199.99</c:v>
                </c:pt>
                <c:pt idx="132">
                  <c:v>197.2</c:v>
                </c:pt>
                <c:pt idx="133">
                  <c:v>195.28</c:v>
                </c:pt>
                <c:pt idx="134">
                  <c:v>194.31</c:v>
                </c:pt>
                <c:pt idx="135">
                  <c:v>197.94</c:v>
                </c:pt>
                <c:pt idx="136">
                  <c:v>193</c:v>
                </c:pt>
                <c:pt idx="137">
                  <c:v>192.25</c:v>
                </c:pt>
                <c:pt idx="138">
                  <c:v>194.83</c:v>
                </c:pt>
                <c:pt idx="139">
                  <c:v>194.3</c:v>
                </c:pt>
                <c:pt idx="140">
                  <c:v>195.81</c:v>
                </c:pt>
                <c:pt idx="141">
                  <c:v>193</c:v>
                </c:pt>
                <c:pt idx="142">
                  <c:v>195.86</c:v>
                </c:pt>
                <c:pt idx="143">
                  <c:v>196.59</c:v>
                </c:pt>
                <c:pt idx="144">
                  <c:v>194.2</c:v>
                </c:pt>
                <c:pt idx="145">
                  <c:v>196.74</c:v>
                </c:pt>
                <c:pt idx="146">
                  <c:v>201.75</c:v>
                </c:pt>
                <c:pt idx="147">
                  <c:v>204.84</c:v>
                </c:pt>
                <c:pt idx="148">
                  <c:v>204.91</c:v>
                </c:pt>
                <c:pt idx="149">
                  <c:v>203.05</c:v>
                </c:pt>
                <c:pt idx="150">
                  <c:v>201.46</c:v>
                </c:pt>
                <c:pt idx="151">
                  <c:v>208</c:v>
                </c:pt>
                <c:pt idx="152">
                  <c:v>201.97</c:v>
                </c:pt>
                <c:pt idx="153">
                  <c:v>198.72</c:v>
                </c:pt>
                <c:pt idx="154">
                  <c:v>199.95</c:v>
                </c:pt>
                <c:pt idx="155">
                  <c:v>196.86</c:v>
                </c:pt>
                <c:pt idx="156">
                  <c:v>194.73</c:v>
                </c:pt>
                <c:pt idx="157">
                  <c:v>196.86</c:v>
                </c:pt>
                <c:pt idx="158">
                  <c:v>197.55</c:v>
                </c:pt>
                <c:pt idx="159">
                  <c:v>194.35</c:v>
                </c:pt>
                <c:pt idx="160">
                  <c:v>194.74</c:v>
                </c:pt>
                <c:pt idx="161">
                  <c:v>196.74</c:v>
                </c:pt>
                <c:pt idx="162">
                  <c:v>194.2</c:v>
                </c:pt>
                <c:pt idx="163">
                  <c:v>192.5</c:v>
                </c:pt>
                <c:pt idx="164">
                  <c:v>183.85</c:v>
                </c:pt>
                <c:pt idx="165">
                  <c:v>183.91</c:v>
                </c:pt>
                <c:pt idx="166">
                  <c:v>184.2</c:v>
                </c:pt>
                <c:pt idx="167">
                  <c:v>186.17</c:v>
                </c:pt>
                <c:pt idx="168">
                  <c:v>185.34</c:v>
                </c:pt>
                <c:pt idx="169">
                  <c:v>185.85</c:v>
                </c:pt>
                <c:pt idx="170">
                  <c:v>187.05</c:v>
                </c:pt>
                <c:pt idx="171">
                  <c:v>190</c:v>
                </c:pt>
                <c:pt idx="172">
                  <c:v>185.7</c:v>
                </c:pt>
                <c:pt idx="173">
                  <c:v>190</c:v>
                </c:pt>
                <c:pt idx="174">
                  <c:v>193.87</c:v>
                </c:pt>
                <c:pt idx="175">
                  <c:v>188.5</c:v>
                </c:pt>
                <c:pt idx="176">
                  <c:v>186.29</c:v>
                </c:pt>
                <c:pt idx="177">
                  <c:v>185.71</c:v>
                </c:pt>
                <c:pt idx="178">
                  <c:v>188.73</c:v>
                </c:pt>
                <c:pt idx="179">
                  <c:v>188.36</c:v>
                </c:pt>
                <c:pt idx="180">
                  <c:v>181.92</c:v>
                </c:pt>
                <c:pt idx="181">
                  <c:v>185.51</c:v>
                </c:pt>
                <c:pt idx="182">
                  <c:v>184.68</c:v>
                </c:pt>
                <c:pt idx="183">
                  <c:v>184.3</c:v>
                </c:pt>
                <c:pt idx="184">
                  <c:v>184.25</c:v>
                </c:pt>
                <c:pt idx="185">
                  <c:v>190.11</c:v>
                </c:pt>
                <c:pt idx="186">
                  <c:v>188.07</c:v>
                </c:pt>
                <c:pt idx="187">
                  <c:v>192</c:v>
                </c:pt>
                <c:pt idx="188">
                  <c:v>193.86</c:v>
                </c:pt>
                <c:pt idx="189">
                  <c:v>194.11</c:v>
                </c:pt>
                <c:pt idx="190">
                  <c:v>191.22</c:v>
                </c:pt>
                <c:pt idx="191">
                  <c:v>191.1</c:v>
                </c:pt>
                <c:pt idx="192">
                  <c:v>189.77</c:v>
                </c:pt>
                <c:pt idx="193">
                  <c:v>187.04</c:v>
                </c:pt>
                <c:pt idx="194">
                  <c:v>180.06</c:v>
                </c:pt>
                <c:pt idx="195">
                  <c:v>181.41</c:v>
                </c:pt>
                <c:pt idx="196">
                  <c:v>176.44</c:v>
                </c:pt>
                <c:pt idx="197">
                  <c:v>174.5</c:v>
                </c:pt>
                <c:pt idx="198">
                  <c:v>181.5</c:v>
                </c:pt>
                <c:pt idx="199">
                  <c:v>180.2</c:v>
                </c:pt>
                <c:pt idx="200">
                  <c:v>177.95</c:v>
                </c:pt>
                <c:pt idx="201">
                  <c:v>168.35</c:v>
                </c:pt>
                <c:pt idx="202">
                  <c:v>176.26</c:v>
                </c:pt>
                <c:pt idx="203">
                  <c:v>174.56</c:v>
                </c:pt>
                <c:pt idx="204">
                  <c:v>166.34</c:v>
                </c:pt>
                <c:pt idx="205">
                  <c:v>167</c:v>
                </c:pt>
                <c:pt idx="206">
                  <c:v>168.07</c:v>
                </c:pt>
                <c:pt idx="207">
                  <c:v>166.1</c:v>
                </c:pt>
                <c:pt idx="208">
                  <c:v>163.72999999999999</c:v>
                </c:pt>
                <c:pt idx="209">
                  <c:v>172.03</c:v>
                </c:pt>
                <c:pt idx="210">
                  <c:v>171</c:v>
                </c:pt>
                <c:pt idx="211">
                  <c:v>188.27</c:v>
                </c:pt>
                <c:pt idx="212">
                  <c:v>198</c:v>
                </c:pt>
                <c:pt idx="213">
                  <c:v>200</c:v>
                </c:pt>
                <c:pt idx="214">
                  <c:v>201.48</c:v>
                </c:pt>
                <c:pt idx="215">
                  <c:v>198.78</c:v>
                </c:pt>
                <c:pt idx="216">
                  <c:v>202.65</c:v>
                </c:pt>
                <c:pt idx="217">
                  <c:v>217.5</c:v>
                </c:pt>
                <c:pt idx="218">
                  <c:v>224.76</c:v>
                </c:pt>
                <c:pt idx="219">
                  <c:v>224.68</c:v>
                </c:pt>
                <c:pt idx="220">
                  <c:v>232</c:v>
                </c:pt>
                <c:pt idx="221">
                  <c:v>234.6</c:v>
                </c:pt>
                <c:pt idx="222">
                  <c:v>231.9</c:v>
                </c:pt>
                <c:pt idx="223">
                  <c:v>230.5</c:v>
                </c:pt>
                <c:pt idx="224">
                  <c:v>233.75</c:v>
                </c:pt>
                <c:pt idx="225">
                  <c:v>232.5</c:v>
                </c:pt>
                <c:pt idx="226">
                  <c:v>233.55</c:v>
                </c:pt>
                <c:pt idx="227">
                  <c:v>238.03</c:v>
                </c:pt>
                <c:pt idx="228">
                  <c:v>233.9</c:v>
                </c:pt>
                <c:pt idx="229">
                  <c:v>225.2</c:v>
                </c:pt>
                <c:pt idx="230">
                  <c:v>229.11</c:v>
                </c:pt>
                <c:pt idx="231">
                  <c:v>231.38</c:v>
                </c:pt>
                <c:pt idx="232">
                  <c:v>232.56</c:v>
                </c:pt>
                <c:pt idx="233">
                  <c:v>230.5</c:v>
                </c:pt>
                <c:pt idx="234">
                  <c:v>227.64</c:v>
                </c:pt>
                <c:pt idx="235">
                  <c:v>226.7</c:v>
                </c:pt>
                <c:pt idx="236">
                  <c:v>231.53</c:v>
                </c:pt>
                <c:pt idx="237">
                  <c:v>232</c:v>
                </c:pt>
                <c:pt idx="238">
                  <c:v>235</c:v>
                </c:pt>
                <c:pt idx="239">
                  <c:v>230.96</c:v>
                </c:pt>
                <c:pt idx="240">
                  <c:v>237.95</c:v>
                </c:pt>
                <c:pt idx="241">
                  <c:v>239.3</c:v>
                </c:pt>
                <c:pt idx="242">
                  <c:v>248.1</c:v>
                </c:pt>
                <c:pt idx="243">
                  <c:v>252.99</c:v>
                </c:pt>
                <c:pt idx="244">
                  <c:v>253.5</c:v>
                </c:pt>
                <c:pt idx="245">
                  <c:v>255.39</c:v>
                </c:pt>
                <c:pt idx="246">
                  <c:v>254.26</c:v>
                </c:pt>
                <c:pt idx="247">
                  <c:v>251.3</c:v>
                </c:pt>
                <c:pt idx="248">
                  <c:v>250</c:v>
                </c:pt>
                <c:pt idx="249">
                  <c:v>251.5</c:v>
                </c:pt>
                <c:pt idx="250">
                  <c:v>251.9</c:v>
                </c:pt>
                <c:pt idx="251">
                  <c:v>254.07</c:v>
                </c:pt>
                <c:pt idx="252">
                  <c:v>255.79</c:v>
                </c:pt>
                <c:pt idx="253">
                  <c:v>256.55</c:v>
                </c:pt>
                <c:pt idx="254">
                  <c:v>259</c:v>
                </c:pt>
                <c:pt idx="255">
                  <c:v>256.39999999999998</c:v>
                </c:pt>
                <c:pt idx="256">
                  <c:v>257.11</c:v>
                </c:pt>
                <c:pt idx="257">
                  <c:v>254.1</c:v>
                </c:pt>
                <c:pt idx="258">
                  <c:v>253.25</c:v>
                </c:pt>
                <c:pt idx="259">
                  <c:v>254.87</c:v>
                </c:pt>
                <c:pt idx="260">
                  <c:v>255</c:v>
                </c:pt>
                <c:pt idx="261">
                  <c:v>255.5</c:v>
                </c:pt>
                <c:pt idx="262">
                  <c:v>251.4</c:v>
                </c:pt>
                <c:pt idx="263">
                  <c:v>251.29</c:v>
                </c:pt>
                <c:pt idx="264">
                  <c:v>252.05</c:v>
                </c:pt>
                <c:pt idx="265">
                  <c:v>250.78</c:v>
                </c:pt>
                <c:pt idx="266">
                  <c:v>249.5</c:v>
                </c:pt>
                <c:pt idx="267">
                  <c:v>250.48</c:v>
                </c:pt>
                <c:pt idx="268">
                  <c:v>247.34</c:v>
                </c:pt>
                <c:pt idx="269">
                  <c:v>246.9</c:v>
                </c:pt>
                <c:pt idx="270">
                  <c:v>248.7</c:v>
                </c:pt>
                <c:pt idx="271">
                  <c:v>247.83</c:v>
                </c:pt>
                <c:pt idx="272">
                  <c:v>246.36</c:v>
                </c:pt>
                <c:pt idx="273">
                  <c:v>248.93</c:v>
                </c:pt>
                <c:pt idx="274">
                  <c:v>247.93</c:v>
                </c:pt>
                <c:pt idx="275">
                  <c:v>254.05</c:v>
                </c:pt>
                <c:pt idx="276">
                  <c:v>257.54000000000002</c:v>
                </c:pt>
                <c:pt idx="277">
                  <c:v>254</c:v>
                </c:pt>
                <c:pt idx="278">
                  <c:v>253.89</c:v>
                </c:pt>
                <c:pt idx="279">
                  <c:v>254</c:v>
                </c:pt>
                <c:pt idx="280">
                  <c:v>255.2</c:v>
                </c:pt>
                <c:pt idx="281">
                  <c:v>251.99</c:v>
                </c:pt>
                <c:pt idx="282">
                  <c:v>254.35</c:v>
                </c:pt>
                <c:pt idx="283">
                  <c:v>248</c:v>
                </c:pt>
                <c:pt idx="284">
                  <c:v>248.01</c:v>
                </c:pt>
                <c:pt idx="285">
                  <c:v>246.15</c:v>
                </c:pt>
                <c:pt idx="286">
                  <c:v>248.01</c:v>
                </c:pt>
                <c:pt idx="287">
                  <c:v>248.34</c:v>
                </c:pt>
                <c:pt idx="288">
                  <c:v>251.8</c:v>
                </c:pt>
                <c:pt idx="289">
                  <c:v>257.25</c:v>
                </c:pt>
                <c:pt idx="290">
                  <c:v>260.39999999999998</c:v>
                </c:pt>
                <c:pt idx="291">
                  <c:v>266</c:v>
                </c:pt>
                <c:pt idx="292">
                  <c:v>270.74</c:v>
                </c:pt>
                <c:pt idx="293">
                  <c:v>266.98</c:v>
                </c:pt>
                <c:pt idx="294">
                  <c:v>263</c:v>
                </c:pt>
                <c:pt idx="295">
                  <c:v>263.79000000000002</c:v>
                </c:pt>
                <c:pt idx="296">
                  <c:v>260</c:v>
                </c:pt>
                <c:pt idx="297">
                  <c:v>261.60000000000002</c:v>
                </c:pt>
                <c:pt idx="298">
                  <c:v>253.1</c:v>
                </c:pt>
                <c:pt idx="299">
                  <c:v>244.4</c:v>
                </c:pt>
                <c:pt idx="300">
                  <c:v>246.71</c:v>
                </c:pt>
                <c:pt idx="301">
                  <c:v>243.94</c:v>
                </c:pt>
                <c:pt idx="302">
                  <c:v>236.2</c:v>
                </c:pt>
                <c:pt idx="303">
                  <c:v>235.36</c:v>
                </c:pt>
                <c:pt idx="304">
                  <c:v>228.54</c:v>
                </c:pt>
                <c:pt idx="305">
                  <c:v>228</c:v>
                </c:pt>
                <c:pt idx="306">
                  <c:v>228</c:v>
                </c:pt>
                <c:pt idx="307">
                  <c:v>227.7</c:v>
                </c:pt>
                <c:pt idx="308">
                  <c:v>226</c:v>
                </c:pt>
                <c:pt idx="309">
                  <c:v>226</c:v>
                </c:pt>
                <c:pt idx="310">
                  <c:v>227.37</c:v>
                </c:pt>
                <c:pt idx="311">
                  <c:v>224.5</c:v>
                </c:pt>
                <c:pt idx="312">
                  <c:v>223.18</c:v>
                </c:pt>
                <c:pt idx="313">
                  <c:v>223.2</c:v>
                </c:pt>
                <c:pt idx="314">
                  <c:v>226.36</c:v>
                </c:pt>
                <c:pt idx="315">
                  <c:v>221.66</c:v>
                </c:pt>
                <c:pt idx="316">
                  <c:v>223.1</c:v>
                </c:pt>
                <c:pt idx="317">
                  <c:v>223.6</c:v>
                </c:pt>
                <c:pt idx="318">
                  <c:v>226.49</c:v>
                </c:pt>
                <c:pt idx="319">
                  <c:v>225.9</c:v>
                </c:pt>
                <c:pt idx="320">
                  <c:v>229.01</c:v>
                </c:pt>
                <c:pt idx="321">
                  <c:v>231.97</c:v>
                </c:pt>
                <c:pt idx="322">
                  <c:v>228.43</c:v>
                </c:pt>
                <c:pt idx="323">
                  <c:v>227.7</c:v>
                </c:pt>
                <c:pt idx="324">
                  <c:v>230.36</c:v>
                </c:pt>
                <c:pt idx="325">
                  <c:v>230.41</c:v>
                </c:pt>
                <c:pt idx="326">
                  <c:v>230.52</c:v>
                </c:pt>
                <c:pt idx="327">
                  <c:v>233.46</c:v>
                </c:pt>
                <c:pt idx="328">
                  <c:v>233.58</c:v>
                </c:pt>
                <c:pt idx="329">
                  <c:v>234.88</c:v>
                </c:pt>
                <c:pt idx="330">
                  <c:v>232.5</c:v>
                </c:pt>
                <c:pt idx="331">
                  <c:v>232.88</c:v>
                </c:pt>
                <c:pt idx="332">
                  <c:v>235.07</c:v>
                </c:pt>
                <c:pt idx="333">
                  <c:v>233</c:v>
                </c:pt>
                <c:pt idx="334">
                  <c:v>234.85</c:v>
                </c:pt>
                <c:pt idx="335">
                  <c:v>234.49</c:v>
                </c:pt>
                <c:pt idx="336">
                  <c:v>236.18</c:v>
                </c:pt>
                <c:pt idx="337">
                  <c:v>233.71</c:v>
                </c:pt>
                <c:pt idx="338">
                  <c:v>231.02</c:v>
                </c:pt>
                <c:pt idx="339">
                  <c:v>233.67</c:v>
                </c:pt>
                <c:pt idx="340">
                  <c:v>232.15</c:v>
                </c:pt>
                <c:pt idx="341">
                  <c:v>233.2</c:v>
                </c:pt>
                <c:pt idx="342">
                  <c:v>228.48</c:v>
                </c:pt>
                <c:pt idx="343">
                  <c:v>227</c:v>
                </c:pt>
                <c:pt idx="344">
                  <c:v>228.9</c:v>
                </c:pt>
                <c:pt idx="345">
                  <c:v>229.35</c:v>
                </c:pt>
                <c:pt idx="346">
                  <c:v>232.06</c:v>
                </c:pt>
                <c:pt idx="347">
                  <c:v>231.22</c:v>
                </c:pt>
                <c:pt idx="348">
                  <c:v>231.54</c:v>
                </c:pt>
                <c:pt idx="349">
                  <c:v>226.8</c:v>
                </c:pt>
                <c:pt idx="350">
                  <c:v>224.71</c:v>
                </c:pt>
                <c:pt idx="351">
                  <c:v>227.15</c:v>
                </c:pt>
                <c:pt idx="352">
                  <c:v>227.1</c:v>
                </c:pt>
                <c:pt idx="353">
                  <c:v>229.87</c:v>
                </c:pt>
                <c:pt idx="354">
                  <c:v>230.24</c:v>
                </c:pt>
                <c:pt idx="355">
                  <c:v>229.96</c:v>
                </c:pt>
                <c:pt idx="356">
                  <c:v>231.21</c:v>
                </c:pt>
                <c:pt idx="357">
                  <c:v>227.67</c:v>
                </c:pt>
                <c:pt idx="358">
                  <c:v>226.76</c:v>
                </c:pt>
                <c:pt idx="359">
                  <c:v>223.61</c:v>
                </c:pt>
                <c:pt idx="360">
                  <c:v>227.91</c:v>
                </c:pt>
                <c:pt idx="361">
                  <c:v>234.28</c:v>
                </c:pt>
                <c:pt idx="362">
                  <c:v>236.9</c:v>
                </c:pt>
                <c:pt idx="363">
                  <c:v>237.1</c:v>
                </c:pt>
                <c:pt idx="364">
                  <c:v>236.73</c:v>
                </c:pt>
                <c:pt idx="365">
                  <c:v>234.23</c:v>
                </c:pt>
                <c:pt idx="366">
                  <c:v>219</c:v>
                </c:pt>
                <c:pt idx="367">
                  <c:v>212</c:v>
                </c:pt>
                <c:pt idx="368">
                  <c:v>217.39</c:v>
                </c:pt>
                <c:pt idx="369">
                  <c:v>217.12</c:v>
                </c:pt>
                <c:pt idx="370">
                  <c:v>216</c:v>
                </c:pt>
                <c:pt idx="371">
                  <c:v>218.3</c:v>
                </c:pt>
                <c:pt idx="372">
                  <c:v>220.19</c:v>
                </c:pt>
                <c:pt idx="373">
                  <c:v>238.01</c:v>
                </c:pt>
                <c:pt idx="374">
                  <c:v>240.3</c:v>
                </c:pt>
                <c:pt idx="375">
                  <c:v>245.5</c:v>
                </c:pt>
                <c:pt idx="376">
                  <c:v>247.2</c:v>
                </c:pt>
                <c:pt idx="377">
                  <c:v>250.21</c:v>
                </c:pt>
                <c:pt idx="378">
                  <c:v>250.17</c:v>
                </c:pt>
                <c:pt idx="379">
                  <c:v>248.51</c:v>
                </c:pt>
                <c:pt idx="380">
                  <c:v>250.89</c:v>
                </c:pt>
                <c:pt idx="381">
                  <c:v>255.35</c:v>
                </c:pt>
                <c:pt idx="382">
                  <c:v>251.6</c:v>
                </c:pt>
                <c:pt idx="383">
                  <c:v>246.65</c:v>
                </c:pt>
                <c:pt idx="384">
                  <c:v>245.5</c:v>
                </c:pt>
                <c:pt idx="385">
                  <c:v>232.83</c:v>
                </c:pt>
                <c:pt idx="386">
                  <c:v>232.6</c:v>
                </c:pt>
                <c:pt idx="387">
                  <c:v>233.1</c:v>
                </c:pt>
                <c:pt idx="388">
                  <c:v>232.09</c:v>
                </c:pt>
                <c:pt idx="389">
                  <c:v>232.38</c:v>
                </c:pt>
                <c:pt idx="390">
                  <c:v>229.09</c:v>
                </c:pt>
                <c:pt idx="391">
                  <c:v>232.52</c:v>
                </c:pt>
                <c:pt idx="392">
                  <c:v>232.46</c:v>
                </c:pt>
                <c:pt idx="393">
                  <c:v>232.13</c:v>
                </c:pt>
                <c:pt idx="394">
                  <c:v>229.81</c:v>
                </c:pt>
                <c:pt idx="395">
                  <c:v>231.51</c:v>
                </c:pt>
                <c:pt idx="396">
                  <c:v>234.44</c:v>
                </c:pt>
                <c:pt idx="397">
                  <c:v>234.86</c:v>
                </c:pt>
                <c:pt idx="398">
                  <c:v>232.1</c:v>
                </c:pt>
                <c:pt idx="399">
                  <c:v>230.5</c:v>
                </c:pt>
                <c:pt idx="400">
                  <c:v>231.45</c:v>
                </c:pt>
                <c:pt idx="401">
                  <c:v>230.01</c:v>
                </c:pt>
                <c:pt idx="402">
                  <c:v>230.16</c:v>
                </c:pt>
                <c:pt idx="403">
                  <c:v>235.51</c:v>
                </c:pt>
                <c:pt idx="404">
                  <c:v>215.1</c:v>
                </c:pt>
                <c:pt idx="405">
                  <c:v>213.1</c:v>
                </c:pt>
                <c:pt idx="406">
                  <c:v>207.14</c:v>
                </c:pt>
                <c:pt idx="407">
                  <c:v>203.13</c:v>
                </c:pt>
                <c:pt idx="408">
                  <c:v>206.2</c:v>
                </c:pt>
                <c:pt idx="409">
                  <c:v>204.5</c:v>
                </c:pt>
                <c:pt idx="410">
                  <c:v>208.86</c:v>
                </c:pt>
                <c:pt idx="411">
                  <c:v>208.1</c:v>
                </c:pt>
                <c:pt idx="412">
                  <c:v>207.8</c:v>
                </c:pt>
                <c:pt idx="413">
                  <c:v>200.8</c:v>
                </c:pt>
                <c:pt idx="414">
                  <c:v>198.89</c:v>
                </c:pt>
                <c:pt idx="415">
                  <c:v>202.7</c:v>
                </c:pt>
                <c:pt idx="416">
                  <c:v>195.61</c:v>
                </c:pt>
                <c:pt idx="417">
                  <c:v>189.67</c:v>
                </c:pt>
                <c:pt idx="418">
                  <c:v>163</c:v>
                </c:pt>
                <c:pt idx="419">
                  <c:v>163.61000000000001</c:v>
                </c:pt>
                <c:pt idx="420">
                  <c:v>163.57</c:v>
                </c:pt>
                <c:pt idx="421">
                  <c:v>164.21</c:v>
                </c:pt>
                <c:pt idx="422">
                  <c:v>165.45</c:v>
                </c:pt>
                <c:pt idx="423">
                  <c:v>166.31</c:v>
                </c:pt>
                <c:pt idx="424">
                  <c:v>165.71</c:v>
                </c:pt>
                <c:pt idx="425">
                  <c:v>163.95</c:v>
                </c:pt>
                <c:pt idx="426">
                  <c:v>163.93</c:v>
                </c:pt>
                <c:pt idx="427">
                  <c:v>161</c:v>
                </c:pt>
                <c:pt idx="428">
                  <c:v>159.31</c:v>
                </c:pt>
                <c:pt idx="429">
                  <c:v>160.57</c:v>
                </c:pt>
                <c:pt idx="430">
                  <c:v>162.41999999999999</c:v>
                </c:pt>
                <c:pt idx="431">
                  <c:v>163.5</c:v>
                </c:pt>
                <c:pt idx="432">
                  <c:v>162.57</c:v>
                </c:pt>
                <c:pt idx="433">
                  <c:v>161.79</c:v>
                </c:pt>
                <c:pt idx="434">
                  <c:v>164</c:v>
                </c:pt>
                <c:pt idx="435">
                  <c:v>162.24</c:v>
                </c:pt>
                <c:pt idx="436">
                  <c:v>158.33000000000001</c:v>
                </c:pt>
                <c:pt idx="437">
                  <c:v>159.12</c:v>
                </c:pt>
                <c:pt idx="438">
                  <c:v>158.04</c:v>
                </c:pt>
                <c:pt idx="439">
                  <c:v>162.88</c:v>
                </c:pt>
                <c:pt idx="440">
                  <c:v>162.69999999999999</c:v>
                </c:pt>
                <c:pt idx="441">
                  <c:v>160.5</c:v>
                </c:pt>
                <c:pt idx="442">
                  <c:v>158.6</c:v>
                </c:pt>
                <c:pt idx="443">
                  <c:v>158.88999999999999</c:v>
                </c:pt>
                <c:pt idx="444">
                  <c:v>156.99</c:v>
                </c:pt>
                <c:pt idx="445">
                  <c:v>155</c:v>
                </c:pt>
                <c:pt idx="446">
                  <c:v>154.53</c:v>
                </c:pt>
                <c:pt idx="447">
                  <c:v>149.61000000000001</c:v>
                </c:pt>
                <c:pt idx="448">
                  <c:v>149.97999999999999</c:v>
                </c:pt>
                <c:pt idx="449">
                  <c:v>149.49</c:v>
                </c:pt>
                <c:pt idx="450">
                  <c:v>151.12</c:v>
                </c:pt>
                <c:pt idx="451">
                  <c:v>152.29</c:v>
                </c:pt>
                <c:pt idx="452">
                  <c:v>152.29</c:v>
                </c:pt>
                <c:pt idx="453">
                  <c:v>155.33000000000001</c:v>
                </c:pt>
                <c:pt idx="454">
                  <c:v>156.09</c:v>
                </c:pt>
                <c:pt idx="455">
                  <c:v>155.5</c:v>
                </c:pt>
                <c:pt idx="456">
                  <c:v>155.84</c:v>
                </c:pt>
                <c:pt idx="457">
                  <c:v>154.56</c:v>
                </c:pt>
                <c:pt idx="458">
                  <c:v>152.68</c:v>
                </c:pt>
                <c:pt idx="459">
                  <c:v>153.30000000000001</c:v>
                </c:pt>
                <c:pt idx="460">
                  <c:v>151.63999999999999</c:v>
                </c:pt>
                <c:pt idx="461">
                  <c:v>151.6</c:v>
                </c:pt>
                <c:pt idx="462">
                  <c:v>151.9</c:v>
                </c:pt>
                <c:pt idx="463">
                  <c:v>154.19999999999999</c:v>
                </c:pt>
                <c:pt idx="464">
                  <c:v>153.19999999999999</c:v>
                </c:pt>
                <c:pt idx="465">
                  <c:v>154.4</c:v>
                </c:pt>
                <c:pt idx="466">
                  <c:v>156.71</c:v>
                </c:pt>
                <c:pt idx="467">
                  <c:v>158.99</c:v>
                </c:pt>
                <c:pt idx="468">
                  <c:v>156.4</c:v>
                </c:pt>
                <c:pt idx="469">
                  <c:v>155.36000000000001</c:v>
                </c:pt>
                <c:pt idx="470">
                  <c:v>154.6</c:v>
                </c:pt>
                <c:pt idx="471">
                  <c:v>154.63999999999999</c:v>
                </c:pt>
                <c:pt idx="472">
                  <c:v>153.5</c:v>
                </c:pt>
                <c:pt idx="473">
                  <c:v>154.43</c:v>
                </c:pt>
                <c:pt idx="474">
                  <c:v>154.03</c:v>
                </c:pt>
                <c:pt idx="475">
                  <c:v>156.43</c:v>
                </c:pt>
                <c:pt idx="476">
                  <c:v>159.04</c:v>
                </c:pt>
                <c:pt idx="477">
                  <c:v>155.15</c:v>
                </c:pt>
                <c:pt idx="478">
                  <c:v>159.27000000000001</c:v>
                </c:pt>
                <c:pt idx="479">
                  <c:v>163.68</c:v>
                </c:pt>
                <c:pt idx="480">
                  <c:v>161.29</c:v>
                </c:pt>
                <c:pt idx="481">
                  <c:v>159.80000000000001</c:v>
                </c:pt>
                <c:pt idx="482">
                  <c:v>160.38999999999999</c:v>
                </c:pt>
                <c:pt idx="483">
                  <c:v>163.21</c:v>
                </c:pt>
                <c:pt idx="484">
                  <c:v>164.25</c:v>
                </c:pt>
                <c:pt idx="485">
                  <c:v>163.19999999999999</c:v>
                </c:pt>
                <c:pt idx="486">
                  <c:v>163.33000000000001</c:v>
                </c:pt>
                <c:pt idx="487">
                  <c:v>162.82</c:v>
                </c:pt>
                <c:pt idx="488">
                  <c:v>165.4</c:v>
                </c:pt>
                <c:pt idx="489">
                  <c:v>162.94999999999999</c:v>
                </c:pt>
                <c:pt idx="490">
                  <c:v>160.56</c:v>
                </c:pt>
                <c:pt idx="491">
                  <c:v>162.82</c:v>
                </c:pt>
                <c:pt idx="492">
                  <c:v>160.9</c:v>
                </c:pt>
                <c:pt idx="493">
                  <c:v>159.9</c:v>
                </c:pt>
                <c:pt idx="494">
                  <c:v>158.5</c:v>
                </c:pt>
                <c:pt idx="495">
                  <c:v>158.30000000000001</c:v>
                </c:pt>
                <c:pt idx="496">
                  <c:v>159.19999999999999</c:v>
                </c:pt>
                <c:pt idx="497">
                  <c:v>157.1</c:v>
                </c:pt>
                <c:pt idx="498">
                  <c:v>156.9</c:v>
                </c:pt>
                <c:pt idx="499">
                  <c:v>158.15</c:v>
                </c:pt>
                <c:pt idx="500">
                  <c:v>160.47999999999999</c:v>
                </c:pt>
                <c:pt idx="501">
                  <c:v>161</c:v>
                </c:pt>
                <c:pt idx="502">
                  <c:v>160.19999999999999</c:v>
                </c:pt>
                <c:pt idx="503">
                  <c:v>160.24</c:v>
                </c:pt>
                <c:pt idx="504">
                  <c:v>158.26</c:v>
                </c:pt>
                <c:pt idx="505">
                  <c:v>159.15</c:v>
                </c:pt>
                <c:pt idx="506">
                  <c:v>156.28</c:v>
                </c:pt>
                <c:pt idx="507">
                  <c:v>153.5</c:v>
                </c:pt>
                <c:pt idx="508">
                  <c:v>153</c:v>
                </c:pt>
                <c:pt idx="509">
                  <c:v>150.68</c:v>
                </c:pt>
                <c:pt idx="510">
                  <c:v>148.41</c:v>
                </c:pt>
                <c:pt idx="511">
                  <c:v>147.01</c:v>
                </c:pt>
                <c:pt idx="512">
                  <c:v>149.72999999999999</c:v>
                </c:pt>
                <c:pt idx="513">
                  <c:v>151.12</c:v>
                </c:pt>
                <c:pt idx="514">
                  <c:v>152.27000000000001</c:v>
                </c:pt>
                <c:pt idx="515">
                  <c:v>152.97999999999999</c:v>
                </c:pt>
                <c:pt idx="516">
                  <c:v>151.88999999999999</c:v>
                </c:pt>
                <c:pt idx="517">
                  <c:v>153.53</c:v>
                </c:pt>
                <c:pt idx="518">
                  <c:v>155.4</c:v>
                </c:pt>
                <c:pt idx="519">
                  <c:v>156.49</c:v>
                </c:pt>
                <c:pt idx="520">
                  <c:v>155.79</c:v>
                </c:pt>
                <c:pt idx="521">
                  <c:v>158.6</c:v>
                </c:pt>
                <c:pt idx="522">
                  <c:v>161</c:v>
                </c:pt>
                <c:pt idx="523">
                  <c:v>163</c:v>
                </c:pt>
                <c:pt idx="524">
                  <c:v>160.62</c:v>
                </c:pt>
                <c:pt idx="525">
                  <c:v>164.57</c:v>
                </c:pt>
                <c:pt idx="526">
                  <c:v>164.2</c:v>
                </c:pt>
                <c:pt idx="527">
                  <c:v>165.4</c:v>
                </c:pt>
                <c:pt idx="528">
                  <c:v>161.29</c:v>
                </c:pt>
                <c:pt idx="529">
                  <c:v>164.99</c:v>
                </c:pt>
                <c:pt idx="530">
                  <c:v>165.58</c:v>
                </c:pt>
                <c:pt idx="531">
                  <c:v>153.80000000000001</c:v>
                </c:pt>
                <c:pt idx="532">
                  <c:v>149.53</c:v>
                </c:pt>
                <c:pt idx="533">
                  <c:v>151.79</c:v>
                </c:pt>
                <c:pt idx="534">
                  <c:v>153.91</c:v>
                </c:pt>
                <c:pt idx="535">
                  <c:v>152.4</c:v>
                </c:pt>
                <c:pt idx="536">
                  <c:v>151.51</c:v>
                </c:pt>
                <c:pt idx="537">
                  <c:v>154.1</c:v>
                </c:pt>
                <c:pt idx="538">
                  <c:v>153.16</c:v>
                </c:pt>
                <c:pt idx="539">
                  <c:v>154.13999999999999</c:v>
                </c:pt>
                <c:pt idx="540">
                  <c:v>151.85</c:v>
                </c:pt>
                <c:pt idx="541">
                  <c:v>148.83000000000001</c:v>
                </c:pt>
                <c:pt idx="542">
                  <c:v>150.88999999999999</c:v>
                </c:pt>
                <c:pt idx="543">
                  <c:v>153.19</c:v>
                </c:pt>
                <c:pt idx="544">
                  <c:v>157.51</c:v>
                </c:pt>
                <c:pt idx="545">
                  <c:v>157.85</c:v>
                </c:pt>
                <c:pt idx="546">
                  <c:v>156</c:v>
                </c:pt>
                <c:pt idx="547">
                  <c:v>153.71</c:v>
                </c:pt>
                <c:pt idx="548">
                  <c:v>153.5</c:v>
                </c:pt>
                <c:pt idx="549">
                  <c:v>155.47</c:v>
                </c:pt>
                <c:pt idx="550">
                  <c:v>151.30000000000001</c:v>
                </c:pt>
                <c:pt idx="551">
                  <c:v>152.52000000000001</c:v>
                </c:pt>
                <c:pt idx="552">
                  <c:v>152.5</c:v>
                </c:pt>
                <c:pt idx="553">
                  <c:v>155.65</c:v>
                </c:pt>
                <c:pt idx="554">
                  <c:v>154.69999999999999</c:v>
                </c:pt>
                <c:pt idx="555">
                  <c:v>153.61000000000001</c:v>
                </c:pt>
                <c:pt idx="556">
                  <c:v>155.69999999999999</c:v>
                </c:pt>
                <c:pt idx="557">
                  <c:v>161.32</c:v>
                </c:pt>
                <c:pt idx="558">
                  <c:v>160.18</c:v>
                </c:pt>
                <c:pt idx="559">
                  <c:v>164.56</c:v>
                </c:pt>
                <c:pt idx="560">
                  <c:v>165.99</c:v>
                </c:pt>
                <c:pt idx="561">
                  <c:v>164</c:v>
                </c:pt>
                <c:pt idx="562">
                  <c:v>167</c:v>
                </c:pt>
                <c:pt idx="563">
                  <c:v>161.91999999999999</c:v>
                </c:pt>
                <c:pt idx="564">
                  <c:v>166.2</c:v>
                </c:pt>
                <c:pt idx="565">
                  <c:v>172.11</c:v>
                </c:pt>
                <c:pt idx="566">
                  <c:v>171.81</c:v>
                </c:pt>
                <c:pt idx="567">
                  <c:v>170.5</c:v>
                </c:pt>
                <c:pt idx="568">
                  <c:v>168.5</c:v>
                </c:pt>
                <c:pt idx="569">
                  <c:v>169.47</c:v>
                </c:pt>
                <c:pt idx="570">
                  <c:v>162.59</c:v>
                </c:pt>
                <c:pt idx="571">
                  <c:v>161.88999999999999</c:v>
                </c:pt>
                <c:pt idx="572">
                  <c:v>162.61000000000001</c:v>
                </c:pt>
                <c:pt idx="573">
                  <c:v>161.80000000000001</c:v>
                </c:pt>
                <c:pt idx="574">
                  <c:v>159.27000000000001</c:v>
                </c:pt>
                <c:pt idx="575">
                  <c:v>160.84</c:v>
                </c:pt>
                <c:pt idx="576">
                  <c:v>159</c:v>
                </c:pt>
                <c:pt idx="577">
                  <c:v>158.63999999999999</c:v>
                </c:pt>
                <c:pt idx="578">
                  <c:v>154.35</c:v>
                </c:pt>
                <c:pt idx="579">
                  <c:v>157.38999999999999</c:v>
                </c:pt>
                <c:pt idx="580">
                  <c:v>157.08000000000001</c:v>
                </c:pt>
                <c:pt idx="581">
                  <c:v>155.46</c:v>
                </c:pt>
                <c:pt idx="582">
                  <c:v>152.15</c:v>
                </c:pt>
                <c:pt idx="583">
                  <c:v>153.5</c:v>
                </c:pt>
                <c:pt idx="584">
                  <c:v>155.05000000000001</c:v>
                </c:pt>
                <c:pt idx="585">
                  <c:v>152.36000000000001</c:v>
                </c:pt>
                <c:pt idx="586">
                  <c:v>150.75</c:v>
                </c:pt>
                <c:pt idx="587">
                  <c:v>148.80000000000001</c:v>
                </c:pt>
                <c:pt idx="588">
                  <c:v>147.06</c:v>
                </c:pt>
                <c:pt idx="589">
                  <c:v>147.06</c:v>
                </c:pt>
                <c:pt idx="590">
                  <c:v>147.4</c:v>
                </c:pt>
                <c:pt idx="591">
                  <c:v>148.72999999999999</c:v>
                </c:pt>
                <c:pt idx="592">
                  <c:v>149.94999999999999</c:v>
                </c:pt>
                <c:pt idx="593">
                  <c:v>145.97999999999999</c:v>
                </c:pt>
                <c:pt idx="594">
                  <c:v>147.88</c:v>
                </c:pt>
                <c:pt idx="595">
                  <c:v>145.6</c:v>
                </c:pt>
                <c:pt idx="596">
                  <c:v>144.52000000000001</c:v>
                </c:pt>
                <c:pt idx="597">
                  <c:v>143.6</c:v>
                </c:pt>
                <c:pt idx="598">
                  <c:v>141.5</c:v>
                </c:pt>
                <c:pt idx="599">
                  <c:v>144.16</c:v>
                </c:pt>
                <c:pt idx="600">
                  <c:v>143.30000000000001</c:v>
                </c:pt>
                <c:pt idx="601">
                  <c:v>141.51</c:v>
                </c:pt>
                <c:pt idx="602">
                  <c:v>141.01</c:v>
                </c:pt>
                <c:pt idx="603">
                  <c:v>140.88</c:v>
                </c:pt>
                <c:pt idx="604">
                  <c:v>141.5</c:v>
                </c:pt>
                <c:pt idx="605">
                  <c:v>141.24</c:v>
                </c:pt>
                <c:pt idx="606">
                  <c:v>142.9</c:v>
                </c:pt>
                <c:pt idx="607">
                  <c:v>144.80000000000001</c:v>
                </c:pt>
                <c:pt idx="608">
                  <c:v>145.19999999999999</c:v>
                </c:pt>
                <c:pt idx="609">
                  <c:v>144.1</c:v>
                </c:pt>
                <c:pt idx="610">
                  <c:v>142.74</c:v>
                </c:pt>
                <c:pt idx="611">
                  <c:v>141.34</c:v>
                </c:pt>
                <c:pt idx="612">
                  <c:v>142.38999999999999</c:v>
                </c:pt>
                <c:pt idx="613">
                  <c:v>140.36000000000001</c:v>
                </c:pt>
                <c:pt idx="614">
                  <c:v>142.13999999999999</c:v>
                </c:pt>
                <c:pt idx="615">
                  <c:v>143.79</c:v>
                </c:pt>
                <c:pt idx="616">
                  <c:v>138.9</c:v>
                </c:pt>
                <c:pt idx="617">
                  <c:v>137.99</c:v>
                </c:pt>
                <c:pt idx="618">
                  <c:v>138.18</c:v>
                </c:pt>
                <c:pt idx="619">
                  <c:v>138.21</c:v>
                </c:pt>
                <c:pt idx="620">
                  <c:v>138.85</c:v>
                </c:pt>
                <c:pt idx="621">
                  <c:v>138.37</c:v>
                </c:pt>
                <c:pt idx="622">
                  <c:v>136.47</c:v>
                </c:pt>
                <c:pt idx="623">
                  <c:v>137.58000000000001</c:v>
                </c:pt>
                <c:pt idx="624">
                  <c:v>138.29</c:v>
                </c:pt>
                <c:pt idx="625">
                  <c:v>145.31</c:v>
                </c:pt>
                <c:pt idx="626">
                  <c:v>147</c:v>
                </c:pt>
                <c:pt idx="627">
                  <c:v>146.87</c:v>
                </c:pt>
                <c:pt idx="628">
                  <c:v>145.08000000000001</c:v>
                </c:pt>
                <c:pt idx="629">
                  <c:v>144.77000000000001</c:v>
                </c:pt>
                <c:pt idx="630">
                  <c:v>147.30000000000001</c:v>
                </c:pt>
                <c:pt idx="631">
                  <c:v>148</c:v>
                </c:pt>
                <c:pt idx="632">
                  <c:v>144.96</c:v>
                </c:pt>
                <c:pt idx="633">
                  <c:v>145.55000000000001</c:v>
                </c:pt>
                <c:pt idx="634">
                  <c:v>142.24</c:v>
                </c:pt>
                <c:pt idx="635">
                  <c:v>142.49</c:v>
                </c:pt>
                <c:pt idx="636">
                  <c:v>144</c:v>
                </c:pt>
                <c:pt idx="637">
                  <c:v>141.01</c:v>
                </c:pt>
                <c:pt idx="638">
                  <c:v>138.76</c:v>
                </c:pt>
                <c:pt idx="639">
                  <c:v>139</c:v>
                </c:pt>
                <c:pt idx="640">
                  <c:v>138.07</c:v>
                </c:pt>
                <c:pt idx="641">
                  <c:v>137.1</c:v>
                </c:pt>
                <c:pt idx="642">
                  <c:v>136.76</c:v>
                </c:pt>
                <c:pt idx="643">
                  <c:v>134.4</c:v>
                </c:pt>
                <c:pt idx="644">
                  <c:v>136.91</c:v>
                </c:pt>
                <c:pt idx="645">
                  <c:v>135.5</c:v>
                </c:pt>
                <c:pt idx="646">
                  <c:v>136.52000000000001</c:v>
                </c:pt>
                <c:pt idx="647">
                  <c:v>137.72999999999999</c:v>
                </c:pt>
                <c:pt idx="648">
                  <c:v>139.4</c:v>
                </c:pt>
                <c:pt idx="649">
                  <c:v>141</c:v>
                </c:pt>
                <c:pt idx="650">
                  <c:v>142.28</c:v>
                </c:pt>
                <c:pt idx="651">
                  <c:v>144.08000000000001</c:v>
                </c:pt>
                <c:pt idx="652">
                  <c:v>143.05000000000001</c:v>
                </c:pt>
                <c:pt idx="653">
                  <c:v>146.05000000000001</c:v>
                </c:pt>
                <c:pt idx="654">
                  <c:v>146.9</c:v>
                </c:pt>
                <c:pt idx="655">
                  <c:v>146</c:v>
                </c:pt>
                <c:pt idx="656">
                  <c:v>146.44</c:v>
                </c:pt>
                <c:pt idx="657">
                  <c:v>144</c:v>
                </c:pt>
                <c:pt idx="658">
                  <c:v>145</c:v>
                </c:pt>
                <c:pt idx="659">
                  <c:v>143.26</c:v>
                </c:pt>
                <c:pt idx="660">
                  <c:v>143.9</c:v>
                </c:pt>
                <c:pt idx="661">
                  <c:v>145.09</c:v>
                </c:pt>
                <c:pt idx="662">
                  <c:v>145.09</c:v>
                </c:pt>
                <c:pt idx="663">
                  <c:v>145.27000000000001</c:v>
                </c:pt>
                <c:pt idx="664">
                  <c:v>146.06</c:v>
                </c:pt>
                <c:pt idx="665">
                  <c:v>146.5</c:v>
                </c:pt>
                <c:pt idx="666">
                  <c:v>146.76</c:v>
                </c:pt>
                <c:pt idx="667">
                  <c:v>145.65</c:v>
                </c:pt>
                <c:pt idx="668">
                  <c:v>147.15</c:v>
                </c:pt>
                <c:pt idx="669">
                  <c:v>148.59</c:v>
                </c:pt>
                <c:pt idx="670">
                  <c:v>149.19999999999999</c:v>
                </c:pt>
                <c:pt idx="671">
                  <c:v>150.97999999999999</c:v>
                </c:pt>
                <c:pt idx="672">
                  <c:v>150.69999999999999</c:v>
                </c:pt>
                <c:pt idx="673">
                  <c:v>146.38</c:v>
                </c:pt>
                <c:pt idx="674">
                  <c:v>145.47999999999999</c:v>
                </c:pt>
                <c:pt idx="675">
                  <c:v>144.05000000000001</c:v>
                </c:pt>
                <c:pt idx="676">
                  <c:v>143.72999999999999</c:v>
                </c:pt>
                <c:pt idx="677">
                  <c:v>142.69999999999999</c:v>
                </c:pt>
                <c:pt idx="678">
                  <c:v>144.94</c:v>
                </c:pt>
                <c:pt idx="679">
                  <c:v>145.93</c:v>
                </c:pt>
                <c:pt idx="680">
                  <c:v>144.30000000000001</c:v>
                </c:pt>
                <c:pt idx="681">
                  <c:v>144.5</c:v>
                </c:pt>
                <c:pt idx="682">
                  <c:v>145.47999999999999</c:v>
                </c:pt>
                <c:pt idx="683">
                  <c:v>142.69999999999999</c:v>
                </c:pt>
                <c:pt idx="684">
                  <c:v>144.13999999999999</c:v>
                </c:pt>
                <c:pt idx="685">
                  <c:v>143.99</c:v>
                </c:pt>
                <c:pt idx="686">
                  <c:v>144.4</c:v>
                </c:pt>
                <c:pt idx="687">
                  <c:v>143.4</c:v>
                </c:pt>
                <c:pt idx="688">
                  <c:v>144.75</c:v>
                </c:pt>
                <c:pt idx="689">
                  <c:v>142.4</c:v>
                </c:pt>
                <c:pt idx="690">
                  <c:v>141.5</c:v>
                </c:pt>
                <c:pt idx="691">
                  <c:v>142.58000000000001</c:v>
                </c:pt>
                <c:pt idx="692">
                  <c:v>145.99</c:v>
                </c:pt>
                <c:pt idx="693">
                  <c:v>145.27000000000001</c:v>
                </c:pt>
                <c:pt idx="694">
                  <c:v>141.80000000000001</c:v>
                </c:pt>
                <c:pt idx="695">
                  <c:v>135.01</c:v>
                </c:pt>
                <c:pt idx="696">
                  <c:v>141.5</c:v>
                </c:pt>
                <c:pt idx="697">
                  <c:v>140.5</c:v>
                </c:pt>
                <c:pt idx="698">
                  <c:v>140.18</c:v>
                </c:pt>
                <c:pt idx="699">
                  <c:v>141.13</c:v>
                </c:pt>
                <c:pt idx="700">
                  <c:v>140.32</c:v>
                </c:pt>
                <c:pt idx="701">
                  <c:v>142.33000000000001</c:v>
                </c:pt>
                <c:pt idx="702">
                  <c:v>142.80000000000001</c:v>
                </c:pt>
                <c:pt idx="703">
                  <c:v>140.47</c:v>
                </c:pt>
                <c:pt idx="704">
                  <c:v>140.80000000000001</c:v>
                </c:pt>
                <c:pt idx="705">
                  <c:v>138.27000000000001</c:v>
                </c:pt>
                <c:pt idx="706">
                  <c:v>142</c:v>
                </c:pt>
                <c:pt idx="707">
                  <c:v>139.5</c:v>
                </c:pt>
                <c:pt idx="708">
                  <c:v>141.51</c:v>
                </c:pt>
                <c:pt idx="709">
                  <c:v>142.44999999999999</c:v>
                </c:pt>
                <c:pt idx="710">
                  <c:v>139.91</c:v>
                </c:pt>
                <c:pt idx="711">
                  <c:v>141</c:v>
                </c:pt>
                <c:pt idx="712">
                  <c:v>138.25</c:v>
                </c:pt>
                <c:pt idx="713">
                  <c:v>138.80000000000001</c:v>
                </c:pt>
                <c:pt idx="714">
                  <c:v>142.75</c:v>
                </c:pt>
              </c:numCache>
            </c:numRef>
          </c:val>
          <c:smooth val="0"/>
        </c:ser>
        <c:ser>
          <c:idx val="1"/>
          <c:order val="1"/>
          <c:tx>
            <c:v>ema12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t!$H$3:$H$717</c:f>
              <c:numCache>
                <c:formatCode>0.00</c:formatCode>
                <c:ptCount val="715"/>
                <c:pt idx="0">
                  <c:v>214.82333333333332</c:v>
                </c:pt>
                <c:pt idx="1">
                  <c:v>212.84141025641028</c:v>
                </c:pt>
                <c:pt idx="2">
                  <c:v>210.22961538461541</c:v>
                </c:pt>
                <c:pt idx="3">
                  <c:v>210.38410256410256</c:v>
                </c:pt>
                <c:pt idx="4">
                  <c:v>209.33948717948721</c:v>
                </c:pt>
                <c:pt idx="5">
                  <c:v>208.55532051282054</c:v>
                </c:pt>
                <c:pt idx="6">
                  <c:v>206.98294871794872</c:v>
                </c:pt>
                <c:pt idx="7">
                  <c:v>206.06557692307692</c:v>
                </c:pt>
                <c:pt idx="8">
                  <c:v>204.97147435897432</c:v>
                </c:pt>
                <c:pt idx="9">
                  <c:v>204.05198717948718</c:v>
                </c:pt>
                <c:pt idx="10">
                  <c:v>203.12070512820512</c:v>
                </c:pt>
                <c:pt idx="11">
                  <c:v>202.04961538461538</c:v>
                </c:pt>
                <c:pt idx="12">
                  <c:v>199.90685897435898</c:v>
                </c:pt>
                <c:pt idx="13">
                  <c:v>200.03365384615384</c:v>
                </c:pt>
                <c:pt idx="14">
                  <c:v>198.51923076923075</c:v>
                </c:pt>
                <c:pt idx="15">
                  <c:v>195.18166666666664</c:v>
                </c:pt>
                <c:pt idx="16">
                  <c:v>192.66750000000002</c:v>
                </c:pt>
                <c:pt idx="17">
                  <c:v>191.43506410256407</c:v>
                </c:pt>
                <c:pt idx="18">
                  <c:v>190.66499999999996</c:v>
                </c:pt>
                <c:pt idx="19">
                  <c:v>188.39980769230766</c:v>
                </c:pt>
                <c:pt idx="20">
                  <c:v>187.4094871794872</c:v>
                </c:pt>
                <c:pt idx="21">
                  <c:v>187.14282051282052</c:v>
                </c:pt>
                <c:pt idx="22">
                  <c:v>186.78096153846155</c:v>
                </c:pt>
                <c:pt idx="23">
                  <c:v>186.01250000000002</c:v>
                </c:pt>
                <c:pt idx="24">
                  <c:v>185.18064102564102</c:v>
                </c:pt>
                <c:pt idx="25">
                  <c:v>185.34717948717952</c:v>
                </c:pt>
                <c:pt idx="26">
                  <c:v>184.92397435897436</c:v>
                </c:pt>
                <c:pt idx="27">
                  <c:v>184.03782051282053</c:v>
                </c:pt>
                <c:pt idx="28">
                  <c:v>184.02153846153843</c:v>
                </c:pt>
                <c:pt idx="29">
                  <c:v>182.87929487179488</c:v>
                </c:pt>
                <c:pt idx="30">
                  <c:v>182.37698717948717</c:v>
                </c:pt>
                <c:pt idx="31">
                  <c:v>180.91942307692307</c:v>
                </c:pt>
                <c:pt idx="32">
                  <c:v>178.97788461538465</c:v>
                </c:pt>
                <c:pt idx="33">
                  <c:v>177.39128205128205</c:v>
                </c:pt>
                <c:pt idx="34">
                  <c:v>175.97769230769231</c:v>
                </c:pt>
                <c:pt idx="35">
                  <c:v>174.24397435897436</c:v>
                </c:pt>
                <c:pt idx="36">
                  <c:v>171.75474358974358</c:v>
                </c:pt>
                <c:pt idx="37">
                  <c:v>170.28243589743587</c:v>
                </c:pt>
                <c:pt idx="38">
                  <c:v>167.3228205128205</c:v>
                </c:pt>
                <c:pt idx="39">
                  <c:v>164.69878205128205</c:v>
                </c:pt>
                <c:pt idx="40">
                  <c:v>163.5753205128205</c:v>
                </c:pt>
                <c:pt idx="41">
                  <c:v>163.5502564102564</c:v>
                </c:pt>
                <c:pt idx="42">
                  <c:v>162.58160256410255</c:v>
                </c:pt>
                <c:pt idx="43">
                  <c:v>161.37391025641023</c:v>
                </c:pt>
                <c:pt idx="44">
                  <c:v>161.29974358974357</c:v>
                </c:pt>
                <c:pt idx="45">
                  <c:v>160.89115384615383</c:v>
                </c:pt>
                <c:pt idx="46">
                  <c:v>160.57955128205128</c:v>
                </c:pt>
                <c:pt idx="47">
                  <c:v>160.71147435897439</c:v>
                </c:pt>
                <c:pt idx="48">
                  <c:v>162.00378205128206</c:v>
                </c:pt>
                <c:pt idx="49">
                  <c:v>162.30743589743588</c:v>
                </c:pt>
                <c:pt idx="50">
                  <c:v>164.10288461538462</c:v>
                </c:pt>
                <c:pt idx="51">
                  <c:v>165.10544871794875</c:v>
                </c:pt>
                <c:pt idx="52">
                  <c:v>165.90557692307695</c:v>
                </c:pt>
                <c:pt idx="53">
                  <c:v>166.18384615384616</c:v>
                </c:pt>
                <c:pt idx="54">
                  <c:v>166.47410256410257</c:v>
                </c:pt>
                <c:pt idx="55">
                  <c:v>167.24852564102565</c:v>
                </c:pt>
                <c:pt idx="56">
                  <c:v>167.00506410256412</c:v>
                </c:pt>
                <c:pt idx="57">
                  <c:v>167.40198717948718</c:v>
                </c:pt>
                <c:pt idx="58">
                  <c:v>168.31358974358974</c:v>
                </c:pt>
                <c:pt idx="59">
                  <c:v>168.62769230769231</c:v>
                </c:pt>
                <c:pt idx="60">
                  <c:v>168.88166666666666</c:v>
                </c:pt>
                <c:pt idx="61">
                  <c:v>169.81576923076923</c:v>
                </c:pt>
                <c:pt idx="62">
                  <c:v>169.86102564102566</c:v>
                </c:pt>
                <c:pt idx="63">
                  <c:v>170.63903846153846</c:v>
                </c:pt>
                <c:pt idx="64">
                  <c:v>171.57794871794869</c:v>
                </c:pt>
                <c:pt idx="65">
                  <c:v>172.6883333333333</c:v>
                </c:pt>
                <c:pt idx="66">
                  <c:v>173.29621794871795</c:v>
                </c:pt>
                <c:pt idx="67">
                  <c:v>174.05121794871798</c:v>
                </c:pt>
                <c:pt idx="68">
                  <c:v>174.85897435897436</c:v>
                </c:pt>
                <c:pt idx="69">
                  <c:v>176.07500000000002</c:v>
                </c:pt>
                <c:pt idx="70">
                  <c:v>176.88076923076923</c:v>
                </c:pt>
                <c:pt idx="71">
                  <c:v>177.546858974359</c:v>
                </c:pt>
                <c:pt idx="72">
                  <c:v>177.7800641025641</c:v>
                </c:pt>
                <c:pt idx="73">
                  <c:v>177.84519230769226</c:v>
                </c:pt>
                <c:pt idx="74">
                  <c:v>178.18108974358975</c:v>
                </c:pt>
                <c:pt idx="75">
                  <c:v>178.49160256410258</c:v>
                </c:pt>
                <c:pt idx="76">
                  <c:v>178.24884615384616</c:v>
                </c:pt>
                <c:pt idx="77">
                  <c:v>179.05628205128207</c:v>
                </c:pt>
                <c:pt idx="78">
                  <c:v>179.45275641025637</c:v>
                </c:pt>
                <c:pt idx="79">
                  <c:v>179.37685897435898</c:v>
                </c:pt>
                <c:pt idx="80">
                  <c:v>179.05820512820515</c:v>
                </c:pt>
                <c:pt idx="81">
                  <c:v>178.48615384615383</c:v>
                </c:pt>
                <c:pt idx="82">
                  <c:v>178.91519230769234</c:v>
                </c:pt>
                <c:pt idx="83">
                  <c:v>178.92628205128204</c:v>
                </c:pt>
                <c:pt idx="84">
                  <c:v>179.78724358974361</c:v>
                </c:pt>
                <c:pt idx="85">
                  <c:v>180.61897435897436</c:v>
                </c:pt>
                <c:pt idx="86">
                  <c:v>182.06333333333333</c:v>
                </c:pt>
                <c:pt idx="87">
                  <c:v>183.14826923076922</c:v>
                </c:pt>
                <c:pt idx="88">
                  <c:v>183.76833333333335</c:v>
                </c:pt>
                <c:pt idx="89">
                  <c:v>184.98980769230769</c:v>
                </c:pt>
                <c:pt idx="90">
                  <c:v>185.93980769230768</c:v>
                </c:pt>
                <c:pt idx="91">
                  <c:v>186.05307692307693</c:v>
                </c:pt>
                <c:pt idx="92">
                  <c:v>187.24288461538464</c:v>
                </c:pt>
                <c:pt idx="93">
                  <c:v>188.19942307692307</c:v>
                </c:pt>
                <c:pt idx="94">
                  <c:v>189.00660256410256</c:v>
                </c:pt>
                <c:pt idx="95">
                  <c:v>188.83288461538461</c:v>
                </c:pt>
                <c:pt idx="96">
                  <c:v>189.03275641025638</c:v>
                </c:pt>
                <c:pt idx="97">
                  <c:v>188.77320512820512</c:v>
                </c:pt>
                <c:pt idx="98">
                  <c:v>189.47576923076926</c:v>
                </c:pt>
                <c:pt idx="99">
                  <c:v>189.57448717948719</c:v>
                </c:pt>
                <c:pt idx="100">
                  <c:v>189.33538461538461</c:v>
                </c:pt>
                <c:pt idx="101">
                  <c:v>188.81788461538463</c:v>
                </c:pt>
                <c:pt idx="102">
                  <c:v>188.62038461538464</c:v>
                </c:pt>
                <c:pt idx="103">
                  <c:v>188.18948717948714</c:v>
                </c:pt>
                <c:pt idx="104">
                  <c:v>187.37474358974359</c:v>
                </c:pt>
                <c:pt idx="105">
                  <c:v>186.3499358974359</c:v>
                </c:pt>
                <c:pt idx="106">
                  <c:v>185.7425641025641</c:v>
                </c:pt>
                <c:pt idx="107">
                  <c:v>185.45801282051283</c:v>
                </c:pt>
                <c:pt idx="108">
                  <c:v>185.73544871794871</c:v>
                </c:pt>
                <c:pt idx="109">
                  <c:v>185.58628205128207</c:v>
                </c:pt>
                <c:pt idx="110">
                  <c:v>184.63211538461542</c:v>
                </c:pt>
                <c:pt idx="111">
                  <c:v>184.77121794871798</c:v>
                </c:pt>
                <c:pt idx="112">
                  <c:v>184.59608974358974</c:v>
                </c:pt>
                <c:pt idx="113">
                  <c:v>184.56205128205133</c:v>
                </c:pt>
                <c:pt idx="114">
                  <c:v>185.6771794871795</c:v>
                </c:pt>
                <c:pt idx="115">
                  <c:v>186.39352564102563</c:v>
                </c:pt>
                <c:pt idx="116">
                  <c:v>187.67916666666665</c:v>
                </c:pt>
                <c:pt idx="117">
                  <c:v>188.7598717948718</c:v>
                </c:pt>
                <c:pt idx="118">
                  <c:v>189.75141025641025</c:v>
                </c:pt>
                <c:pt idx="119">
                  <c:v>191.06557692307695</c:v>
                </c:pt>
                <c:pt idx="120">
                  <c:v>191.91403846153847</c:v>
                </c:pt>
                <c:pt idx="121">
                  <c:v>192.89185897435897</c:v>
                </c:pt>
                <c:pt idx="122">
                  <c:v>192.80903846153848</c:v>
                </c:pt>
                <c:pt idx="123">
                  <c:v>193.28557692307692</c:v>
                </c:pt>
                <c:pt idx="124">
                  <c:v>194.15339743589746</c:v>
                </c:pt>
                <c:pt idx="125">
                  <c:v>196.65532051282051</c:v>
                </c:pt>
                <c:pt idx="126">
                  <c:v>196.88320512820511</c:v>
                </c:pt>
                <c:pt idx="127">
                  <c:v>197.62801282051282</c:v>
                </c:pt>
                <c:pt idx="128">
                  <c:v>196.92903846153845</c:v>
                </c:pt>
                <c:pt idx="129">
                  <c:v>196.93923076923076</c:v>
                </c:pt>
                <c:pt idx="130">
                  <c:v>195.86929487179486</c:v>
                </c:pt>
                <c:pt idx="131">
                  <c:v>196.03352564102562</c:v>
                </c:pt>
                <c:pt idx="132">
                  <c:v>195.36455128205128</c:v>
                </c:pt>
                <c:pt idx="133">
                  <c:v>194.85762820512821</c:v>
                </c:pt>
                <c:pt idx="134">
                  <c:v>194.81134615384616</c:v>
                </c:pt>
                <c:pt idx="135">
                  <c:v>195.89442307692312</c:v>
                </c:pt>
                <c:pt idx="136">
                  <c:v>195.62096153846153</c:v>
                </c:pt>
                <c:pt idx="137">
                  <c:v>196.3453846153846</c:v>
                </c:pt>
                <c:pt idx="138">
                  <c:v>197.50384615384615</c:v>
                </c:pt>
                <c:pt idx="139">
                  <c:v>197.8898076923077</c:v>
                </c:pt>
                <c:pt idx="140">
                  <c:v>199.08814102564105</c:v>
                </c:pt>
                <c:pt idx="141">
                  <c:v>199.09019230769229</c:v>
                </c:pt>
                <c:pt idx="142">
                  <c:v>199.93352564102562</c:v>
                </c:pt>
                <c:pt idx="143">
                  <c:v>200.33423076923077</c:v>
                </c:pt>
                <c:pt idx="144">
                  <c:v>199.98557692307693</c:v>
                </c:pt>
                <c:pt idx="145">
                  <c:v>200.41371794871796</c:v>
                </c:pt>
                <c:pt idx="146">
                  <c:v>201.19294871794875</c:v>
                </c:pt>
                <c:pt idx="147">
                  <c:v>201.37217948717949</c:v>
                </c:pt>
                <c:pt idx="148">
                  <c:v>200.64326923076925</c:v>
                </c:pt>
                <c:pt idx="149">
                  <c:v>199.64000000000004</c:v>
                </c:pt>
                <c:pt idx="150">
                  <c:v>198.95044871794875</c:v>
                </c:pt>
                <c:pt idx="151">
                  <c:v>199.44467948717949</c:v>
                </c:pt>
                <c:pt idx="152">
                  <c:v>197.42403846153846</c:v>
                </c:pt>
                <c:pt idx="153">
                  <c:v>195.64634615384614</c:v>
                </c:pt>
                <c:pt idx="154">
                  <c:v>194.79128205128205</c:v>
                </c:pt>
                <c:pt idx="155">
                  <c:v>193.20532051282049</c:v>
                </c:pt>
                <c:pt idx="156">
                  <c:v>192.12384615384616</c:v>
                </c:pt>
                <c:pt idx="157">
                  <c:v>191.78942307692313</c:v>
                </c:pt>
                <c:pt idx="158">
                  <c:v>191.1192307692308</c:v>
                </c:pt>
                <c:pt idx="159">
                  <c:v>189.88653846153849</c:v>
                </c:pt>
                <c:pt idx="160">
                  <c:v>189.6398076923077</c:v>
                </c:pt>
                <c:pt idx="161">
                  <c:v>189.31006410256407</c:v>
                </c:pt>
                <c:pt idx="162">
                  <c:v>188.44403846153841</c:v>
                </c:pt>
                <c:pt idx="163">
                  <c:v>188.15923076923073</c:v>
                </c:pt>
                <c:pt idx="164">
                  <c:v>186.54641025641027</c:v>
                </c:pt>
                <c:pt idx="165">
                  <c:v>186.72769230769231</c:v>
                </c:pt>
                <c:pt idx="166">
                  <c:v>186.89923076923077</c:v>
                </c:pt>
                <c:pt idx="167">
                  <c:v>187.52173076923077</c:v>
                </c:pt>
                <c:pt idx="168">
                  <c:v>187.54846153846154</c:v>
                </c:pt>
                <c:pt idx="169">
                  <c:v>187.38576923076923</c:v>
                </c:pt>
                <c:pt idx="170">
                  <c:v>187.54641025641027</c:v>
                </c:pt>
                <c:pt idx="171">
                  <c:v>187.83314102564103</c:v>
                </c:pt>
                <c:pt idx="172">
                  <c:v>186.76967948717947</c:v>
                </c:pt>
                <c:pt idx="173">
                  <c:v>187.32897435897436</c:v>
                </c:pt>
                <c:pt idx="174">
                  <c:v>187.9321153846154</c:v>
                </c:pt>
                <c:pt idx="175">
                  <c:v>186.69698717948719</c:v>
                </c:pt>
                <c:pt idx="176">
                  <c:v>186.60378205128205</c:v>
                </c:pt>
                <c:pt idx="177">
                  <c:v>187.04833333333329</c:v>
                </c:pt>
                <c:pt idx="178">
                  <c:v>188.1052564102564</c:v>
                </c:pt>
                <c:pt idx="179">
                  <c:v>188.22391025641025</c:v>
                </c:pt>
                <c:pt idx="180">
                  <c:v>187.42634615384614</c:v>
                </c:pt>
                <c:pt idx="181">
                  <c:v>188.53217948717952</c:v>
                </c:pt>
                <c:pt idx="182">
                  <c:v>188.51237179487183</c:v>
                </c:pt>
                <c:pt idx="183">
                  <c:v>188.12814102564104</c:v>
                </c:pt>
                <c:pt idx="184">
                  <c:v>187.91666666666666</c:v>
                </c:pt>
                <c:pt idx="185">
                  <c:v>188.26750000000001</c:v>
                </c:pt>
                <c:pt idx="186">
                  <c:v>186.85294871794872</c:v>
                </c:pt>
                <c:pt idx="187">
                  <c:v>186.99429487179489</c:v>
                </c:pt>
                <c:pt idx="188">
                  <c:v>186.44839743589742</c:v>
                </c:pt>
                <c:pt idx="189">
                  <c:v>185.36500000000001</c:v>
                </c:pt>
                <c:pt idx="190">
                  <c:v>183.10397435897437</c:v>
                </c:pt>
                <c:pt idx="191">
                  <c:v>182.03064102564102</c:v>
                </c:pt>
                <c:pt idx="192">
                  <c:v>180.65974358974358</c:v>
                </c:pt>
                <c:pt idx="193">
                  <c:v>178.5876282051282</c:v>
                </c:pt>
                <c:pt idx="194">
                  <c:v>176.10070512820511</c:v>
                </c:pt>
                <c:pt idx="195">
                  <c:v>175.46294871794871</c:v>
                </c:pt>
                <c:pt idx="196">
                  <c:v>173.61878205128204</c:v>
                </c:pt>
                <c:pt idx="197">
                  <c:v>172.42410256410255</c:v>
                </c:pt>
                <c:pt idx="198">
                  <c:v>173.32685897435897</c:v>
                </c:pt>
                <c:pt idx="199">
                  <c:v>172.38647435897434</c:v>
                </c:pt>
                <c:pt idx="200">
                  <c:v>172.60935897435897</c:v>
                </c:pt>
                <c:pt idx="201">
                  <c:v>172.54621794871795</c:v>
                </c:pt>
                <c:pt idx="202">
                  <c:v>175.99487179487178</c:v>
                </c:pt>
                <c:pt idx="203">
                  <c:v>177.51166666666666</c:v>
                </c:pt>
                <c:pt idx="204">
                  <c:v>177.95487179487182</c:v>
                </c:pt>
                <c:pt idx="205">
                  <c:v>180.61673076923074</c:v>
                </c:pt>
                <c:pt idx="206">
                  <c:v>184.34224358974359</c:v>
                </c:pt>
                <c:pt idx="207">
                  <c:v>188.03653846153847</c:v>
                </c:pt>
                <c:pt idx="208">
                  <c:v>191.80256410256408</c:v>
                </c:pt>
                <c:pt idx="209">
                  <c:v>197.89339743589744</c:v>
                </c:pt>
                <c:pt idx="210">
                  <c:v>202.14692307692306</c:v>
                </c:pt>
                <c:pt idx="211">
                  <c:v>209.09807692307692</c:v>
                </c:pt>
                <c:pt idx="212">
                  <c:v>213.5727564102564</c:v>
                </c:pt>
                <c:pt idx="213">
                  <c:v>216.40128205128204</c:v>
                </c:pt>
                <c:pt idx="214">
                  <c:v>218.92064102564106</c:v>
                </c:pt>
                <c:pt idx="215">
                  <c:v>220.76660256410258</c:v>
                </c:pt>
                <c:pt idx="216">
                  <c:v>224.12961538461545</c:v>
                </c:pt>
                <c:pt idx="217">
                  <c:v>228.61775641025645</c:v>
                </c:pt>
                <c:pt idx="218">
                  <c:v>230.27762820512822</c:v>
                </c:pt>
                <c:pt idx="219">
                  <c:v>230.57205128205129</c:v>
                </c:pt>
                <c:pt idx="220">
                  <c:v>232.17064102564103</c:v>
                </c:pt>
                <c:pt idx="221">
                  <c:v>232.61012820512821</c:v>
                </c:pt>
                <c:pt idx="222">
                  <c:v>231.90564102564105</c:v>
                </c:pt>
                <c:pt idx="223">
                  <c:v>231.38987179487179</c:v>
                </c:pt>
                <c:pt idx="224">
                  <c:v>231.62192307692305</c:v>
                </c:pt>
                <c:pt idx="225">
                  <c:v>231.2730769230769</c:v>
                </c:pt>
                <c:pt idx="226">
                  <c:v>231.39935897435899</c:v>
                </c:pt>
                <c:pt idx="227">
                  <c:v>232.1908333333333</c:v>
                </c:pt>
                <c:pt idx="228">
                  <c:v>231.05692307692306</c:v>
                </c:pt>
                <c:pt idx="229">
                  <c:v>230.00403846153844</c:v>
                </c:pt>
                <c:pt idx="230">
                  <c:v>231.59980769230771</c:v>
                </c:pt>
                <c:pt idx="231">
                  <c:v>233.28807692307691</c:v>
                </c:pt>
                <c:pt idx="232">
                  <c:v>234.99339743589746</c:v>
                </c:pt>
                <c:pt idx="233">
                  <c:v>236.15301282051286</c:v>
                </c:pt>
                <c:pt idx="234">
                  <c:v>237.46807692307692</c:v>
                </c:pt>
                <c:pt idx="235">
                  <c:v>239.20051282051276</c:v>
                </c:pt>
                <c:pt idx="236">
                  <c:v>241.67820512820512</c:v>
                </c:pt>
                <c:pt idx="237">
                  <c:v>243.05288461538464</c:v>
                </c:pt>
                <c:pt idx="238">
                  <c:v>244.88942307692309</c:v>
                </c:pt>
                <c:pt idx="239">
                  <c:v>245.45955128205128</c:v>
                </c:pt>
                <c:pt idx="240">
                  <c:v>248.16448717948717</c:v>
                </c:pt>
                <c:pt idx="241">
                  <c:v>249.63012820512824</c:v>
                </c:pt>
                <c:pt idx="242">
                  <c:v>252.20032051282053</c:v>
                </c:pt>
                <c:pt idx="243">
                  <c:v>253.72121794871799</c:v>
                </c:pt>
                <c:pt idx="244">
                  <c:v>254.04012820512821</c:v>
                </c:pt>
                <c:pt idx="245">
                  <c:v>254.58544871794874</c:v>
                </c:pt>
                <c:pt idx="246">
                  <c:v>254.32064102564104</c:v>
                </c:pt>
                <c:pt idx="247">
                  <c:v>253.79403846153843</c:v>
                </c:pt>
                <c:pt idx="248">
                  <c:v>253.84576923076924</c:v>
                </c:pt>
                <c:pt idx="249">
                  <c:v>254.42910256410255</c:v>
                </c:pt>
                <c:pt idx="250">
                  <c:v>254.7726923076923</c:v>
                </c:pt>
                <c:pt idx="251">
                  <c:v>255.07128205128203</c:v>
                </c:pt>
                <c:pt idx="252">
                  <c:v>255.13987179487179</c:v>
                </c:pt>
                <c:pt idx="253">
                  <c:v>254.99307692307696</c:v>
                </c:pt>
                <c:pt idx="254">
                  <c:v>254.96314102564105</c:v>
                </c:pt>
                <c:pt idx="255">
                  <c:v>253.89326923076925</c:v>
                </c:pt>
                <c:pt idx="256">
                  <c:v>253.5850641025641</c:v>
                </c:pt>
                <c:pt idx="257">
                  <c:v>252.43307692307692</c:v>
                </c:pt>
                <c:pt idx="258">
                  <c:v>251.79461538461538</c:v>
                </c:pt>
                <c:pt idx="259">
                  <c:v>251.72301282051285</c:v>
                </c:pt>
                <c:pt idx="260">
                  <c:v>251.24660256410255</c:v>
                </c:pt>
                <c:pt idx="261">
                  <c:v>250.71429487179483</c:v>
                </c:pt>
                <c:pt idx="262">
                  <c:v>249.62025641025642</c:v>
                </c:pt>
                <c:pt idx="263">
                  <c:v>249.3586538461538</c:v>
                </c:pt>
                <c:pt idx="264">
                  <c:v>249.6701923076923</c:v>
                </c:pt>
                <c:pt idx="265">
                  <c:v>249.86192307692303</c:v>
                </c:pt>
                <c:pt idx="266">
                  <c:v>249.89205128205131</c:v>
                </c:pt>
                <c:pt idx="267">
                  <c:v>250.35237179487183</c:v>
                </c:pt>
                <c:pt idx="268">
                  <c:v>250.11750000000004</c:v>
                </c:pt>
                <c:pt idx="269">
                  <c:v>250.60403846153841</c:v>
                </c:pt>
                <c:pt idx="270">
                  <c:v>251.23987179487182</c:v>
                </c:pt>
                <c:pt idx="271">
                  <c:v>251.5044230769231</c:v>
                </c:pt>
                <c:pt idx="272">
                  <c:v>251.29025641025635</c:v>
                </c:pt>
                <c:pt idx="273">
                  <c:v>251.80198717948718</c:v>
                </c:pt>
                <c:pt idx="274">
                  <c:v>251.45211538461538</c:v>
                </c:pt>
                <c:pt idx="275">
                  <c:v>252.39929487179484</c:v>
                </c:pt>
                <c:pt idx="276">
                  <c:v>252.53358974358974</c:v>
                </c:pt>
                <c:pt idx="277">
                  <c:v>251.58423076923077</c:v>
                </c:pt>
                <c:pt idx="278">
                  <c:v>251.79647435897436</c:v>
                </c:pt>
                <c:pt idx="279">
                  <c:v>252.27243589743591</c:v>
                </c:pt>
                <c:pt idx="280">
                  <c:v>253.30320512820515</c:v>
                </c:pt>
                <c:pt idx="281">
                  <c:v>253.90512820512822</c:v>
                </c:pt>
                <c:pt idx="282">
                  <c:v>255.32519230769233</c:v>
                </c:pt>
                <c:pt idx="283">
                  <c:v>254.95820512820509</c:v>
                </c:pt>
                <c:pt idx="284">
                  <c:v>256.07314102564101</c:v>
                </c:pt>
                <c:pt idx="285">
                  <c:v>256.63243589743587</c:v>
                </c:pt>
                <c:pt idx="286">
                  <c:v>258.00801282051287</c:v>
                </c:pt>
                <c:pt idx="287">
                  <c:v>258.41769230769228</c:v>
                </c:pt>
                <c:pt idx="288">
                  <c:v>258.67217948717951</c:v>
                </c:pt>
                <c:pt idx="289">
                  <c:v>259.15173076923077</c:v>
                </c:pt>
                <c:pt idx="290">
                  <c:v>258.6978205128205</c:v>
                </c:pt>
                <c:pt idx="291">
                  <c:v>257.85294871794872</c:v>
                </c:pt>
                <c:pt idx="292">
                  <c:v>256.42166666666668</c:v>
                </c:pt>
                <c:pt idx="293">
                  <c:v>252.86756410256407</c:v>
                </c:pt>
                <c:pt idx="294">
                  <c:v>249.50666666666666</c:v>
                </c:pt>
                <c:pt idx="295">
                  <c:v>247.16025641025644</c:v>
                </c:pt>
                <c:pt idx="296">
                  <c:v>244.03237179487178</c:v>
                </c:pt>
                <c:pt idx="297">
                  <c:v>241.88108974358974</c:v>
                </c:pt>
                <c:pt idx="298">
                  <c:v>238.06314102564102</c:v>
                </c:pt>
                <c:pt idx="299">
                  <c:v>234.91038461538457</c:v>
                </c:pt>
                <c:pt idx="300">
                  <c:v>233.86256410256408</c:v>
                </c:pt>
                <c:pt idx="301">
                  <c:v>231.77724358974356</c:v>
                </c:pt>
                <c:pt idx="302">
                  <c:v>229.12403846153842</c:v>
                </c:pt>
                <c:pt idx="303">
                  <c:v>228.30096153846151</c:v>
                </c:pt>
                <c:pt idx="304">
                  <c:v>226.28570512820514</c:v>
                </c:pt>
                <c:pt idx="305">
                  <c:v>225.81903846153847</c:v>
                </c:pt>
                <c:pt idx="306">
                  <c:v>225.50878205128208</c:v>
                </c:pt>
                <c:pt idx="307">
                  <c:v>225.35615384615392</c:v>
                </c:pt>
                <c:pt idx="308">
                  <c:v>224.96769230769232</c:v>
                </c:pt>
                <c:pt idx="309">
                  <c:v>225.17993589743591</c:v>
                </c:pt>
                <c:pt idx="310">
                  <c:v>225.81166666666667</c:v>
                </c:pt>
                <c:pt idx="311">
                  <c:v>225.44487179487177</c:v>
                </c:pt>
                <c:pt idx="312">
                  <c:v>225.46743589743585</c:v>
                </c:pt>
                <c:pt idx="313">
                  <c:v>225.97679487179488</c:v>
                </c:pt>
                <c:pt idx="314">
                  <c:v>226.97134615384616</c:v>
                </c:pt>
                <c:pt idx="315">
                  <c:v>226.54160256410256</c:v>
                </c:pt>
                <c:pt idx="316">
                  <c:v>227.59519230769229</c:v>
                </c:pt>
                <c:pt idx="317">
                  <c:v>228.41108974358974</c:v>
                </c:pt>
                <c:pt idx="318">
                  <c:v>229.65108974358981</c:v>
                </c:pt>
                <c:pt idx="319">
                  <c:v>229.98410256410256</c:v>
                </c:pt>
                <c:pt idx="320">
                  <c:v>230.95474358974366</c:v>
                </c:pt>
                <c:pt idx="321">
                  <c:v>231.83743589743594</c:v>
                </c:pt>
                <c:pt idx="322">
                  <c:v>231.36544871794877</c:v>
                </c:pt>
                <c:pt idx="323">
                  <c:v>231.70583333333335</c:v>
                </c:pt>
                <c:pt idx="324">
                  <c:v>232.59384615384616</c:v>
                </c:pt>
                <c:pt idx="325">
                  <c:v>233.0119230769231</c:v>
                </c:pt>
                <c:pt idx="326">
                  <c:v>233.26153846153846</c:v>
                </c:pt>
                <c:pt idx="327">
                  <c:v>233.74910256410254</c:v>
                </c:pt>
                <c:pt idx="328">
                  <c:v>233.78237179487178</c:v>
                </c:pt>
                <c:pt idx="329">
                  <c:v>233.88153846153847</c:v>
                </c:pt>
                <c:pt idx="330">
                  <c:v>233.39692307692312</c:v>
                </c:pt>
                <c:pt idx="331">
                  <c:v>233.17192307692306</c:v>
                </c:pt>
                <c:pt idx="332">
                  <c:v>233.09423076923076</c:v>
                </c:pt>
                <c:pt idx="333">
                  <c:v>232.34070512820512</c:v>
                </c:pt>
                <c:pt idx="334">
                  <c:v>232.36794871794871</c:v>
                </c:pt>
                <c:pt idx="335">
                  <c:v>232.11583333333334</c:v>
                </c:pt>
                <c:pt idx="336">
                  <c:v>232.14525641025637</c:v>
                </c:pt>
                <c:pt idx="337">
                  <c:v>231.43807692307689</c:v>
                </c:pt>
                <c:pt idx="338">
                  <c:v>230.53698717948717</c:v>
                </c:pt>
                <c:pt idx="339">
                  <c:v>230.49974358974356</c:v>
                </c:pt>
                <c:pt idx="340">
                  <c:v>229.80615384615385</c:v>
                </c:pt>
                <c:pt idx="341">
                  <c:v>229.61160256410255</c:v>
                </c:pt>
                <c:pt idx="342">
                  <c:v>228.65064102564099</c:v>
                </c:pt>
                <c:pt idx="343">
                  <c:v>228.54705128205126</c:v>
                </c:pt>
                <c:pt idx="344">
                  <c:v>229.04807692307691</c:v>
                </c:pt>
                <c:pt idx="345">
                  <c:v>229.28019230769232</c:v>
                </c:pt>
                <c:pt idx="346">
                  <c:v>229.57865384615383</c:v>
                </c:pt>
                <c:pt idx="347">
                  <c:v>229.0757051282051</c:v>
                </c:pt>
                <c:pt idx="348">
                  <c:v>228.58833333333337</c:v>
                </c:pt>
                <c:pt idx="349">
                  <c:v>227.60314102564107</c:v>
                </c:pt>
                <c:pt idx="350">
                  <c:v>227.80903846153848</c:v>
                </c:pt>
                <c:pt idx="351">
                  <c:v>229.04397435897437</c:v>
                </c:pt>
                <c:pt idx="352">
                  <c:v>229.73788461538459</c:v>
                </c:pt>
                <c:pt idx="353">
                  <c:v>230.84307692307692</c:v>
                </c:pt>
                <c:pt idx="354">
                  <c:v>231.20743589743591</c:v>
                </c:pt>
                <c:pt idx="355">
                  <c:v>230.37179487179489</c:v>
                </c:pt>
                <c:pt idx="356">
                  <c:v>229.29769230769233</c:v>
                </c:pt>
                <c:pt idx="357">
                  <c:v>227.77858974358972</c:v>
                </c:pt>
                <c:pt idx="358">
                  <c:v>226.89467948717947</c:v>
                </c:pt>
                <c:pt idx="359">
                  <c:v>225.65134615384613</c:v>
                </c:pt>
                <c:pt idx="360">
                  <c:v>225.93846153846155</c:v>
                </c:pt>
                <c:pt idx="361">
                  <c:v>226.3741025641026</c:v>
                </c:pt>
                <c:pt idx="362">
                  <c:v>227.04019230769234</c:v>
                </c:pt>
                <c:pt idx="363">
                  <c:v>227.31070512820511</c:v>
                </c:pt>
                <c:pt idx="364">
                  <c:v>227.84608974358974</c:v>
                </c:pt>
                <c:pt idx="365">
                  <c:v>228.1997435897436</c:v>
                </c:pt>
                <c:pt idx="366">
                  <c:v>226.98346153846154</c:v>
                </c:pt>
                <c:pt idx="367">
                  <c:v>228.10442307692307</c:v>
                </c:pt>
                <c:pt idx="368">
                  <c:v>231.50807692307689</c:v>
                </c:pt>
                <c:pt idx="369">
                  <c:v>233.82871794871795</c:v>
                </c:pt>
                <c:pt idx="370">
                  <c:v>236.35211538461539</c:v>
                </c:pt>
                <c:pt idx="371">
                  <c:v>239.21621794871794</c:v>
                </c:pt>
                <c:pt idx="372">
                  <c:v>241.50602564102564</c:v>
                </c:pt>
                <c:pt idx="373">
                  <c:v>246.03224358974359</c:v>
                </c:pt>
                <c:pt idx="374">
                  <c:v>246.0192948717949</c:v>
                </c:pt>
                <c:pt idx="375">
                  <c:v>246.27634615384613</c:v>
                </c:pt>
                <c:pt idx="376">
                  <c:v>245.66352564102561</c:v>
                </c:pt>
                <c:pt idx="377">
                  <c:v>245.06115384615384</c:v>
                </c:pt>
                <c:pt idx="378">
                  <c:v>243.79775641025643</c:v>
                </c:pt>
                <c:pt idx="379">
                  <c:v>242.05596153846156</c:v>
                </c:pt>
                <c:pt idx="380">
                  <c:v>241.29461538461538</c:v>
                </c:pt>
                <c:pt idx="381">
                  <c:v>240.68121794871797</c:v>
                </c:pt>
                <c:pt idx="382">
                  <c:v>238.46698717948721</c:v>
                </c:pt>
                <c:pt idx="383">
                  <c:v>236.16897435897437</c:v>
                </c:pt>
                <c:pt idx="384">
                  <c:v>234.92448717948716</c:v>
                </c:pt>
                <c:pt idx="385">
                  <c:v>232.19538461538457</c:v>
                </c:pt>
                <c:pt idx="386">
                  <c:v>232.303141025641</c:v>
                </c:pt>
                <c:pt idx="387">
                  <c:v>232.34480769230768</c:v>
                </c:pt>
                <c:pt idx="388">
                  <c:v>232.00608974358974</c:v>
                </c:pt>
                <c:pt idx="389">
                  <c:v>232.00557692307692</c:v>
                </c:pt>
                <c:pt idx="390">
                  <c:v>231.33230769230772</c:v>
                </c:pt>
                <c:pt idx="391">
                  <c:v>231.9354487179487</c:v>
                </c:pt>
                <c:pt idx="392">
                  <c:v>232.13705128205123</c:v>
                </c:pt>
                <c:pt idx="393">
                  <c:v>230.86217948717945</c:v>
                </c:pt>
                <c:pt idx="394">
                  <c:v>229.16339743589745</c:v>
                </c:pt>
                <c:pt idx="395">
                  <c:v>227.82641025641024</c:v>
                </c:pt>
                <c:pt idx="396">
                  <c:v>226.27602564102563</c:v>
                </c:pt>
                <c:pt idx="397">
                  <c:v>224.34935897435895</c:v>
                </c:pt>
                <c:pt idx="398">
                  <c:v>221.78397435897432</c:v>
                </c:pt>
                <c:pt idx="399">
                  <c:v>219.89910256410258</c:v>
                </c:pt>
                <c:pt idx="400">
                  <c:v>218.46576923076924</c:v>
                </c:pt>
                <c:pt idx="401">
                  <c:v>216.57660256410259</c:v>
                </c:pt>
                <c:pt idx="402">
                  <c:v>214.54000000000002</c:v>
                </c:pt>
                <c:pt idx="403">
                  <c:v>213.15814102564104</c:v>
                </c:pt>
                <c:pt idx="404">
                  <c:v>207.70461538461532</c:v>
                </c:pt>
                <c:pt idx="405">
                  <c:v>206.02262820512817</c:v>
                </c:pt>
                <c:pt idx="406">
                  <c:v>203.4535897435897</c:v>
                </c:pt>
                <c:pt idx="407">
                  <c:v>199.72423076923076</c:v>
                </c:pt>
                <c:pt idx="408">
                  <c:v>197.4098717948718</c:v>
                </c:pt>
                <c:pt idx="409">
                  <c:v>194.14237179487179</c:v>
                </c:pt>
                <c:pt idx="410">
                  <c:v>191.97217948717949</c:v>
                </c:pt>
                <c:pt idx="411">
                  <c:v>188.79429487179488</c:v>
                </c:pt>
                <c:pt idx="412">
                  <c:v>185.80141025641024</c:v>
                </c:pt>
                <c:pt idx="413">
                  <c:v>181.75660256410259</c:v>
                </c:pt>
                <c:pt idx="414">
                  <c:v>178.86435897435899</c:v>
                </c:pt>
                <c:pt idx="415">
                  <c:v>176.98538461538465</c:v>
                </c:pt>
                <c:pt idx="416">
                  <c:v>172.95423076923078</c:v>
                </c:pt>
                <c:pt idx="417">
                  <c:v>169.48076923076923</c:v>
                </c:pt>
                <c:pt idx="418">
                  <c:v>163.3257692307692</c:v>
                </c:pt>
                <c:pt idx="419">
                  <c:v>163.37871794871793</c:v>
                </c:pt>
                <c:pt idx="420">
                  <c:v>163.36480769230769</c:v>
                </c:pt>
                <c:pt idx="421">
                  <c:v>163.3927564102564</c:v>
                </c:pt>
                <c:pt idx="422">
                  <c:v>163.4128846153846</c:v>
                </c:pt>
                <c:pt idx="423">
                  <c:v>163.4429487179487</c:v>
                </c:pt>
                <c:pt idx="424">
                  <c:v>163.06365384615384</c:v>
                </c:pt>
                <c:pt idx="425">
                  <c:v>162.27249999999998</c:v>
                </c:pt>
                <c:pt idx="426">
                  <c:v>161.92884615384614</c:v>
                </c:pt>
                <c:pt idx="427">
                  <c:v>161.06275641025641</c:v>
                </c:pt>
                <c:pt idx="428">
                  <c:v>160.93532051282051</c:v>
                </c:pt>
                <c:pt idx="429">
                  <c:v>161.36820512820515</c:v>
                </c:pt>
                <c:pt idx="430">
                  <c:v>161.64788461538461</c:v>
                </c:pt>
                <c:pt idx="431">
                  <c:v>161.54467948717951</c:v>
                </c:pt>
                <c:pt idx="432">
                  <c:v>161.07653846153849</c:v>
                </c:pt>
                <c:pt idx="433">
                  <c:v>160.56307692307692</c:v>
                </c:pt>
                <c:pt idx="434">
                  <c:v>160.42429487179484</c:v>
                </c:pt>
                <c:pt idx="435">
                  <c:v>159.48576923076922</c:v>
                </c:pt>
                <c:pt idx="436">
                  <c:v>157.99365384615385</c:v>
                </c:pt>
                <c:pt idx="437">
                  <c:v>157.52641025641026</c:v>
                </c:pt>
                <c:pt idx="438">
                  <c:v>156.68121794871792</c:v>
                </c:pt>
                <c:pt idx="439">
                  <c:v>156.9378846153846</c:v>
                </c:pt>
                <c:pt idx="440">
                  <c:v>156.16346153846158</c:v>
                </c:pt>
                <c:pt idx="441">
                  <c:v>155.0909615384615</c:v>
                </c:pt>
                <c:pt idx="442">
                  <c:v>154.43410256410255</c:v>
                </c:pt>
                <c:pt idx="443">
                  <c:v>154.30173076923077</c:v>
                </c:pt>
                <c:pt idx="444">
                  <c:v>153.77038461538459</c:v>
                </c:pt>
                <c:pt idx="445">
                  <c:v>153.38314102564101</c:v>
                </c:pt>
                <c:pt idx="446">
                  <c:v>153.27980769230768</c:v>
                </c:pt>
                <c:pt idx="447">
                  <c:v>152.39243589743589</c:v>
                </c:pt>
                <c:pt idx="448">
                  <c:v>152.70955128205125</c:v>
                </c:pt>
                <c:pt idx="449">
                  <c:v>152.75121794871797</c:v>
                </c:pt>
                <c:pt idx="450">
                  <c:v>153.15076923076921</c:v>
                </c:pt>
                <c:pt idx="451">
                  <c:v>153.38576923076923</c:v>
                </c:pt>
                <c:pt idx="452">
                  <c:v>153.52044871794871</c:v>
                </c:pt>
                <c:pt idx="453">
                  <c:v>154.05230769230772</c:v>
                </c:pt>
                <c:pt idx="454">
                  <c:v>154.10365384615386</c:v>
                </c:pt>
                <c:pt idx="455">
                  <c:v>154.0566025641026</c:v>
                </c:pt>
                <c:pt idx="456">
                  <c:v>154.35500000000002</c:v>
                </c:pt>
                <c:pt idx="457">
                  <c:v>154.19756410256412</c:v>
                </c:pt>
                <c:pt idx="458">
                  <c:v>153.96474358974362</c:v>
                </c:pt>
                <c:pt idx="459">
                  <c:v>154.19551282051282</c:v>
                </c:pt>
                <c:pt idx="460">
                  <c:v>154.03461538461539</c:v>
                </c:pt>
                <c:pt idx="461">
                  <c:v>154.15961538461536</c:v>
                </c:pt>
                <c:pt idx="462">
                  <c:v>154.40532051282051</c:v>
                </c:pt>
                <c:pt idx="463">
                  <c:v>154.90935897435895</c:v>
                </c:pt>
                <c:pt idx="464">
                  <c:v>154.91275641025641</c:v>
                </c:pt>
                <c:pt idx="465">
                  <c:v>155.50916666666666</c:v>
                </c:pt>
                <c:pt idx="466">
                  <c:v>155.91743589743592</c:v>
                </c:pt>
                <c:pt idx="467">
                  <c:v>156.44871794871796</c:v>
                </c:pt>
                <c:pt idx="468">
                  <c:v>156.38096153846158</c:v>
                </c:pt>
                <c:pt idx="469">
                  <c:v>156.56576923076921</c:v>
                </c:pt>
                <c:pt idx="470">
                  <c:v>156.7619230769231</c:v>
                </c:pt>
                <c:pt idx="471">
                  <c:v>157.17634615384617</c:v>
                </c:pt>
                <c:pt idx="472">
                  <c:v>157.60525641025643</c:v>
                </c:pt>
                <c:pt idx="473">
                  <c:v>158.50634615384612</c:v>
                </c:pt>
                <c:pt idx="474">
                  <c:v>159.06320512820511</c:v>
                </c:pt>
                <c:pt idx="475">
                  <c:v>160.08820512820509</c:v>
                </c:pt>
                <c:pt idx="476">
                  <c:v>160.94032051282051</c:v>
                </c:pt>
                <c:pt idx="477">
                  <c:v>160.7903205128205</c:v>
                </c:pt>
                <c:pt idx="478">
                  <c:v>161.97416666666666</c:v>
                </c:pt>
                <c:pt idx="479">
                  <c:v>162.74358974358975</c:v>
                </c:pt>
                <c:pt idx="480">
                  <c:v>162.31525641025641</c:v>
                </c:pt>
                <c:pt idx="481">
                  <c:v>162.05852564102562</c:v>
                </c:pt>
                <c:pt idx="482">
                  <c:v>162.15634615384616</c:v>
                </c:pt>
                <c:pt idx="483">
                  <c:v>162.45692307692309</c:v>
                </c:pt>
                <c:pt idx="484">
                  <c:v>162.27070512820512</c:v>
                </c:pt>
                <c:pt idx="485">
                  <c:v>161.75307692307692</c:v>
                </c:pt>
                <c:pt idx="486">
                  <c:v>161.3429487179487</c:v>
                </c:pt>
                <c:pt idx="487">
                  <c:v>160.81108974358975</c:v>
                </c:pt>
                <c:pt idx="488">
                  <c:v>160.87871794871796</c:v>
                </c:pt>
                <c:pt idx="489">
                  <c:v>160.15487179487178</c:v>
                </c:pt>
                <c:pt idx="490">
                  <c:v>159.6496794871795</c:v>
                </c:pt>
                <c:pt idx="491">
                  <c:v>159.9719871794872</c:v>
                </c:pt>
                <c:pt idx="492">
                  <c:v>159.4946794871795</c:v>
                </c:pt>
                <c:pt idx="493">
                  <c:v>159.15467948717949</c:v>
                </c:pt>
                <c:pt idx="494">
                  <c:v>158.88641025641027</c:v>
                </c:pt>
                <c:pt idx="495">
                  <c:v>158.69910256410256</c:v>
                </c:pt>
                <c:pt idx="496">
                  <c:v>158.49910256410257</c:v>
                </c:pt>
                <c:pt idx="497">
                  <c:v>157.73884615384614</c:v>
                </c:pt>
                <c:pt idx="498">
                  <c:v>157.25538461538463</c:v>
                </c:pt>
                <c:pt idx="499">
                  <c:v>156.84903846153847</c:v>
                </c:pt>
                <c:pt idx="500">
                  <c:v>156.42198717948719</c:v>
                </c:pt>
                <c:pt idx="501">
                  <c:v>155.74397435897438</c:v>
                </c:pt>
                <c:pt idx="502">
                  <c:v>154.9242307692308</c:v>
                </c:pt>
                <c:pt idx="503">
                  <c:v>154.37121794871794</c:v>
                </c:pt>
                <c:pt idx="504">
                  <c:v>153.55467948717947</c:v>
                </c:pt>
                <c:pt idx="505">
                  <c:v>153.24243589743588</c:v>
                </c:pt>
                <c:pt idx="506">
                  <c:v>152.4046153846154</c:v>
                </c:pt>
                <c:pt idx="507">
                  <c:v>151.9148717948718</c:v>
                </c:pt>
                <c:pt idx="508">
                  <c:v>152.04878205128207</c:v>
                </c:pt>
                <c:pt idx="509">
                  <c:v>151.88858974358973</c:v>
                </c:pt>
                <c:pt idx="510">
                  <c:v>152.0978205128205</c:v>
                </c:pt>
                <c:pt idx="511">
                  <c:v>152.7701923076923</c:v>
                </c:pt>
                <c:pt idx="512">
                  <c:v>154.31615384615384</c:v>
                </c:pt>
                <c:pt idx="513">
                  <c:v>155.29788461538459</c:v>
                </c:pt>
                <c:pt idx="514">
                  <c:v>156.42320512820513</c:v>
                </c:pt>
                <c:pt idx="515">
                  <c:v>157.37365384615384</c:v>
                </c:pt>
                <c:pt idx="516">
                  <c:v>158.08173076923075</c:v>
                </c:pt>
                <c:pt idx="517">
                  <c:v>158.99685897435896</c:v>
                </c:pt>
                <c:pt idx="518">
                  <c:v>160.09262820512822</c:v>
                </c:pt>
                <c:pt idx="519">
                  <c:v>160.97814102564101</c:v>
                </c:pt>
                <c:pt idx="520">
                  <c:v>160.68076923076924</c:v>
                </c:pt>
                <c:pt idx="521">
                  <c:v>160.67166666666665</c:v>
                </c:pt>
                <c:pt idx="522">
                  <c:v>160.56070512820511</c:v>
                </c:pt>
                <c:pt idx="523">
                  <c:v>160.3684615384615</c:v>
                </c:pt>
                <c:pt idx="524">
                  <c:v>159.2548717948718</c:v>
                </c:pt>
                <c:pt idx="525">
                  <c:v>159.22019230769232</c:v>
                </c:pt>
                <c:pt idx="526">
                  <c:v>158.42500000000001</c:v>
                </c:pt>
                <c:pt idx="527">
                  <c:v>157.83115384615388</c:v>
                </c:pt>
                <c:pt idx="528">
                  <c:v>156.40487179487181</c:v>
                </c:pt>
                <c:pt idx="529">
                  <c:v>156.30846153846153</c:v>
                </c:pt>
                <c:pt idx="530">
                  <c:v>155.25974358974358</c:v>
                </c:pt>
                <c:pt idx="531">
                  <c:v>152.41160256410257</c:v>
                </c:pt>
                <c:pt idx="532">
                  <c:v>151.71166666666667</c:v>
                </c:pt>
                <c:pt idx="533">
                  <c:v>152.6220512820513</c:v>
                </c:pt>
                <c:pt idx="534">
                  <c:v>153.37551282051282</c:v>
                </c:pt>
                <c:pt idx="535">
                  <c:v>153.29057692307691</c:v>
                </c:pt>
                <c:pt idx="536">
                  <c:v>153.24602564102562</c:v>
                </c:pt>
                <c:pt idx="537">
                  <c:v>153.78480769230768</c:v>
                </c:pt>
                <c:pt idx="538">
                  <c:v>153.73679487179487</c:v>
                </c:pt>
                <c:pt idx="539">
                  <c:v>153.75641025641028</c:v>
                </c:pt>
                <c:pt idx="540">
                  <c:v>153.28987179487177</c:v>
                </c:pt>
                <c:pt idx="541">
                  <c:v>152.87108974358975</c:v>
                </c:pt>
                <c:pt idx="542">
                  <c:v>153.66891025641027</c:v>
                </c:pt>
                <c:pt idx="543">
                  <c:v>154.29141025641027</c:v>
                </c:pt>
                <c:pt idx="544">
                  <c:v>154.98564102564103</c:v>
                </c:pt>
                <c:pt idx="545">
                  <c:v>154.91032051282053</c:v>
                </c:pt>
                <c:pt idx="546">
                  <c:v>154.87038461538461</c:v>
                </c:pt>
                <c:pt idx="547">
                  <c:v>154.81282051282051</c:v>
                </c:pt>
                <c:pt idx="548">
                  <c:v>155.54557692307691</c:v>
                </c:pt>
                <c:pt idx="549">
                  <c:v>156.72935897435897</c:v>
                </c:pt>
                <c:pt idx="550">
                  <c:v>156.68929487179486</c:v>
                </c:pt>
                <c:pt idx="551">
                  <c:v>157.98403846153846</c:v>
                </c:pt>
                <c:pt idx="552">
                  <c:v>158.64378205128205</c:v>
                </c:pt>
                <c:pt idx="553">
                  <c:v>160.09442307692308</c:v>
                </c:pt>
                <c:pt idx="554">
                  <c:v>161.10891025641027</c:v>
                </c:pt>
                <c:pt idx="555">
                  <c:v>162.14769230769232</c:v>
                </c:pt>
                <c:pt idx="556">
                  <c:v>163.66019230769228</c:v>
                </c:pt>
                <c:pt idx="557">
                  <c:v>165.42737179487182</c:v>
                </c:pt>
                <c:pt idx="558">
                  <c:v>165.82666666666665</c:v>
                </c:pt>
                <c:pt idx="559">
                  <c:v>166.67044871794869</c:v>
                </c:pt>
                <c:pt idx="560">
                  <c:v>166.70217948717948</c:v>
                </c:pt>
                <c:pt idx="561">
                  <c:v>166.15769230769229</c:v>
                </c:pt>
                <c:pt idx="562">
                  <c:v>166.46410256410252</c:v>
                </c:pt>
                <c:pt idx="563">
                  <c:v>165.13749999999999</c:v>
                </c:pt>
                <c:pt idx="564">
                  <c:v>165.71980769230768</c:v>
                </c:pt>
                <c:pt idx="565">
                  <c:v>166.12134615384616</c:v>
                </c:pt>
                <c:pt idx="566">
                  <c:v>165.12538461538458</c:v>
                </c:pt>
                <c:pt idx="567">
                  <c:v>163.69269230769231</c:v>
                </c:pt>
                <c:pt idx="568">
                  <c:v>162.46057692307693</c:v>
                </c:pt>
                <c:pt idx="569">
                  <c:v>161.80455128205125</c:v>
                </c:pt>
                <c:pt idx="570">
                  <c:v>159.75820512820511</c:v>
                </c:pt>
                <c:pt idx="571">
                  <c:v>158.91435897435898</c:v>
                </c:pt>
                <c:pt idx="572">
                  <c:v>158.43352564102565</c:v>
                </c:pt>
                <c:pt idx="573">
                  <c:v>157.77583333333334</c:v>
                </c:pt>
                <c:pt idx="574">
                  <c:v>156.72096153846155</c:v>
                </c:pt>
                <c:pt idx="575">
                  <c:v>156.3617307692308</c:v>
                </c:pt>
                <c:pt idx="576">
                  <c:v>155.22967948717945</c:v>
                </c:pt>
                <c:pt idx="577">
                  <c:v>154.33237179487176</c:v>
                </c:pt>
                <c:pt idx="578">
                  <c:v>152.85583333333335</c:v>
                </c:pt>
                <c:pt idx="579">
                  <c:v>152.83346153846156</c:v>
                </c:pt>
                <c:pt idx="580">
                  <c:v>152.1751282051282</c:v>
                </c:pt>
                <c:pt idx="581">
                  <c:v>151.42314102564106</c:v>
                </c:pt>
                <c:pt idx="582">
                  <c:v>150.24544871794873</c:v>
                </c:pt>
                <c:pt idx="583">
                  <c:v>150.15205128205127</c:v>
                </c:pt>
                <c:pt idx="584">
                  <c:v>149.83346153846153</c:v>
                </c:pt>
                <c:pt idx="585">
                  <c:v>148.67711538461535</c:v>
                </c:pt>
                <c:pt idx="586">
                  <c:v>147.81173076923079</c:v>
                </c:pt>
                <c:pt idx="587">
                  <c:v>146.85948717948719</c:v>
                </c:pt>
                <c:pt idx="588">
                  <c:v>146.26461538461535</c:v>
                </c:pt>
                <c:pt idx="589">
                  <c:v>145.99948717948718</c:v>
                </c:pt>
                <c:pt idx="590">
                  <c:v>145.66044871794873</c:v>
                </c:pt>
                <c:pt idx="591">
                  <c:v>145.41448717948717</c:v>
                </c:pt>
                <c:pt idx="592">
                  <c:v>145.04865384615383</c:v>
                </c:pt>
                <c:pt idx="593">
                  <c:v>143.8420512820513</c:v>
                </c:pt>
                <c:pt idx="594">
                  <c:v>143.8001282051282</c:v>
                </c:pt>
                <c:pt idx="595">
                  <c:v>143.09820512820514</c:v>
                </c:pt>
                <c:pt idx="596">
                  <c:v>142.87564102564104</c:v>
                </c:pt>
                <c:pt idx="597">
                  <c:v>142.7820512820513</c:v>
                </c:pt>
                <c:pt idx="598">
                  <c:v>142.49423076923074</c:v>
                </c:pt>
                <c:pt idx="599">
                  <c:v>142.99089743589744</c:v>
                </c:pt>
                <c:pt idx="600">
                  <c:v>142.65974358974358</c:v>
                </c:pt>
                <c:pt idx="601">
                  <c:v>142.32019230769228</c:v>
                </c:pt>
                <c:pt idx="602">
                  <c:v>142.16217948717949</c:v>
                </c:pt>
                <c:pt idx="603">
                  <c:v>142.22185897435898</c:v>
                </c:pt>
                <c:pt idx="604">
                  <c:v>142.52243589743591</c:v>
                </c:pt>
                <c:pt idx="605">
                  <c:v>142.29910256410258</c:v>
                </c:pt>
                <c:pt idx="606">
                  <c:v>142.32532051282053</c:v>
                </c:pt>
                <c:pt idx="607">
                  <c:v>142.28480769230771</c:v>
                </c:pt>
                <c:pt idx="608">
                  <c:v>141.88166666666666</c:v>
                </c:pt>
                <c:pt idx="609">
                  <c:v>141.26467948717948</c:v>
                </c:pt>
                <c:pt idx="610">
                  <c:v>140.65141025641026</c:v>
                </c:pt>
                <c:pt idx="611">
                  <c:v>139.99391025641026</c:v>
                </c:pt>
                <c:pt idx="612">
                  <c:v>139.89032051282049</c:v>
                </c:pt>
                <c:pt idx="613">
                  <c:v>139.28891025641025</c:v>
                </c:pt>
                <c:pt idx="614">
                  <c:v>139.91179487179485</c:v>
                </c:pt>
                <c:pt idx="615">
                  <c:v>140.50833333333333</c:v>
                </c:pt>
                <c:pt idx="616">
                  <c:v>139.97320512820514</c:v>
                </c:pt>
                <c:pt idx="617">
                  <c:v>140.26897435897433</c:v>
                </c:pt>
                <c:pt idx="618">
                  <c:v>140.77628205128204</c:v>
                </c:pt>
                <c:pt idx="619">
                  <c:v>141.42397435897433</c:v>
                </c:pt>
                <c:pt idx="620">
                  <c:v>142.21275641025642</c:v>
                </c:pt>
                <c:pt idx="621">
                  <c:v>142.56974358974361</c:v>
                </c:pt>
                <c:pt idx="622">
                  <c:v>142.78371794871796</c:v>
                </c:pt>
                <c:pt idx="623">
                  <c:v>143.36134615384614</c:v>
                </c:pt>
                <c:pt idx="624">
                  <c:v>143.81679487179488</c:v>
                </c:pt>
                <c:pt idx="625">
                  <c:v>145.29942307692306</c:v>
                </c:pt>
                <c:pt idx="626">
                  <c:v>145.25621794871796</c:v>
                </c:pt>
                <c:pt idx="627">
                  <c:v>144.65519230769229</c:v>
                </c:pt>
                <c:pt idx="628">
                  <c:v>143.8248717948718</c:v>
                </c:pt>
                <c:pt idx="629">
                  <c:v>143.28288461538463</c:v>
                </c:pt>
                <c:pt idx="630">
                  <c:v>143.13128205128203</c:v>
                </c:pt>
                <c:pt idx="631">
                  <c:v>142.49576923076921</c:v>
                </c:pt>
                <c:pt idx="632">
                  <c:v>141.06910256410256</c:v>
                </c:pt>
                <c:pt idx="633">
                  <c:v>140.59224358974359</c:v>
                </c:pt>
                <c:pt idx="634">
                  <c:v>139.37435897435896</c:v>
                </c:pt>
                <c:pt idx="635">
                  <c:v>139.00948717948719</c:v>
                </c:pt>
                <c:pt idx="636">
                  <c:v>138.90615384615384</c:v>
                </c:pt>
                <c:pt idx="637">
                  <c:v>138.12179487179486</c:v>
                </c:pt>
                <c:pt idx="638">
                  <c:v>137.77493589743588</c:v>
                </c:pt>
                <c:pt idx="639">
                  <c:v>138.06006410256413</c:v>
                </c:pt>
                <c:pt idx="640">
                  <c:v>138.27519230769229</c:v>
                </c:pt>
                <c:pt idx="641">
                  <c:v>138.47711538461539</c:v>
                </c:pt>
                <c:pt idx="642">
                  <c:v>139.05589743589741</c:v>
                </c:pt>
                <c:pt idx="643">
                  <c:v>139.40782051282051</c:v>
                </c:pt>
                <c:pt idx="644">
                  <c:v>140.61192307692309</c:v>
                </c:pt>
                <c:pt idx="645">
                  <c:v>141.0669871794872</c:v>
                </c:pt>
                <c:pt idx="646">
                  <c:v>141.82326923076923</c:v>
                </c:pt>
                <c:pt idx="647">
                  <c:v>142.6073717948718</c:v>
                </c:pt>
                <c:pt idx="648">
                  <c:v>143.25423076923076</c:v>
                </c:pt>
                <c:pt idx="649">
                  <c:v>143.81769230769231</c:v>
                </c:pt>
                <c:pt idx="650">
                  <c:v>144.30301282051281</c:v>
                </c:pt>
                <c:pt idx="651">
                  <c:v>144.77807692307692</c:v>
                </c:pt>
                <c:pt idx="652">
                  <c:v>144.70352564102564</c:v>
                </c:pt>
                <c:pt idx="653">
                  <c:v>145.37730769230768</c:v>
                </c:pt>
                <c:pt idx="654">
                  <c:v>145.53980769230768</c:v>
                </c:pt>
                <c:pt idx="655">
                  <c:v>145.39147435897436</c:v>
                </c:pt>
                <c:pt idx="656">
                  <c:v>145.43448717948721</c:v>
                </c:pt>
                <c:pt idx="657">
                  <c:v>145.10916666666668</c:v>
                </c:pt>
                <c:pt idx="658">
                  <c:v>145.5866666666667</c:v>
                </c:pt>
                <c:pt idx="659">
                  <c:v>145.61512820512823</c:v>
                </c:pt>
                <c:pt idx="660">
                  <c:v>146.25794871794875</c:v>
                </c:pt>
                <c:pt idx="661">
                  <c:v>146.92051282051281</c:v>
                </c:pt>
                <c:pt idx="662">
                  <c:v>147.01147435897434</c:v>
                </c:pt>
                <c:pt idx="663">
                  <c:v>147.06666666666666</c:v>
                </c:pt>
                <c:pt idx="664">
                  <c:v>147.10217948717951</c:v>
                </c:pt>
                <c:pt idx="665">
                  <c:v>147.00557692307692</c:v>
                </c:pt>
                <c:pt idx="666">
                  <c:v>146.77762820512822</c:v>
                </c:pt>
                <c:pt idx="667">
                  <c:v>146.47852564102567</c:v>
                </c:pt>
                <c:pt idx="668">
                  <c:v>146.72903846153847</c:v>
                </c:pt>
                <c:pt idx="669">
                  <c:v>146.7496153846154</c:v>
                </c:pt>
                <c:pt idx="670">
                  <c:v>146.5550641025641</c:v>
                </c:pt>
                <c:pt idx="671">
                  <c:v>146.5666025641026</c:v>
                </c:pt>
                <c:pt idx="672">
                  <c:v>145.93967948717949</c:v>
                </c:pt>
                <c:pt idx="673">
                  <c:v>144.8125</c:v>
                </c:pt>
                <c:pt idx="674">
                  <c:v>144.50551282051282</c:v>
                </c:pt>
                <c:pt idx="675">
                  <c:v>144.20935897435896</c:v>
                </c:pt>
                <c:pt idx="676">
                  <c:v>144.1142948717949</c:v>
                </c:pt>
                <c:pt idx="677">
                  <c:v>144.02775641025642</c:v>
                </c:pt>
                <c:pt idx="678">
                  <c:v>144.35121794871799</c:v>
                </c:pt>
                <c:pt idx="679">
                  <c:v>144.26096153846154</c:v>
                </c:pt>
                <c:pt idx="680">
                  <c:v>143.77397435897439</c:v>
                </c:pt>
                <c:pt idx="681">
                  <c:v>143.92391025641027</c:v>
                </c:pt>
                <c:pt idx="682">
                  <c:v>144.12897435897435</c:v>
                </c:pt>
                <c:pt idx="683">
                  <c:v>143.44179487179485</c:v>
                </c:pt>
                <c:pt idx="684">
                  <c:v>143.12108974358972</c:v>
                </c:pt>
                <c:pt idx="685">
                  <c:v>142.91185897435898</c:v>
                </c:pt>
                <c:pt idx="686">
                  <c:v>142.72884615384615</c:v>
                </c:pt>
                <c:pt idx="687">
                  <c:v>142.27743589743591</c:v>
                </c:pt>
                <c:pt idx="688">
                  <c:v>142.32506410256411</c:v>
                </c:pt>
                <c:pt idx="689">
                  <c:v>141.65115384615385</c:v>
                </c:pt>
                <c:pt idx="690">
                  <c:v>141.50775641025641</c:v>
                </c:pt>
                <c:pt idx="691">
                  <c:v>141.76557692307691</c:v>
                </c:pt>
                <c:pt idx="692">
                  <c:v>142.14141025641024</c:v>
                </c:pt>
                <c:pt idx="693">
                  <c:v>141.66467948717948</c:v>
                </c:pt>
                <c:pt idx="694">
                  <c:v>140.63724358974358</c:v>
                </c:pt>
                <c:pt idx="695">
                  <c:v>139.60673076923078</c:v>
                </c:pt>
                <c:pt idx="696">
                  <c:v>140.92179487179487</c:v>
                </c:pt>
                <c:pt idx="697">
                  <c:v>140.76865384615385</c:v>
                </c:pt>
                <c:pt idx="698">
                  <c:v>140.85692307692307</c:v>
                </c:pt>
                <c:pt idx="699">
                  <c:v>140.98403846153846</c:v>
                </c:pt>
                <c:pt idx="700">
                  <c:v>140.85025641025641</c:v>
                </c:pt>
                <c:pt idx="701">
                  <c:v>141.01352564102564</c:v>
                </c:pt>
                <c:pt idx="702">
                  <c:v>140.83692307692306</c:v>
                </c:pt>
                <c:pt idx="703">
                  <c:v>140.4749358974359</c:v>
                </c:pt>
                <c:pt idx="704">
                  <c:v>140.58775641025639</c:v>
                </c:pt>
                <c:pt idx="705">
                  <c:v>140.12871794871793</c:v>
                </c:pt>
                <c:pt idx="706">
                  <c:v>140.72301282051279</c:v>
                </c:pt>
                <c:pt idx="707">
                  <c:v>140.23897435897433</c:v>
                </c:pt>
                <c:pt idx="708">
                  <c:v>140.69628205128203</c:v>
                </c:pt>
                <c:pt idx="709">
                  <c:v>140.63358974358974</c:v>
                </c:pt>
                <c:pt idx="710">
                  <c:v>140.07711538461538</c:v>
                </c:pt>
                <c:pt idx="711">
                  <c:v>140.47397435897432</c:v>
                </c:pt>
                <c:pt idx="712">
                  <c:v>140.43871794871794</c:v>
                </c:pt>
                <c:pt idx="713">
                  <c:v>141.14032051282052</c:v>
                </c:pt>
                <c:pt idx="714">
                  <c:v>142.25358974358974</c:v>
                </c:pt>
              </c:numCache>
            </c:numRef>
          </c:val>
          <c:smooth val="0"/>
        </c:ser>
        <c:ser>
          <c:idx val="2"/>
          <c:order val="2"/>
          <c:tx>
            <c:v>ema26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t!$I$3:$I$692</c:f>
              <c:numCache>
                <c:formatCode>0.00</c:formatCode>
                <c:ptCount val="690"/>
                <c:pt idx="0">
                  <c:v>206.08625356125356</c:v>
                </c:pt>
                <c:pt idx="1">
                  <c:v>204.44690883190884</c:v>
                </c:pt>
                <c:pt idx="2">
                  <c:v>202.07123931623931</c:v>
                </c:pt>
                <c:pt idx="3">
                  <c:v>201.12662393162393</c:v>
                </c:pt>
                <c:pt idx="4">
                  <c:v>199.87203703703702</c:v>
                </c:pt>
                <c:pt idx="5">
                  <c:v>199.01311965811965</c:v>
                </c:pt>
                <c:pt idx="6">
                  <c:v>197.76602564102564</c:v>
                </c:pt>
                <c:pt idx="7">
                  <c:v>196.69440170940166</c:v>
                </c:pt>
                <c:pt idx="8">
                  <c:v>195.79887464387463</c:v>
                </c:pt>
                <c:pt idx="9">
                  <c:v>195.14527065527062</c:v>
                </c:pt>
                <c:pt idx="10">
                  <c:v>194.49182336182332</c:v>
                </c:pt>
                <c:pt idx="11">
                  <c:v>193.66816239316233</c:v>
                </c:pt>
                <c:pt idx="12">
                  <c:v>192.48029914529911</c:v>
                </c:pt>
                <c:pt idx="13">
                  <c:v>192.33921652421651</c:v>
                </c:pt>
                <c:pt idx="14">
                  <c:v>191.05810541310541</c:v>
                </c:pt>
                <c:pt idx="15">
                  <c:v>188.87521367521364</c:v>
                </c:pt>
                <c:pt idx="16">
                  <c:v>187.30484330484327</c:v>
                </c:pt>
                <c:pt idx="17">
                  <c:v>186.12474358974359</c:v>
                </c:pt>
                <c:pt idx="18">
                  <c:v>184.99643874643877</c:v>
                </c:pt>
                <c:pt idx="19">
                  <c:v>183.01695156695158</c:v>
                </c:pt>
                <c:pt idx="20">
                  <c:v>181.61566951566954</c:v>
                </c:pt>
                <c:pt idx="21">
                  <c:v>180.53810541310543</c:v>
                </c:pt>
                <c:pt idx="22">
                  <c:v>179.32232193732196</c:v>
                </c:pt>
                <c:pt idx="23">
                  <c:v>177.96485754985756</c:v>
                </c:pt>
                <c:pt idx="24">
                  <c:v>176.46472934472936</c:v>
                </c:pt>
                <c:pt idx="25">
                  <c:v>175.69756410256417</c:v>
                </c:pt>
                <c:pt idx="26">
                  <c:v>174.66621082621089</c:v>
                </c:pt>
                <c:pt idx="27">
                  <c:v>173.68487179487187</c:v>
                </c:pt>
                <c:pt idx="28">
                  <c:v>173.39002849002853</c:v>
                </c:pt>
                <c:pt idx="29">
                  <c:v>172.59514245014248</c:v>
                </c:pt>
                <c:pt idx="30">
                  <c:v>172.10478632478637</c:v>
                </c:pt>
                <c:pt idx="31">
                  <c:v>171.14069800569803</c:v>
                </c:pt>
                <c:pt idx="32">
                  <c:v>170.13611111111115</c:v>
                </c:pt>
                <c:pt idx="33">
                  <c:v>169.46142450142455</c:v>
                </c:pt>
                <c:pt idx="34">
                  <c:v>168.9630626780627</c:v>
                </c:pt>
                <c:pt idx="35">
                  <c:v>168.3917378917379</c:v>
                </c:pt>
                <c:pt idx="36">
                  <c:v>167.66816239316239</c:v>
                </c:pt>
                <c:pt idx="37">
                  <c:v>167.28011396011397</c:v>
                </c:pt>
                <c:pt idx="38">
                  <c:v>166.27115384615388</c:v>
                </c:pt>
                <c:pt idx="39">
                  <c:v>165.29390313390311</c:v>
                </c:pt>
                <c:pt idx="40">
                  <c:v>165.06205128205124</c:v>
                </c:pt>
                <c:pt idx="41">
                  <c:v>165.24300569800567</c:v>
                </c:pt>
                <c:pt idx="42">
                  <c:v>164.9134757834758</c:v>
                </c:pt>
                <c:pt idx="43">
                  <c:v>164.46594017094014</c:v>
                </c:pt>
                <c:pt idx="44">
                  <c:v>164.55541310541307</c:v>
                </c:pt>
                <c:pt idx="45">
                  <c:v>164.63772079772073</c:v>
                </c:pt>
                <c:pt idx="46">
                  <c:v>164.80445868945864</c:v>
                </c:pt>
                <c:pt idx="47">
                  <c:v>165.11903133903135</c:v>
                </c:pt>
                <c:pt idx="48">
                  <c:v>166.01172364672362</c:v>
                </c:pt>
                <c:pt idx="49">
                  <c:v>166.55249287749285</c:v>
                </c:pt>
                <c:pt idx="50">
                  <c:v>167.79582621082616</c:v>
                </c:pt>
                <c:pt idx="51">
                  <c:v>168.65468660968659</c:v>
                </c:pt>
                <c:pt idx="52">
                  <c:v>169.55045584045584</c:v>
                </c:pt>
                <c:pt idx="53">
                  <c:v>170.24792022792022</c:v>
                </c:pt>
                <c:pt idx="54">
                  <c:v>170.82192307692307</c:v>
                </c:pt>
                <c:pt idx="55">
                  <c:v>171.61760683760684</c:v>
                </c:pt>
                <c:pt idx="56">
                  <c:v>171.81581196581197</c:v>
                </c:pt>
                <c:pt idx="57">
                  <c:v>172.35856125356131</c:v>
                </c:pt>
                <c:pt idx="58">
                  <c:v>172.94383190883192</c:v>
                </c:pt>
                <c:pt idx="59">
                  <c:v>173.18230769230772</c:v>
                </c:pt>
                <c:pt idx="60">
                  <c:v>173.32121082621083</c:v>
                </c:pt>
                <c:pt idx="61">
                  <c:v>173.89971509971505</c:v>
                </c:pt>
                <c:pt idx="62">
                  <c:v>174.11957264957272</c:v>
                </c:pt>
                <c:pt idx="63">
                  <c:v>174.58669515669521</c:v>
                </c:pt>
                <c:pt idx="64">
                  <c:v>175.16304843304843</c:v>
                </c:pt>
                <c:pt idx="65">
                  <c:v>175.96360398860398</c:v>
                </c:pt>
                <c:pt idx="66">
                  <c:v>176.25502849002854</c:v>
                </c:pt>
                <c:pt idx="67">
                  <c:v>176.60497150997151</c:v>
                </c:pt>
                <c:pt idx="68">
                  <c:v>177.06381766381764</c:v>
                </c:pt>
                <c:pt idx="69">
                  <c:v>177.85960113960112</c:v>
                </c:pt>
                <c:pt idx="70">
                  <c:v>178.54826210826207</c:v>
                </c:pt>
                <c:pt idx="71">
                  <c:v>179.20225071225073</c:v>
                </c:pt>
                <c:pt idx="72">
                  <c:v>179.69770655270656</c:v>
                </c:pt>
                <c:pt idx="73">
                  <c:v>180.20115384615383</c:v>
                </c:pt>
                <c:pt idx="74">
                  <c:v>180.94159544159547</c:v>
                </c:pt>
                <c:pt idx="75">
                  <c:v>181.5633903133903</c:v>
                </c:pt>
                <c:pt idx="76">
                  <c:v>181.83631054131055</c:v>
                </c:pt>
                <c:pt idx="77">
                  <c:v>182.71622507122507</c:v>
                </c:pt>
                <c:pt idx="78">
                  <c:v>183.3284188034188</c:v>
                </c:pt>
                <c:pt idx="79">
                  <c:v>183.59796296296298</c:v>
                </c:pt>
                <c:pt idx="80">
                  <c:v>183.75027065527067</c:v>
                </c:pt>
                <c:pt idx="81">
                  <c:v>183.6469088319088</c:v>
                </c:pt>
                <c:pt idx="82">
                  <c:v>183.95847578347576</c:v>
                </c:pt>
                <c:pt idx="83">
                  <c:v>184.0361111111111</c:v>
                </c:pt>
                <c:pt idx="84">
                  <c:v>184.5746153846153</c:v>
                </c:pt>
                <c:pt idx="85">
                  <c:v>184.86239316239312</c:v>
                </c:pt>
                <c:pt idx="86">
                  <c:v>185.54462962962958</c:v>
                </c:pt>
                <c:pt idx="87">
                  <c:v>185.92820512820512</c:v>
                </c:pt>
                <c:pt idx="88">
                  <c:v>186.00286324786325</c:v>
                </c:pt>
                <c:pt idx="89">
                  <c:v>186.40975783475784</c:v>
                </c:pt>
                <c:pt idx="90">
                  <c:v>186.66159544159547</c:v>
                </c:pt>
                <c:pt idx="91">
                  <c:v>186.45266381766376</c:v>
                </c:pt>
                <c:pt idx="92">
                  <c:v>186.75078347578346</c:v>
                </c:pt>
                <c:pt idx="93">
                  <c:v>186.93897435897432</c:v>
                </c:pt>
                <c:pt idx="94">
                  <c:v>187.24531339031336</c:v>
                </c:pt>
                <c:pt idx="95">
                  <c:v>187.12927350427347</c:v>
                </c:pt>
                <c:pt idx="96">
                  <c:v>187.26737891737889</c:v>
                </c:pt>
                <c:pt idx="97">
                  <c:v>186.98827635327632</c:v>
                </c:pt>
                <c:pt idx="98">
                  <c:v>187.12663817663812</c:v>
                </c:pt>
                <c:pt idx="99">
                  <c:v>187.13072649572646</c:v>
                </c:pt>
                <c:pt idx="100">
                  <c:v>187.36232193732195</c:v>
                </c:pt>
                <c:pt idx="101">
                  <c:v>187.56722222222226</c:v>
                </c:pt>
                <c:pt idx="102">
                  <c:v>188.11490028490033</c:v>
                </c:pt>
                <c:pt idx="103">
                  <c:v>188.41918803418804</c:v>
                </c:pt>
                <c:pt idx="104">
                  <c:v>188.6119658119658</c:v>
                </c:pt>
                <c:pt idx="105">
                  <c:v>188.56609686609687</c:v>
                </c:pt>
                <c:pt idx="106">
                  <c:v>188.78440170940172</c:v>
                </c:pt>
                <c:pt idx="107">
                  <c:v>189.08790598290597</c:v>
                </c:pt>
                <c:pt idx="108">
                  <c:v>189.51088319088316</c:v>
                </c:pt>
                <c:pt idx="109">
                  <c:v>189.7034188034188</c:v>
                </c:pt>
                <c:pt idx="110">
                  <c:v>189.58386039886039</c:v>
                </c:pt>
                <c:pt idx="111">
                  <c:v>189.95042735042733</c:v>
                </c:pt>
                <c:pt idx="112">
                  <c:v>190.18366096866097</c:v>
                </c:pt>
                <c:pt idx="113">
                  <c:v>190.61437321937322</c:v>
                </c:pt>
                <c:pt idx="114">
                  <c:v>191.19462962962962</c:v>
                </c:pt>
                <c:pt idx="115">
                  <c:v>191.5617521367522</c:v>
                </c:pt>
                <c:pt idx="116">
                  <c:v>191.92565527065526</c:v>
                </c:pt>
                <c:pt idx="117">
                  <c:v>192.34245014245016</c:v>
                </c:pt>
                <c:pt idx="118">
                  <c:v>192.68287749287748</c:v>
                </c:pt>
                <c:pt idx="119">
                  <c:v>193.20377492877492</c:v>
                </c:pt>
                <c:pt idx="120">
                  <c:v>193.51789173789172</c:v>
                </c:pt>
                <c:pt idx="121">
                  <c:v>194.16804843304843</c:v>
                </c:pt>
                <c:pt idx="122">
                  <c:v>194.48012820512821</c:v>
                </c:pt>
                <c:pt idx="123">
                  <c:v>195.10311965811968</c:v>
                </c:pt>
                <c:pt idx="124">
                  <c:v>195.72723646723654</c:v>
                </c:pt>
                <c:pt idx="125">
                  <c:v>197.25099715099714</c:v>
                </c:pt>
                <c:pt idx="126">
                  <c:v>197.91937321937326</c:v>
                </c:pt>
                <c:pt idx="127">
                  <c:v>198.53081196581201</c:v>
                </c:pt>
                <c:pt idx="128">
                  <c:v>198.34064102564108</c:v>
                </c:pt>
                <c:pt idx="129">
                  <c:v>198.4869515669516</c:v>
                </c:pt>
                <c:pt idx="130">
                  <c:v>198.09568376068378</c:v>
                </c:pt>
                <c:pt idx="131">
                  <c:v>198.13102564102567</c:v>
                </c:pt>
                <c:pt idx="132">
                  <c:v>197.8128917378917</c:v>
                </c:pt>
                <c:pt idx="133">
                  <c:v>197.68313390313384</c:v>
                </c:pt>
                <c:pt idx="134">
                  <c:v>197.57816239316236</c:v>
                </c:pt>
                <c:pt idx="135">
                  <c:v>197.86236467236466</c:v>
                </c:pt>
                <c:pt idx="136">
                  <c:v>197.4537037037037</c:v>
                </c:pt>
                <c:pt idx="137">
                  <c:v>197.44088319088317</c:v>
                </c:pt>
                <c:pt idx="138">
                  <c:v>197.64089743589744</c:v>
                </c:pt>
                <c:pt idx="139">
                  <c:v>197.21061253561251</c:v>
                </c:pt>
                <c:pt idx="140">
                  <c:v>196.95245014245009</c:v>
                </c:pt>
                <c:pt idx="141">
                  <c:v>196.33084045584044</c:v>
                </c:pt>
                <c:pt idx="142">
                  <c:v>196.29945868945867</c:v>
                </c:pt>
                <c:pt idx="143">
                  <c:v>195.97888888888892</c:v>
                </c:pt>
                <c:pt idx="144">
                  <c:v>195.41937321937323</c:v>
                </c:pt>
                <c:pt idx="145">
                  <c:v>195.35289173789175</c:v>
                </c:pt>
                <c:pt idx="146">
                  <c:v>195.48397435897442</c:v>
                </c:pt>
                <c:pt idx="147">
                  <c:v>195.14128205128208</c:v>
                </c:pt>
                <c:pt idx="148">
                  <c:v>194.61797720797722</c:v>
                </c:pt>
                <c:pt idx="149">
                  <c:v>194.08703703703705</c:v>
                </c:pt>
                <c:pt idx="150">
                  <c:v>193.45109686609686</c:v>
                </c:pt>
                <c:pt idx="151">
                  <c:v>193.39529914529916</c:v>
                </c:pt>
                <c:pt idx="152">
                  <c:v>192.15482905982904</c:v>
                </c:pt>
                <c:pt idx="153">
                  <c:v>191.44257834757832</c:v>
                </c:pt>
                <c:pt idx="154">
                  <c:v>191.16474358974355</c:v>
                </c:pt>
                <c:pt idx="155">
                  <c:v>190.29376068376064</c:v>
                </c:pt>
                <c:pt idx="156">
                  <c:v>189.73178062678059</c:v>
                </c:pt>
                <c:pt idx="157">
                  <c:v>189.53165242165241</c:v>
                </c:pt>
                <c:pt idx="158">
                  <c:v>189.1354700854701</c:v>
                </c:pt>
                <c:pt idx="159">
                  <c:v>188.42478632478634</c:v>
                </c:pt>
                <c:pt idx="160">
                  <c:v>188.30267806267807</c:v>
                </c:pt>
                <c:pt idx="161">
                  <c:v>188.21329059829057</c:v>
                </c:pt>
                <c:pt idx="162">
                  <c:v>187.85633903133896</c:v>
                </c:pt>
                <c:pt idx="163">
                  <c:v>187.71830484330485</c:v>
                </c:pt>
                <c:pt idx="164">
                  <c:v>187.13490028490025</c:v>
                </c:pt>
                <c:pt idx="165">
                  <c:v>187.40180911680912</c:v>
                </c:pt>
                <c:pt idx="166">
                  <c:v>187.67934472934476</c:v>
                </c:pt>
                <c:pt idx="167">
                  <c:v>188.02363247863252</c:v>
                </c:pt>
                <c:pt idx="168">
                  <c:v>187.99313390313392</c:v>
                </c:pt>
                <c:pt idx="169">
                  <c:v>187.84287749287756</c:v>
                </c:pt>
                <c:pt idx="170">
                  <c:v>187.77364672364678</c:v>
                </c:pt>
                <c:pt idx="171">
                  <c:v>187.61431623931625</c:v>
                </c:pt>
                <c:pt idx="172">
                  <c:v>186.74380341880342</c:v>
                </c:pt>
                <c:pt idx="173">
                  <c:v>186.91274928774931</c:v>
                </c:pt>
                <c:pt idx="174">
                  <c:v>186.85041310541308</c:v>
                </c:pt>
                <c:pt idx="175">
                  <c:v>185.88568376068372</c:v>
                </c:pt>
                <c:pt idx="176">
                  <c:v>185.00438746438749</c:v>
                </c:pt>
                <c:pt idx="177">
                  <c:v>184.60423076923075</c:v>
                </c:pt>
                <c:pt idx="178">
                  <c:v>184.4308547008547</c:v>
                </c:pt>
                <c:pt idx="179">
                  <c:v>183.60608262108263</c:v>
                </c:pt>
                <c:pt idx="180">
                  <c:v>182.36836182336179</c:v>
                </c:pt>
                <c:pt idx="181">
                  <c:v>182.14105413105412</c:v>
                </c:pt>
                <c:pt idx="182">
                  <c:v>181.38833333333332</c:v>
                </c:pt>
                <c:pt idx="183">
                  <c:v>180.61410256410252</c:v>
                </c:pt>
                <c:pt idx="184">
                  <c:v>180.17343304843305</c:v>
                </c:pt>
                <c:pt idx="185">
                  <c:v>180.13564102564101</c:v>
                </c:pt>
                <c:pt idx="186">
                  <c:v>179.91900284900282</c:v>
                </c:pt>
                <c:pt idx="187">
                  <c:v>180.56374643874642</c:v>
                </c:pt>
                <c:pt idx="188">
                  <c:v>180.98642450142449</c:v>
                </c:pt>
                <c:pt idx="189">
                  <c:v>181.27631054131052</c:v>
                </c:pt>
                <c:pt idx="190">
                  <c:v>181.22854700854703</c:v>
                </c:pt>
                <c:pt idx="191">
                  <c:v>181.62670940170941</c:v>
                </c:pt>
                <c:pt idx="192">
                  <c:v>182.46836182336182</c:v>
                </c:pt>
                <c:pt idx="193">
                  <c:v>183.51222222222222</c:v>
                </c:pt>
                <c:pt idx="194">
                  <c:v>184.33564102564105</c:v>
                </c:pt>
                <c:pt idx="195">
                  <c:v>186.28535612535617</c:v>
                </c:pt>
                <c:pt idx="196">
                  <c:v>187.81143874643877</c:v>
                </c:pt>
                <c:pt idx="197">
                  <c:v>189.64280626780629</c:v>
                </c:pt>
                <c:pt idx="198">
                  <c:v>192.15562678062673</c:v>
                </c:pt>
                <c:pt idx="199">
                  <c:v>193.92008547008544</c:v>
                </c:pt>
                <c:pt idx="200">
                  <c:v>195.61595441595438</c:v>
                </c:pt>
                <c:pt idx="201">
                  <c:v>196.88490028490028</c:v>
                </c:pt>
                <c:pt idx="202">
                  <c:v>199.95230769230767</c:v>
                </c:pt>
                <c:pt idx="203">
                  <c:v>201.87908831908834</c:v>
                </c:pt>
                <c:pt idx="204">
                  <c:v>203.07361823361819</c:v>
                </c:pt>
                <c:pt idx="205">
                  <c:v>205.35790598290595</c:v>
                </c:pt>
                <c:pt idx="206">
                  <c:v>207.72990028490022</c:v>
                </c:pt>
                <c:pt idx="207">
                  <c:v>209.88062678062673</c:v>
                </c:pt>
                <c:pt idx="208">
                  <c:v>211.99851851851849</c:v>
                </c:pt>
                <c:pt idx="209">
                  <c:v>214.88933048433051</c:v>
                </c:pt>
                <c:pt idx="210">
                  <c:v>216.75997150997154</c:v>
                </c:pt>
                <c:pt idx="211">
                  <c:v>220.19485754985757</c:v>
                </c:pt>
                <c:pt idx="212">
                  <c:v>222.4729344729345</c:v>
                </c:pt>
                <c:pt idx="213">
                  <c:v>223.93874643874645</c:v>
                </c:pt>
                <c:pt idx="214">
                  <c:v>225.1509401709402</c:v>
                </c:pt>
                <c:pt idx="215">
                  <c:v>226.24972934472936</c:v>
                </c:pt>
                <c:pt idx="216">
                  <c:v>227.979415954416</c:v>
                </c:pt>
                <c:pt idx="217">
                  <c:v>230.69800569800572</c:v>
                </c:pt>
                <c:pt idx="218">
                  <c:v>232.49967236467236</c:v>
                </c:pt>
                <c:pt idx="219">
                  <c:v>233.5172507122507</c:v>
                </c:pt>
                <c:pt idx="220">
                  <c:v>235.15313390313395</c:v>
                </c:pt>
                <c:pt idx="221">
                  <c:v>236.13846153846157</c:v>
                </c:pt>
                <c:pt idx="222">
                  <c:v>236.53319088319091</c:v>
                </c:pt>
                <c:pt idx="223">
                  <c:v>237.07407407407413</c:v>
                </c:pt>
                <c:pt idx="224">
                  <c:v>238.06267806267806</c:v>
                </c:pt>
                <c:pt idx="225">
                  <c:v>238.616452991453</c:v>
                </c:pt>
                <c:pt idx="226">
                  <c:v>239.46239316239317</c:v>
                </c:pt>
                <c:pt idx="227">
                  <c:v>240.58626780626778</c:v>
                </c:pt>
                <c:pt idx="228">
                  <c:v>240.93988603988603</c:v>
                </c:pt>
                <c:pt idx="229">
                  <c:v>241.18931623931624</c:v>
                </c:pt>
                <c:pt idx="230">
                  <c:v>242.59005698005694</c:v>
                </c:pt>
                <c:pt idx="231">
                  <c:v>243.75535612535606</c:v>
                </c:pt>
                <c:pt idx="232">
                  <c:v>244.65188034188031</c:v>
                </c:pt>
                <c:pt idx="233">
                  <c:v>245.23611111111109</c:v>
                </c:pt>
                <c:pt idx="234">
                  <c:v>245.89213675213671</c:v>
                </c:pt>
                <c:pt idx="235">
                  <c:v>246.7968660968661</c:v>
                </c:pt>
                <c:pt idx="236">
                  <c:v>248.1802849002849</c:v>
                </c:pt>
                <c:pt idx="237">
                  <c:v>248.92272079772079</c:v>
                </c:pt>
                <c:pt idx="238">
                  <c:v>249.83190883190878</c:v>
                </c:pt>
                <c:pt idx="239">
                  <c:v>250.13984330484328</c:v>
                </c:pt>
                <c:pt idx="240">
                  <c:v>251.36346153846154</c:v>
                </c:pt>
                <c:pt idx="241">
                  <c:v>251.87478632478636</c:v>
                </c:pt>
                <c:pt idx="242">
                  <c:v>252.92478632478631</c:v>
                </c:pt>
                <c:pt idx="243">
                  <c:v>253.25994301994302</c:v>
                </c:pt>
                <c:pt idx="244">
                  <c:v>253.08084045584042</c:v>
                </c:pt>
                <c:pt idx="245">
                  <c:v>253.04990028490025</c:v>
                </c:pt>
                <c:pt idx="246">
                  <c:v>252.69696581196578</c:v>
                </c:pt>
                <c:pt idx="247">
                  <c:v>252.19636752136748</c:v>
                </c:pt>
                <c:pt idx="248">
                  <c:v>252.01566951566946</c:v>
                </c:pt>
                <c:pt idx="249">
                  <c:v>252.05306267806264</c:v>
                </c:pt>
                <c:pt idx="250">
                  <c:v>252.17350427350431</c:v>
                </c:pt>
                <c:pt idx="251">
                  <c:v>252.53509971509973</c:v>
                </c:pt>
                <c:pt idx="252">
                  <c:v>252.66001424501422</c:v>
                </c:pt>
                <c:pt idx="253">
                  <c:v>252.64864672364678</c:v>
                </c:pt>
                <c:pt idx="254">
                  <c:v>252.73931623931631</c:v>
                </c:pt>
                <c:pt idx="255">
                  <c:v>252.41139601139605</c:v>
                </c:pt>
                <c:pt idx="256">
                  <c:v>252.30693732193734</c:v>
                </c:pt>
                <c:pt idx="257">
                  <c:v>251.98568376068383</c:v>
                </c:pt>
                <c:pt idx="258">
                  <c:v>251.70548433048435</c:v>
                </c:pt>
                <c:pt idx="259">
                  <c:v>251.63887464387466</c:v>
                </c:pt>
                <c:pt idx="260">
                  <c:v>251.33796296296296</c:v>
                </c:pt>
                <c:pt idx="261">
                  <c:v>251.12606837606839</c:v>
                </c:pt>
                <c:pt idx="262">
                  <c:v>250.5673789173789</c:v>
                </c:pt>
                <c:pt idx="263">
                  <c:v>250.5734757834758</c:v>
                </c:pt>
                <c:pt idx="264">
                  <c:v>250.84202279202279</c:v>
                </c:pt>
                <c:pt idx="265">
                  <c:v>251.0453133903134</c:v>
                </c:pt>
                <c:pt idx="266">
                  <c:v>251.49252136752142</c:v>
                </c:pt>
                <c:pt idx="267">
                  <c:v>252.32152421652418</c:v>
                </c:pt>
                <c:pt idx="268">
                  <c:v>252.6765384615384</c:v>
                </c:pt>
                <c:pt idx="269">
                  <c:v>253.20163817663811</c:v>
                </c:pt>
                <c:pt idx="270">
                  <c:v>253.93646723646719</c:v>
                </c:pt>
                <c:pt idx="271">
                  <c:v>254.27444444444444</c:v>
                </c:pt>
                <c:pt idx="272">
                  <c:v>254.65594017094014</c:v>
                </c:pt>
                <c:pt idx="273">
                  <c:v>255.08633903133904</c:v>
                </c:pt>
                <c:pt idx="274">
                  <c:v>254.85094017094013</c:v>
                </c:pt>
                <c:pt idx="275">
                  <c:v>255.26082621082617</c:v>
                </c:pt>
                <c:pt idx="276">
                  <c:v>255.15930199430204</c:v>
                </c:pt>
                <c:pt idx="277">
                  <c:v>254.13710826210826</c:v>
                </c:pt>
                <c:pt idx="278">
                  <c:v>253.46514245014245</c:v>
                </c:pt>
                <c:pt idx="279">
                  <c:v>252.57051282051285</c:v>
                </c:pt>
                <c:pt idx="280">
                  <c:v>251.73347578347577</c:v>
                </c:pt>
                <c:pt idx="281">
                  <c:v>250.52703703703702</c:v>
                </c:pt>
                <c:pt idx="282">
                  <c:v>249.83682336182332</c:v>
                </c:pt>
                <c:pt idx="283">
                  <c:v>248.35683760683759</c:v>
                </c:pt>
                <c:pt idx="284">
                  <c:v>247.57410256410253</c:v>
                </c:pt>
                <c:pt idx="285">
                  <c:v>246.70128205128202</c:v>
                </c:pt>
                <c:pt idx="286">
                  <c:v>246.0680484330484</c:v>
                </c:pt>
                <c:pt idx="287">
                  <c:v>245.20823361823361</c:v>
                </c:pt>
                <c:pt idx="288">
                  <c:v>244.56923076923078</c:v>
                </c:pt>
                <c:pt idx="289">
                  <c:v>244.06695156695153</c:v>
                </c:pt>
                <c:pt idx="290">
                  <c:v>243.03283475783473</c:v>
                </c:pt>
                <c:pt idx="291">
                  <c:v>242.11930199430199</c:v>
                </c:pt>
                <c:pt idx="292">
                  <c:v>240.96044159544158</c:v>
                </c:pt>
                <c:pt idx="293">
                  <c:v>239.10606837606838</c:v>
                </c:pt>
                <c:pt idx="294">
                  <c:v>237.34829059829059</c:v>
                </c:pt>
                <c:pt idx="295">
                  <c:v>236.19633903133905</c:v>
                </c:pt>
                <c:pt idx="296">
                  <c:v>234.78240740740739</c:v>
                </c:pt>
                <c:pt idx="297">
                  <c:v>233.77663817663819</c:v>
                </c:pt>
                <c:pt idx="298">
                  <c:v>231.93974358974359</c:v>
                </c:pt>
                <c:pt idx="299">
                  <c:v>230.48547008547004</c:v>
                </c:pt>
                <c:pt idx="300">
                  <c:v>230.15836182336179</c:v>
                </c:pt>
                <c:pt idx="301">
                  <c:v>229.37660968660964</c:v>
                </c:pt>
                <c:pt idx="302">
                  <c:v>228.43005698005697</c:v>
                </c:pt>
                <c:pt idx="303">
                  <c:v>228.27452991452992</c:v>
                </c:pt>
                <c:pt idx="304">
                  <c:v>227.75225071225066</c:v>
                </c:pt>
                <c:pt idx="305">
                  <c:v>227.8532763532763</c:v>
                </c:pt>
                <c:pt idx="306">
                  <c:v>228.0270655270655</c:v>
                </c:pt>
                <c:pt idx="307">
                  <c:v>228.25662393162398</c:v>
                </c:pt>
                <c:pt idx="308">
                  <c:v>228.3194444444444</c:v>
                </c:pt>
                <c:pt idx="309">
                  <c:v>228.63461538461536</c:v>
                </c:pt>
                <c:pt idx="310">
                  <c:v>229.03844729344729</c:v>
                </c:pt>
                <c:pt idx="311">
                  <c:v>229.13960113960113</c:v>
                </c:pt>
                <c:pt idx="312">
                  <c:v>229.36981481481479</c:v>
                </c:pt>
                <c:pt idx="313">
                  <c:v>229.6504985754986</c:v>
                </c:pt>
                <c:pt idx="314">
                  <c:v>230.25743589743593</c:v>
                </c:pt>
                <c:pt idx="315">
                  <c:v>230.11548433048438</c:v>
                </c:pt>
                <c:pt idx="316">
                  <c:v>230.63311965811968</c:v>
                </c:pt>
                <c:pt idx="317">
                  <c:v>230.86175213675213</c:v>
                </c:pt>
                <c:pt idx="318">
                  <c:v>231.19690883190887</c:v>
                </c:pt>
                <c:pt idx="319">
                  <c:v>231.23903133903133</c:v>
                </c:pt>
                <c:pt idx="320">
                  <c:v>231.59226495726494</c:v>
                </c:pt>
                <c:pt idx="321">
                  <c:v>231.92014245014244</c:v>
                </c:pt>
                <c:pt idx="322">
                  <c:v>231.6312108262108</c:v>
                </c:pt>
                <c:pt idx="323">
                  <c:v>231.6878917378917</c:v>
                </c:pt>
                <c:pt idx="324">
                  <c:v>231.85287749287752</c:v>
                </c:pt>
                <c:pt idx="325">
                  <c:v>231.65537037037043</c:v>
                </c:pt>
                <c:pt idx="326">
                  <c:v>231.54742165242169</c:v>
                </c:pt>
                <c:pt idx="327">
                  <c:v>231.64340455840457</c:v>
                </c:pt>
                <c:pt idx="328">
                  <c:v>231.52444444444444</c:v>
                </c:pt>
                <c:pt idx="329">
                  <c:v>231.50179487179491</c:v>
                </c:pt>
                <c:pt idx="330">
                  <c:v>231.15028490028493</c:v>
                </c:pt>
                <c:pt idx="331">
                  <c:v>231.13249287749287</c:v>
                </c:pt>
                <c:pt idx="332">
                  <c:v>231.10917378917378</c:v>
                </c:pt>
                <c:pt idx="333">
                  <c:v>230.65990028490029</c:v>
                </c:pt>
                <c:pt idx="334">
                  <c:v>230.46253561253562</c:v>
                </c:pt>
                <c:pt idx="335">
                  <c:v>230.18871794871797</c:v>
                </c:pt>
                <c:pt idx="336">
                  <c:v>230.30642450142446</c:v>
                </c:pt>
                <c:pt idx="337">
                  <c:v>230.14910256410255</c:v>
                </c:pt>
                <c:pt idx="338">
                  <c:v>230.07056980056979</c:v>
                </c:pt>
                <c:pt idx="339">
                  <c:v>230.47021367521364</c:v>
                </c:pt>
                <c:pt idx="340">
                  <c:v>230.37756410256407</c:v>
                </c:pt>
                <c:pt idx="341">
                  <c:v>229.987037037037</c:v>
                </c:pt>
                <c:pt idx="342">
                  <c:v>228.88242165242161</c:v>
                </c:pt>
                <c:pt idx="343">
                  <c:v>228.37784900284899</c:v>
                </c:pt>
                <c:pt idx="344">
                  <c:v>228.16673789173788</c:v>
                </c:pt>
                <c:pt idx="345">
                  <c:v>227.74066951566948</c:v>
                </c:pt>
                <c:pt idx="346">
                  <c:v>227.54789173789172</c:v>
                </c:pt>
                <c:pt idx="347">
                  <c:v>227.06294871794867</c:v>
                </c:pt>
                <c:pt idx="348">
                  <c:v>227.32846153846157</c:v>
                </c:pt>
                <c:pt idx="349">
                  <c:v>227.28931623931629</c:v>
                </c:pt>
                <c:pt idx="350">
                  <c:v>227.80045584045587</c:v>
                </c:pt>
                <c:pt idx="351">
                  <c:v>228.78212250712255</c:v>
                </c:pt>
                <c:pt idx="352">
                  <c:v>229.59964387464387</c:v>
                </c:pt>
                <c:pt idx="353">
                  <c:v>230.62641025641022</c:v>
                </c:pt>
                <c:pt idx="354">
                  <c:v>231.31763532763537</c:v>
                </c:pt>
                <c:pt idx="355">
                  <c:v>232.03229344729348</c:v>
                </c:pt>
                <c:pt idx="356">
                  <c:v>233.02908831908834</c:v>
                </c:pt>
                <c:pt idx="357">
                  <c:v>233.49300569800573</c:v>
                </c:pt>
                <c:pt idx="358">
                  <c:v>234.10152421652424</c:v>
                </c:pt>
                <c:pt idx="359">
                  <c:v>234.53556980056987</c:v>
                </c:pt>
                <c:pt idx="360">
                  <c:v>235.18243589743594</c:v>
                </c:pt>
                <c:pt idx="361">
                  <c:v>235.82131054131059</c:v>
                </c:pt>
                <c:pt idx="362">
                  <c:v>235.97336182336193</c:v>
                </c:pt>
                <c:pt idx="363">
                  <c:v>235.81688034188039</c:v>
                </c:pt>
                <c:pt idx="364">
                  <c:v>235.62138176638177</c:v>
                </c:pt>
                <c:pt idx="365">
                  <c:v>235.16411680911685</c:v>
                </c:pt>
                <c:pt idx="366">
                  <c:v>233.97507122507128</c:v>
                </c:pt>
                <c:pt idx="367">
                  <c:v>233.93589743589746</c:v>
                </c:pt>
                <c:pt idx="368">
                  <c:v>235.05203703703705</c:v>
                </c:pt>
                <c:pt idx="369">
                  <c:v>235.47434472934481</c:v>
                </c:pt>
                <c:pt idx="370">
                  <c:v>235.90384615384622</c:v>
                </c:pt>
                <c:pt idx="371">
                  <c:v>236.7309116809117</c:v>
                </c:pt>
                <c:pt idx="372">
                  <c:v>237.46065527065531</c:v>
                </c:pt>
                <c:pt idx="373">
                  <c:v>239.2048005698006</c:v>
                </c:pt>
                <c:pt idx="374">
                  <c:v>239.10698005698009</c:v>
                </c:pt>
                <c:pt idx="375">
                  <c:v>239.17699430199434</c:v>
                </c:pt>
                <c:pt idx="376">
                  <c:v>238.75128205128206</c:v>
                </c:pt>
                <c:pt idx="377">
                  <c:v>238.36740740740743</c:v>
                </c:pt>
                <c:pt idx="378">
                  <c:v>237.84094017094017</c:v>
                </c:pt>
                <c:pt idx="379">
                  <c:v>236.4690455840456</c:v>
                </c:pt>
                <c:pt idx="380">
                  <c:v>235.38430199430206</c:v>
                </c:pt>
                <c:pt idx="381">
                  <c:v>234.15662393162398</c:v>
                </c:pt>
                <c:pt idx="382">
                  <c:v>232.01915954415958</c:v>
                </c:pt>
                <c:pt idx="383">
                  <c:v>230.03568376068381</c:v>
                </c:pt>
                <c:pt idx="384">
                  <c:v>228.4494301994302</c:v>
                </c:pt>
                <c:pt idx="385">
                  <c:v>226.20606837606837</c:v>
                </c:pt>
                <c:pt idx="386">
                  <c:v>225.30833333333334</c:v>
                </c:pt>
                <c:pt idx="387">
                  <c:v>224.46217948717953</c:v>
                </c:pt>
                <c:pt idx="388">
                  <c:v>223.23707977207977</c:v>
                </c:pt>
                <c:pt idx="389">
                  <c:v>222.07622507122508</c:v>
                </c:pt>
                <c:pt idx="390">
                  <c:v>220.77554131054134</c:v>
                </c:pt>
                <c:pt idx="391">
                  <c:v>219.83730769230766</c:v>
                </c:pt>
                <c:pt idx="392">
                  <c:v>218.30686609686609</c:v>
                </c:pt>
                <c:pt idx="393">
                  <c:v>215.80877492877491</c:v>
                </c:pt>
                <c:pt idx="394">
                  <c:v>213.19675213675214</c:v>
                </c:pt>
                <c:pt idx="395">
                  <c:v>210.96370370370366</c:v>
                </c:pt>
                <c:pt idx="396">
                  <c:v>208.78401709401706</c:v>
                </c:pt>
                <c:pt idx="397">
                  <c:v>206.35821937321936</c:v>
                </c:pt>
                <c:pt idx="398">
                  <c:v>203.71253561253559</c:v>
                </c:pt>
                <c:pt idx="399">
                  <c:v>201.22970085470081</c:v>
                </c:pt>
                <c:pt idx="400">
                  <c:v>198.93005698005697</c:v>
                </c:pt>
                <c:pt idx="401">
                  <c:v>196.41883190883192</c:v>
                </c:pt>
                <c:pt idx="402">
                  <c:v>193.97232193732196</c:v>
                </c:pt>
                <c:pt idx="403">
                  <c:v>191.84547008547011</c:v>
                </c:pt>
                <c:pt idx="404">
                  <c:v>187.66481481481483</c:v>
                </c:pt>
                <c:pt idx="405">
                  <c:v>185.64059829059829</c:v>
                </c:pt>
                <c:pt idx="406">
                  <c:v>183.43273504273503</c:v>
                </c:pt>
                <c:pt idx="407">
                  <c:v>181.54844729344725</c:v>
                </c:pt>
                <c:pt idx="408">
                  <c:v>180.30363247863247</c:v>
                </c:pt>
                <c:pt idx="409">
                  <c:v>178.67485754985751</c:v>
                </c:pt>
                <c:pt idx="410">
                  <c:v>177.49283475783474</c:v>
                </c:pt>
                <c:pt idx="411">
                  <c:v>175.637037037037</c:v>
                </c:pt>
                <c:pt idx="412">
                  <c:v>173.8705128205128</c:v>
                </c:pt>
                <c:pt idx="413">
                  <c:v>171.5799145299145</c:v>
                </c:pt>
                <c:pt idx="414">
                  <c:v>170.0880056980057</c:v>
                </c:pt>
                <c:pt idx="415">
                  <c:v>169.08141025641027</c:v>
                </c:pt>
                <c:pt idx="416">
                  <c:v>167.05337606837608</c:v>
                </c:pt>
                <c:pt idx="417">
                  <c:v>165.29535612535614</c:v>
                </c:pt>
                <c:pt idx="418">
                  <c:v>162.22364672364671</c:v>
                </c:pt>
                <c:pt idx="419">
                  <c:v>162.05480056980056</c:v>
                </c:pt>
                <c:pt idx="420">
                  <c:v>161.74521367521365</c:v>
                </c:pt>
                <c:pt idx="421">
                  <c:v>161.47068376068373</c:v>
                </c:pt>
                <c:pt idx="422">
                  <c:v>161.0425925925926</c:v>
                </c:pt>
                <c:pt idx="423">
                  <c:v>160.55537037037035</c:v>
                </c:pt>
                <c:pt idx="424">
                  <c:v>159.91192307692307</c:v>
                </c:pt>
                <c:pt idx="425">
                  <c:v>159.26196581196581</c:v>
                </c:pt>
                <c:pt idx="426">
                  <c:v>158.84524216524215</c:v>
                </c:pt>
                <c:pt idx="427">
                  <c:v>158.21367521367523</c:v>
                </c:pt>
                <c:pt idx="428">
                  <c:v>157.88656695156698</c:v>
                </c:pt>
                <c:pt idx="429">
                  <c:v>157.86522792022791</c:v>
                </c:pt>
                <c:pt idx="430">
                  <c:v>157.8217094017094</c:v>
                </c:pt>
                <c:pt idx="431">
                  <c:v>157.66737891737898</c:v>
                </c:pt>
                <c:pt idx="432">
                  <c:v>157.28011396011399</c:v>
                </c:pt>
                <c:pt idx="433">
                  <c:v>156.87012820512822</c:v>
                </c:pt>
                <c:pt idx="434">
                  <c:v>156.73148148148147</c:v>
                </c:pt>
                <c:pt idx="435">
                  <c:v>156.16094017094017</c:v>
                </c:pt>
                <c:pt idx="436">
                  <c:v>155.49239316239314</c:v>
                </c:pt>
                <c:pt idx="437">
                  <c:v>155.32192307692307</c:v>
                </c:pt>
                <c:pt idx="438">
                  <c:v>155.0667094017094</c:v>
                </c:pt>
                <c:pt idx="439">
                  <c:v>155.25286324786325</c:v>
                </c:pt>
                <c:pt idx="440">
                  <c:v>154.93753561253561</c:v>
                </c:pt>
                <c:pt idx="441">
                  <c:v>154.56125356125355</c:v>
                </c:pt>
                <c:pt idx="442">
                  <c:v>154.36673789173787</c:v>
                </c:pt>
                <c:pt idx="443">
                  <c:v>154.30987179487178</c:v>
                </c:pt>
                <c:pt idx="444">
                  <c:v>154.04341880341883</c:v>
                </c:pt>
                <c:pt idx="445">
                  <c:v>153.8108974358974</c:v>
                </c:pt>
                <c:pt idx="446">
                  <c:v>153.76326210826207</c:v>
                </c:pt>
                <c:pt idx="447">
                  <c:v>153.36213675213673</c:v>
                </c:pt>
                <c:pt idx="448">
                  <c:v>153.56119658119655</c:v>
                </c:pt>
                <c:pt idx="449">
                  <c:v>153.66913105413104</c:v>
                </c:pt>
                <c:pt idx="450">
                  <c:v>154.03702279202278</c:v>
                </c:pt>
                <c:pt idx="451">
                  <c:v>154.40574074074078</c:v>
                </c:pt>
                <c:pt idx="452">
                  <c:v>154.50759259259257</c:v>
                </c:pt>
                <c:pt idx="453">
                  <c:v>154.9813532763533</c:v>
                </c:pt>
                <c:pt idx="454">
                  <c:v>155.33501424501426</c:v>
                </c:pt>
                <c:pt idx="455">
                  <c:v>155.47649572649573</c:v>
                </c:pt>
                <c:pt idx="456">
                  <c:v>155.65481481481478</c:v>
                </c:pt>
                <c:pt idx="457">
                  <c:v>155.72203703703704</c:v>
                </c:pt>
                <c:pt idx="458">
                  <c:v>155.89082621082619</c:v>
                </c:pt>
                <c:pt idx="459">
                  <c:v>156.34878917378916</c:v>
                </c:pt>
                <c:pt idx="460">
                  <c:v>156.57839031339032</c:v>
                </c:pt>
                <c:pt idx="461">
                  <c:v>156.9917378917379</c:v>
                </c:pt>
                <c:pt idx="462">
                  <c:v>157.41353276353274</c:v>
                </c:pt>
                <c:pt idx="463">
                  <c:v>158.06467236467236</c:v>
                </c:pt>
                <c:pt idx="464">
                  <c:v>158.30220797720796</c:v>
                </c:pt>
                <c:pt idx="465">
                  <c:v>158.65320512820512</c:v>
                </c:pt>
                <c:pt idx="466">
                  <c:v>159.1241737891738</c:v>
                </c:pt>
                <c:pt idx="467">
                  <c:v>159.44227920227922</c:v>
                </c:pt>
                <c:pt idx="468">
                  <c:v>159.28283475783476</c:v>
                </c:pt>
                <c:pt idx="469">
                  <c:v>159.28058404558405</c:v>
                </c:pt>
                <c:pt idx="470">
                  <c:v>159.32898860398859</c:v>
                </c:pt>
                <c:pt idx="471">
                  <c:v>159.49576923076924</c:v>
                </c:pt>
                <c:pt idx="472">
                  <c:v>159.49893162393167</c:v>
                </c:pt>
                <c:pt idx="473">
                  <c:v>159.68890313390312</c:v>
                </c:pt>
                <c:pt idx="474">
                  <c:v>159.79175213675217</c:v>
                </c:pt>
                <c:pt idx="475">
                  <c:v>160.19923076923075</c:v>
                </c:pt>
                <c:pt idx="476">
                  <c:v>160.55531339031336</c:v>
                </c:pt>
                <c:pt idx="477">
                  <c:v>160.30847578347579</c:v>
                </c:pt>
                <c:pt idx="478">
                  <c:v>160.79492877492876</c:v>
                </c:pt>
                <c:pt idx="479">
                  <c:v>161.0856267806268</c:v>
                </c:pt>
                <c:pt idx="480">
                  <c:v>160.74726495726497</c:v>
                </c:pt>
                <c:pt idx="481">
                  <c:v>160.45847578347585</c:v>
                </c:pt>
                <c:pt idx="482">
                  <c:v>160.27782051282054</c:v>
                </c:pt>
                <c:pt idx="483">
                  <c:v>160.22353276353277</c:v>
                </c:pt>
                <c:pt idx="484">
                  <c:v>159.85434472934475</c:v>
                </c:pt>
                <c:pt idx="485">
                  <c:v>159.21246438746439</c:v>
                </c:pt>
                <c:pt idx="486">
                  <c:v>158.64552706552706</c:v>
                </c:pt>
                <c:pt idx="487">
                  <c:v>158.12341880341879</c:v>
                </c:pt>
                <c:pt idx="488">
                  <c:v>157.89786324786323</c:v>
                </c:pt>
                <c:pt idx="489">
                  <c:v>157.24878917378916</c:v>
                </c:pt>
                <c:pt idx="490">
                  <c:v>156.71669515669515</c:v>
                </c:pt>
                <c:pt idx="491">
                  <c:v>156.57534188034188</c:v>
                </c:pt>
                <c:pt idx="492">
                  <c:v>156.10227920227919</c:v>
                </c:pt>
                <c:pt idx="493">
                  <c:v>155.83233618233621</c:v>
                </c:pt>
                <c:pt idx="494">
                  <c:v>155.60719373219371</c:v>
                </c:pt>
                <c:pt idx="495">
                  <c:v>155.49586894586895</c:v>
                </c:pt>
                <c:pt idx="496">
                  <c:v>155.57321937321936</c:v>
                </c:pt>
                <c:pt idx="497">
                  <c:v>155.48176638176636</c:v>
                </c:pt>
                <c:pt idx="498">
                  <c:v>155.67706552706554</c:v>
                </c:pt>
                <c:pt idx="499">
                  <c:v>155.90213675213676</c:v>
                </c:pt>
                <c:pt idx="500">
                  <c:v>156.30336182336185</c:v>
                </c:pt>
                <c:pt idx="501">
                  <c:v>156.47435897435898</c:v>
                </c:pt>
                <c:pt idx="502">
                  <c:v>156.57179487179488</c:v>
                </c:pt>
                <c:pt idx="503">
                  <c:v>156.6135754985755</c:v>
                </c:pt>
                <c:pt idx="504">
                  <c:v>156.63606837606835</c:v>
                </c:pt>
                <c:pt idx="505">
                  <c:v>156.96267806267804</c:v>
                </c:pt>
                <c:pt idx="506">
                  <c:v>156.55955840455843</c:v>
                </c:pt>
                <c:pt idx="507">
                  <c:v>156.11324786324789</c:v>
                </c:pt>
                <c:pt idx="508">
                  <c:v>156.01531339031339</c:v>
                </c:pt>
                <c:pt idx="509">
                  <c:v>155.87586894586894</c:v>
                </c:pt>
                <c:pt idx="510">
                  <c:v>155.76897435897436</c:v>
                </c:pt>
                <c:pt idx="511">
                  <c:v>155.77566951566953</c:v>
                </c:pt>
                <c:pt idx="512">
                  <c:v>156.22964387464387</c:v>
                </c:pt>
                <c:pt idx="513">
                  <c:v>156.45475783475783</c:v>
                </c:pt>
                <c:pt idx="514">
                  <c:v>156.64749287749285</c:v>
                </c:pt>
                <c:pt idx="515">
                  <c:v>156.68512820512819</c:v>
                </c:pt>
                <c:pt idx="516">
                  <c:v>156.4565954415954</c:v>
                </c:pt>
                <c:pt idx="517">
                  <c:v>156.54246438746438</c:v>
                </c:pt>
                <c:pt idx="518">
                  <c:v>156.66887464387466</c:v>
                </c:pt>
                <c:pt idx="519">
                  <c:v>156.82475783475783</c:v>
                </c:pt>
                <c:pt idx="520">
                  <c:v>156.82133903133897</c:v>
                </c:pt>
                <c:pt idx="521">
                  <c:v>157.03696581196576</c:v>
                </c:pt>
                <c:pt idx="522">
                  <c:v>157.04059829059827</c:v>
                </c:pt>
                <c:pt idx="523">
                  <c:v>156.9216524216524</c:v>
                </c:pt>
                <c:pt idx="524">
                  <c:v>156.47719373219368</c:v>
                </c:pt>
                <c:pt idx="525">
                  <c:v>156.43787749287748</c:v>
                </c:pt>
                <c:pt idx="526">
                  <c:v>155.98133903133902</c:v>
                </c:pt>
                <c:pt idx="527">
                  <c:v>155.65356125356126</c:v>
                </c:pt>
                <c:pt idx="528">
                  <c:v>155.00189458689459</c:v>
                </c:pt>
                <c:pt idx="529">
                  <c:v>155.04128205128202</c:v>
                </c:pt>
                <c:pt idx="530">
                  <c:v>154.67971509971508</c:v>
                </c:pt>
                <c:pt idx="531">
                  <c:v>153.45527065527065</c:v>
                </c:pt>
                <c:pt idx="532">
                  <c:v>153.40678062678063</c:v>
                </c:pt>
                <c:pt idx="533">
                  <c:v>153.95346153846157</c:v>
                </c:pt>
                <c:pt idx="534">
                  <c:v>154.56527065527064</c:v>
                </c:pt>
                <c:pt idx="535">
                  <c:v>154.88361823361825</c:v>
                </c:pt>
                <c:pt idx="536">
                  <c:v>155.23079772079771</c:v>
                </c:pt>
                <c:pt idx="537">
                  <c:v>155.97428774928773</c:v>
                </c:pt>
                <c:pt idx="538">
                  <c:v>156.18314814814815</c:v>
                </c:pt>
                <c:pt idx="539">
                  <c:v>156.72012820512822</c:v>
                </c:pt>
                <c:pt idx="540">
                  <c:v>157.19045584045583</c:v>
                </c:pt>
                <c:pt idx="541">
                  <c:v>157.67757834757833</c:v>
                </c:pt>
                <c:pt idx="542">
                  <c:v>158.60189458689456</c:v>
                </c:pt>
                <c:pt idx="543">
                  <c:v>159.39940170940173</c:v>
                </c:pt>
                <c:pt idx="544">
                  <c:v>160.29917378917378</c:v>
                </c:pt>
                <c:pt idx="545">
                  <c:v>160.50527065527066</c:v>
                </c:pt>
                <c:pt idx="546">
                  <c:v>160.51210826210826</c:v>
                </c:pt>
                <c:pt idx="547">
                  <c:v>160.57787749287749</c:v>
                </c:pt>
                <c:pt idx="548">
                  <c:v>160.85042735042734</c:v>
                </c:pt>
                <c:pt idx="549">
                  <c:v>161.20183760683761</c:v>
                </c:pt>
                <c:pt idx="550">
                  <c:v>161.08418803418803</c:v>
                </c:pt>
                <c:pt idx="551">
                  <c:v>161.44877492877492</c:v>
                </c:pt>
                <c:pt idx="552">
                  <c:v>161.6652421652422</c:v>
                </c:pt>
                <c:pt idx="553">
                  <c:v>161.9644586894587</c:v>
                </c:pt>
                <c:pt idx="554">
                  <c:v>161.95605413105412</c:v>
                </c:pt>
                <c:pt idx="555">
                  <c:v>161.96007122507123</c:v>
                </c:pt>
                <c:pt idx="556">
                  <c:v>162.18076923076922</c:v>
                </c:pt>
                <c:pt idx="557">
                  <c:v>162.47064102564104</c:v>
                </c:pt>
                <c:pt idx="558">
                  <c:v>162.10770655270656</c:v>
                </c:pt>
                <c:pt idx="559">
                  <c:v>162.24945868945866</c:v>
                </c:pt>
                <c:pt idx="560">
                  <c:v>161.9209116809117</c:v>
                </c:pt>
                <c:pt idx="561">
                  <c:v>161.23076923076923</c:v>
                </c:pt>
                <c:pt idx="562">
                  <c:v>160.91168091168092</c:v>
                </c:pt>
                <c:pt idx="563">
                  <c:v>159.82527065527066</c:v>
                </c:pt>
                <c:pt idx="564">
                  <c:v>159.61310541310544</c:v>
                </c:pt>
                <c:pt idx="565">
                  <c:v>159.38136752136751</c:v>
                </c:pt>
                <c:pt idx="566">
                  <c:v>158.52652421652422</c:v>
                </c:pt>
                <c:pt idx="567">
                  <c:v>157.65099715099714</c:v>
                </c:pt>
                <c:pt idx="568">
                  <c:v>156.62962962962962</c:v>
                </c:pt>
                <c:pt idx="569">
                  <c:v>155.96715099715101</c:v>
                </c:pt>
                <c:pt idx="570">
                  <c:v>154.60745014245015</c:v>
                </c:pt>
                <c:pt idx="571">
                  <c:v>153.91207977207981</c:v>
                </c:pt>
                <c:pt idx="572">
                  <c:v>153.31405982905983</c:v>
                </c:pt>
                <c:pt idx="573">
                  <c:v>152.50227920227917</c:v>
                </c:pt>
                <c:pt idx="574">
                  <c:v>151.68666666666667</c:v>
                </c:pt>
                <c:pt idx="575">
                  <c:v>151.23423076923078</c:v>
                </c:pt>
                <c:pt idx="576">
                  <c:v>150.40954415954414</c:v>
                </c:pt>
                <c:pt idx="577">
                  <c:v>149.74220797720795</c:v>
                </c:pt>
                <c:pt idx="578">
                  <c:v>148.79195156695155</c:v>
                </c:pt>
                <c:pt idx="579">
                  <c:v>148.55951566951569</c:v>
                </c:pt>
                <c:pt idx="580">
                  <c:v>147.96141025641026</c:v>
                </c:pt>
                <c:pt idx="581">
                  <c:v>147.33642450142449</c:v>
                </c:pt>
                <c:pt idx="582">
                  <c:v>146.71160968660968</c:v>
                </c:pt>
                <c:pt idx="583">
                  <c:v>146.5641025641026</c:v>
                </c:pt>
                <c:pt idx="584">
                  <c:v>146.34415954415954</c:v>
                </c:pt>
                <c:pt idx="585">
                  <c:v>145.70650997150997</c:v>
                </c:pt>
                <c:pt idx="586">
                  <c:v>145.19480056980058</c:v>
                </c:pt>
                <c:pt idx="587">
                  <c:v>144.75263532763532</c:v>
                </c:pt>
                <c:pt idx="588">
                  <c:v>144.32317663817668</c:v>
                </c:pt>
                <c:pt idx="589">
                  <c:v>144.14796296296296</c:v>
                </c:pt>
                <c:pt idx="590">
                  <c:v>144.05669515669513</c:v>
                </c:pt>
                <c:pt idx="591">
                  <c:v>143.85250712250709</c:v>
                </c:pt>
                <c:pt idx="592">
                  <c:v>143.56039886039883</c:v>
                </c:pt>
                <c:pt idx="593">
                  <c:v>142.84716524216523</c:v>
                </c:pt>
                <c:pt idx="594">
                  <c:v>142.71119658119656</c:v>
                </c:pt>
                <c:pt idx="595">
                  <c:v>142.2207264957265</c:v>
                </c:pt>
                <c:pt idx="596">
                  <c:v>141.88324786324782</c:v>
                </c:pt>
                <c:pt idx="597">
                  <c:v>141.52841880341879</c:v>
                </c:pt>
                <c:pt idx="598">
                  <c:v>141.15847578347575</c:v>
                </c:pt>
                <c:pt idx="599">
                  <c:v>141.24119658119656</c:v>
                </c:pt>
                <c:pt idx="600">
                  <c:v>141.2184472934473</c:v>
                </c:pt>
                <c:pt idx="601">
                  <c:v>141.21762108262104</c:v>
                </c:pt>
                <c:pt idx="602">
                  <c:v>141.3714672364672</c:v>
                </c:pt>
                <c:pt idx="603">
                  <c:v>141.50678062678062</c:v>
                </c:pt>
                <c:pt idx="604">
                  <c:v>141.69123931623926</c:v>
                </c:pt>
                <c:pt idx="605">
                  <c:v>141.87853276353275</c:v>
                </c:pt>
                <c:pt idx="606">
                  <c:v>142.24223646723647</c:v>
                </c:pt>
                <c:pt idx="607">
                  <c:v>142.45633903133904</c:v>
                </c:pt>
                <c:pt idx="608">
                  <c:v>142.51267806267805</c:v>
                </c:pt>
                <c:pt idx="609">
                  <c:v>142.32578347578351</c:v>
                </c:pt>
                <c:pt idx="610">
                  <c:v>142.16770655270656</c:v>
                </c:pt>
                <c:pt idx="611">
                  <c:v>142.10887464387463</c:v>
                </c:pt>
                <c:pt idx="612">
                  <c:v>142.1749002849003</c:v>
                </c:pt>
                <c:pt idx="613">
                  <c:v>141.89525641025642</c:v>
                </c:pt>
                <c:pt idx="614">
                  <c:v>141.97867521367525</c:v>
                </c:pt>
                <c:pt idx="615">
                  <c:v>141.95595441595444</c:v>
                </c:pt>
                <c:pt idx="616">
                  <c:v>141.35548433048436</c:v>
                </c:pt>
                <c:pt idx="617">
                  <c:v>141.21186609686609</c:v>
                </c:pt>
                <c:pt idx="618">
                  <c:v>141.09809116809117</c:v>
                </c:pt>
                <c:pt idx="619">
                  <c:v>141.05508547008549</c:v>
                </c:pt>
                <c:pt idx="620">
                  <c:v>141.00598290598293</c:v>
                </c:pt>
                <c:pt idx="621">
                  <c:v>140.88745014245015</c:v>
                </c:pt>
                <c:pt idx="622">
                  <c:v>140.72391737891741</c:v>
                </c:pt>
                <c:pt idx="623">
                  <c:v>140.91048433048434</c:v>
                </c:pt>
                <c:pt idx="624">
                  <c:v>141.08487179487182</c:v>
                </c:pt>
                <c:pt idx="625">
                  <c:v>141.74696581196585</c:v>
                </c:pt>
                <c:pt idx="626">
                  <c:v>141.82834757834758</c:v>
                </c:pt>
                <c:pt idx="627">
                  <c:v>141.67804843304847</c:v>
                </c:pt>
                <c:pt idx="628">
                  <c:v>141.51625356125356</c:v>
                </c:pt>
                <c:pt idx="629">
                  <c:v>141.55810541310541</c:v>
                </c:pt>
                <c:pt idx="630">
                  <c:v>141.78931623931624</c:v>
                </c:pt>
                <c:pt idx="631">
                  <c:v>141.81054131054131</c:v>
                </c:pt>
                <c:pt idx="632">
                  <c:v>141.44290598290601</c:v>
                </c:pt>
                <c:pt idx="633">
                  <c:v>141.48803418803419</c:v>
                </c:pt>
                <c:pt idx="634">
                  <c:v>141.16129629629631</c:v>
                </c:pt>
                <c:pt idx="635">
                  <c:v>141.23893162393168</c:v>
                </c:pt>
                <c:pt idx="636">
                  <c:v>141.44337606837607</c:v>
                </c:pt>
                <c:pt idx="637">
                  <c:v>141.26071225071229</c:v>
                </c:pt>
                <c:pt idx="638">
                  <c:v>141.24575498575499</c:v>
                </c:pt>
                <c:pt idx="639">
                  <c:v>141.5235042735043</c:v>
                </c:pt>
                <c:pt idx="640">
                  <c:v>141.7217094017094</c:v>
                </c:pt>
                <c:pt idx="641">
                  <c:v>141.95933048433048</c:v>
                </c:pt>
                <c:pt idx="642">
                  <c:v>142.23863247863247</c:v>
                </c:pt>
                <c:pt idx="643">
                  <c:v>142.43383190883193</c:v>
                </c:pt>
                <c:pt idx="644">
                  <c:v>143.12509971509974</c:v>
                </c:pt>
                <c:pt idx="645">
                  <c:v>143.45833333333334</c:v>
                </c:pt>
                <c:pt idx="646">
                  <c:v>144.08517094017094</c:v>
                </c:pt>
                <c:pt idx="647">
                  <c:v>144.67978632478633</c:v>
                </c:pt>
                <c:pt idx="648">
                  <c:v>145.11153846153849</c:v>
                </c:pt>
                <c:pt idx="649">
                  <c:v>145.44658119658121</c:v>
                </c:pt>
                <c:pt idx="650">
                  <c:v>145.65001424501426</c:v>
                </c:pt>
                <c:pt idx="651">
                  <c:v>145.83498575498578</c:v>
                </c:pt>
                <c:pt idx="652">
                  <c:v>145.70954415954415</c:v>
                </c:pt>
                <c:pt idx="653">
                  <c:v>145.99907407407409</c:v>
                </c:pt>
                <c:pt idx="654">
                  <c:v>146.05776353276349</c:v>
                </c:pt>
                <c:pt idx="655">
                  <c:v>145.89850427350427</c:v>
                </c:pt>
                <c:pt idx="656">
                  <c:v>145.87767806267806</c:v>
                </c:pt>
                <c:pt idx="657">
                  <c:v>145.66274928774928</c:v>
                </c:pt>
                <c:pt idx="658">
                  <c:v>145.69052706552705</c:v>
                </c:pt>
                <c:pt idx="659">
                  <c:v>145.53101139601139</c:v>
                </c:pt>
                <c:pt idx="660">
                  <c:v>145.60441595441597</c:v>
                </c:pt>
                <c:pt idx="661">
                  <c:v>145.71037037037036</c:v>
                </c:pt>
                <c:pt idx="662">
                  <c:v>145.65018518518517</c:v>
                </c:pt>
                <c:pt idx="663">
                  <c:v>145.65141025641023</c:v>
                </c:pt>
                <c:pt idx="664">
                  <c:v>145.60772079772082</c:v>
                </c:pt>
                <c:pt idx="665">
                  <c:v>145.47792022792021</c:v>
                </c:pt>
                <c:pt idx="666">
                  <c:v>145.35757834757834</c:v>
                </c:pt>
                <c:pt idx="667">
                  <c:v>145.24793447293447</c:v>
                </c:pt>
                <c:pt idx="668">
                  <c:v>145.34551282051285</c:v>
                </c:pt>
                <c:pt idx="669">
                  <c:v>145.26165242165243</c:v>
                </c:pt>
                <c:pt idx="670">
                  <c:v>144.82321937321939</c:v>
                </c:pt>
                <c:pt idx="671">
                  <c:v>144.68085470085472</c:v>
                </c:pt>
                <c:pt idx="672">
                  <c:v>144.28689458689456</c:v>
                </c:pt>
                <c:pt idx="673">
                  <c:v>143.59225071225072</c:v>
                </c:pt>
                <c:pt idx="674">
                  <c:v>143.33861823361826</c:v>
                </c:pt>
                <c:pt idx="675">
                  <c:v>143.04893162393159</c:v>
                </c:pt>
                <c:pt idx="676">
                  <c:v>142.96397435897438</c:v>
                </c:pt>
                <c:pt idx="677">
                  <c:v>142.85455840455845</c:v>
                </c:pt>
                <c:pt idx="678">
                  <c:v>142.94106837606839</c:v>
                </c:pt>
                <c:pt idx="679">
                  <c:v>142.86696581196583</c:v>
                </c:pt>
                <c:pt idx="680">
                  <c:v>142.47343304843307</c:v>
                </c:pt>
                <c:pt idx="681">
                  <c:v>142.40633903133903</c:v>
                </c:pt>
                <c:pt idx="682">
                  <c:v>142.30086894586896</c:v>
                </c:pt>
                <c:pt idx="683">
                  <c:v>141.95356125356125</c:v>
                </c:pt>
                <c:pt idx="684">
                  <c:v>142.05132478632476</c:v>
                </c:pt>
                <c:pt idx="685">
                  <c:v>141.88957264957267</c:v>
                </c:pt>
                <c:pt idx="686">
                  <c:v>141.81346153846158</c:v>
                </c:pt>
                <c:pt idx="687">
                  <c:v>141.52037037037039</c:v>
                </c:pt>
                <c:pt idx="688">
                  <c:v>141.45655270655271</c:v>
                </c:pt>
                <c:pt idx="689">
                  <c:v>141.21125356125356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880656"/>
        <c:axId val="541881440"/>
      </c:lineChart>
      <c:dateAx>
        <c:axId val="54188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81440"/>
        <c:crosses val="autoZero"/>
        <c:auto val="1"/>
        <c:lblOffset val="100"/>
        <c:baseTimeUnit val="days"/>
      </c:dateAx>
      <c:valAx>
        <c:axId val="5418814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8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fast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t!$A$3:$A$717</c:f>
              <c:numCache>
                <c:formatCode>m/d/yyyy</c:formatCode>
                <c:ptCount val="715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  <c:pt idx="218">
                  <c:v>43887</c:v>
                </c:pt>
                <c:pt idx="219">
                  <c:v>43886</c:v>
                </c:pt>
                <c:pt idx="220">
                  <c:v>43882</c:v>
                </c:pt>
                <c:pt idx="221">
                  <c:v>43881</c:v>
                </c:pt>
                <c:pt idx="222">
                  <c:v>43880</c:v>
                </c:pt>
                <c:pt idx="223">
                  <c:v>43879</c:v>
                </c:pt>
                <c:pt idx="224">
                  <c:v>43878</c:v>
                </c:pt>
                <c:pt idx="225">
                  <c:v>43875</c:v>
                </c:pt>
                <c:pt idx="226">
                  <c:v>43874</c:v>
                </c:pt>
                <c:pt idx="227">
                  <c:v>43873</c:v>
                </c:pt>
                <c:pt idx="228">
                  <c:v>43872</c:v>
                </c:pt>
                <c:pt idx="229">
                  <c:v>43871</c:v>
                </c:pt>
                <c:pt idx="230">
                  <c:v>43868</c:v>
                </c:pt>
                <c:pt idx="231">
                  <c:v>43867</c:v>
                </c:pt>
                <c:pt idx="232">
                  <c:v>43866</c:v>
                </c:pt>
                <c:pt idx="233">
                  <c:v>43865</c:v>
                </c:pt>
                <c:pt idx="234">
                  <c:v>43864</c:v>
                </c:pt>
                <c:pt idx="235">
                  <c:v>43861</c:v>
                </c:pt>
                <c:pt idx="236">
                  <c:v>43860</c:v>
                </c:pt>
                <c:pt idx="237">
                  <c:v>43859</c:v>
                </c:pt>
                <c:pt idx="238">
                  <c:v>43858</c:v>
                </c:pt>
                <c:pt idx="239">
                  <c:v>43857</c:v>
                </c:pt>
                <c:pt idx="240">
                  <c:v>43854</c:v>
                </c:pt>
                <c:pt idx="241">
                  <c:v>43853</c:v>
                </c:pt>
                <c:pt idx="242">
                  <c:v>43852</c:v>
                </c:pt>
                <c:pt idx="243">
                  <c:v>43851</c:v>
                </c:pt>
                <c:pt idx="244">
                  <c:v>43850</c:v>
                </c:pt>
                <c:pt idx="245">
                  <c:v>43847</c:v>
                </c:pt>
                <c:pt idx="246">
                  <c:v>43846</c:v>
                </c:pt>
                <c:pt idx="247">
                  <c:v>43845</c:v>
                </c:pt>
                <c:pt idx="248">
                  <c:v>43844</c:v>
                </c:pt>
                <c:pt idx="249">
                  <c:v>43843</c:v>
                </c:pt>
                <c:pt idx="250">
                  <c:v>43840</c:v>
                </c:pt>
                <c:pt idx="251">
                  <c:v>43839</c:v>
                </c:pt>
                <c:pt idx="252">
                  <c:v>43838</c:v>
                </c:pt>
                <c:pt idx="253">
                  <c:v>43836</c:v>
                </c:pt>
                <c:pt idx="254">
                  <c:v>43833</c:v>
                </c:pt>
                <c:pt idx="255">
                  <c:v>43829</c:v>
                </c:pt>
                <c:pt idx="256">
                  <c:v>43826</c:v>
                </c:pt>
                <c:pt idx="257">
                  <c:v>43825</c:v>
                </c:pt>
                <c:pt idx="258">
                  <c:v>43824</c:v>
                </c:pt>
                <c:pt idx="259">
                  <c:v>43823</c:v>
                </c:pt>
                <c:pt idx="260">
                  <c:v>43822</c:v>
                </c:pt>
                <c:pt idx="261">
                  <c:v>43819</c:v>
                </c:pt>
                <c:pt idx="262">
                  <c:v>43818</c:v>
                </c:pt>
                <c:pt idx="263">
                  <c:v>43817</c:v>
                </c:pt>
                <c:pt idx="264">
                  <c:v>43816</c:v>
                </c:pt>
                <c:pt idx="265">
                  <c:v>43815</c:v>
                </c:pt>
                <c:pt idx="266">
                  <c:v>43812</c:v>
                </c:pt>
                <c:pt idx="267">
                  <c:v>43811</c:v>
                </c:pt>
                <c:pt idx="268">
                  <c:v>43810</c:v>
                </c:pt>
                <c:pt idx="269">
                  <c:v>43809</c:v>
                </c:pt>
                <c:pt idx="270">
                  <c:v>43808</c:v>
                </c:pt>
                <c:pt idx="271">
                  <c:v>43805</c:v>
                </c:pt>
                <c:pt idx="272">
                  <c:v>43804</c:v>
                </c:pt>
                <c:pt idx="273">
                  <c:v>43803</c:v>
                </c:pt>
                <c:pt idx="274">
                  <c:v>43802</c:v>
                </c:pt>
                <c:pt idx="275">
                  <c:v>43801</c:v>
                </c:pt>
                <c:pt idx="276">
                  <c:v>43798</c:v>
                </c:pt>
                <c:pt idx="277">
                  <c:v>43797</c:v>
                </c:pt>
                <c:pt idx="278">
                  <c:v>43796</c:v>
                </c:pt>
                <c:pt idx="279">
                  <c:v>43795</c:v>
                </c:pt>
                <c:pt idx="280">
                  <c:v>43794</c:v>
                </c:pt>
                <c:pt idx="281">
                  <c:v>43791</c:v>
                </c:pt>
                <c:pt idx="282">
                  <c:v>43790</c:v>
                </c:pt>
                <c:pt idx="283">
                  <c:v>43789</c:v>
                </c:pt>
                <c:pt idx="284">
                  <c:v>43788</c:v>
                </c:pt>
                <c:pt idx="285">
                  <c:v>43787</c:v>
                </c:pt>
                <c:pt idx="286">
                  <c:v>43784</c:v>
                </c:pt>
                <c:pt idx="287">
                  <c:v>43783</c:v>
                </c:pt>
                <c:pt idx="288">
                  <c:v>43782</c:v>
                </c:pt>
                <c:pt idx="289">
                  <c:v>43781</c:v>
                </c:pt>
                <c:pt idx="290">
                  <c:v>43780</c:v>
                </c:pt>
                <c:pt idx="291">
                  <c:v>43777</c:v>
                </c:pt>
                <c:pt idx="292">
                  <c:v>43776</c:v>
                </c:pt>
                <c:pt idx="293">
                  <c:v>43775</c:v>
                </c:pt>
                <c:pt idx="294">
                  <c:v>43774</c:v>
                </c:pt>
                <c:pt idx="295">
                  <c:v>43770</c:v>
                </c:pt>
                <c:pt idx="296">
                  <c:v>43769</c:v>
                </c:pt>
                <c:pt idx="297">
                  <c:v>43768</c:v>
                </c:pt>
                <c:pt idx="298">
                  <c:v>43767</c:v>
                </c:pt>
                <c:pt idx="299">
                  <c:v>43766</c:v>
                </c:pt>
                <c:pt idx="300">
                  <c:v>43763</c:v>
                </c:pt>
                <c:pt idx="301">
                  <c:v>43762</c:v>
                </c:pt>
                <c:pt idx="302">
                  <c:v>43761</c:v>
                </c:pt>
                <c:pt idx="303">
                  <c:v>43760</c:v>
                </c:pt>
                <c:pt idx="304">
                  <c:v>43759</c:v>
                </c:pt>
                <c:pt idx="305">
                  <c:v>43756</c:v>
                </c:pt>
                <c:pt idx="306">
                  <c:v>43755</c:v>
                </c:pt>
                <c:pt idx="307">
                  <c:v>43754</c:v>
                </c:pt>
                <c:pt idx="308">
                  <c:v>43753</c:v>
                </c:pt>
                <c:pt idx="309">
                  <c:v>43752</c:v>
                </c:pt>
                <c:pt idx="310">
                  <c:v>43749</c:v>
                </c:pt>
                <c:pt idx="311">
                  <c:v>43748</c:v>
                </c:pt>
                <c:pt idx="312">
                  <c:v>43747</c:v>
                </c:pt>
                <c:pt idx="313">
                  <c:v>43746</c:v>
                </c:pt>
                <c:pt idx="314">
                  <c:v>43745</c:v>
                </c:pt>
                <c:pt idx="315">
                  <c:v>43742</c:v>
                </c:pt>
                <c:pt idx="316">
                  <c:v>43741</c:v>
                </c:pt>
                <c:pt idx="317">
                  <c:v>43740</c:v>
                </c:pt>
                <c:pt idx="318">
                  <c:v>43739</c:v>
                </c:pt>
                <c:pt idx="319">
                  <c:v>43738</c:v>
                </c:pt>
                <c:pt idx="320">
                  <c:v>43735</c:v>
                </c:pt>
                <c:pt idx="321">
                  <c:v>43734</c:v>
                </c:pt>
                <c:pt idx="322">
                  <c:v>43733</c:v>
                </c:pt>
                <c:pt idx="323">
                  <c:v>43732</c:v>
                </c:pt>
                <c:pt idx="324">
                  <c:v>43731</c:v>
                </c:pt>
                <c:pt idx="325">
                  <c:v>43728</c:v>
                </c:pt>
                <c:pt idx="326">
                  <c:v>43727</c:v>
                </c:pt>
                <c:pt idx="327">
                  <c:v>43726</c:v>
                </c:pt>
                <c:pt idx="328">
                  <c:v>43725</c:v>
                </c:pt>
                <c:pt idx="329">
                  <c:v>43724</c:v>
                </c:pt>
                <c:pt idx="330">
                  <c:v>43721</c:v>
                </c:pt>
                <c:pt idx="331">
                  <c:v>43720</c:v>
                </c:pt>
                <c:pt idx="332">
                  <c:v>43719</c:v>
                </c:pt>
                <c:pt idx="333">
                  <c:v>43718</c:v>
                </c:pt>
                <c:pt idx="334">
                  <c:v>43717</c:v>
                </c:pt>
                <c:pt idx="335">
                  <c:v>43714</c:v>
                </c:pt>
                <c:pt idx="336">
                  <c:v>43713</c:v>
                </c:pt>
                <c:pt idx="337">
                  <c:v>43712</c:v>
                </c:pt>
                <c:pt idx="338">
                  <c:v>43711</c:v>
                </c:pt>
                <c:pt idx="339">
                  <c:v>43710</c:v>
                </c:pt>
                <c:pt idx="340">
                  <c:v>43707</c:v>
                </c:pt>
                <c:pt idx="341">
                  <c:v>43706</c:v>
                </c:pt>
                <c:pt idx="342">
                  <c:v>43705</c:v>
                </c:pt>
                <c:pt idx="343">
                  <c:v>43704</c:v>
                </c:pt>
                <c:pt idx="344">
                  <c:v>43703</c:v>
                </c:pt>
                <c:pt idx="345">
                  <c:v>43700</c:v>
                </c:pt>
                <c:pt idx="346">
                  <c:v>43699</c:v>
                </c:pt>
                <c:pt idx="347">
                  <c:v>43698</c:v>
                </c:pt>
                <c:pt idx="348">
                  <c:v>43697</c:v>
                </c:pt>
                <c:pt idx="349">
                  <c:v>43696</c:v>
                </c:pt>
                <c:pt idx="350">
                  <c:v>43693</c:v>
                </c:pt>
                <c:pt idx="351">
                  <c:v>43692</c:v>
                </c:pt>
                <c:pt idx="352">
                  <c:v>43691</c:v>
                </c:pt>
                <c:pt idx="353">
                  <c:v>43690</c:v>
                </c:pt>
                <c:pt idx="354">
                  <c:v>43689</c:v>
                </c:pt>
                <c:pt idx="355">
                  <c:v>43686</c:v>
                </c:pt>
                <c:pt idx="356">
                  <c:v>43685</c:v>
                </c:pt>
                <c:pt idx="357">
                  <c:v>43684</c:v>
                </c:pt>
                <c:pt idx="358">
                  <c:v>43683</c:v>
                </c:pt>
                <c:pt idx="359">
                  <c:v>43682</c:v>
                </c:pt>
                <c:pt idx="360">
                  <c:v>43679</c:v>
                </c:pt>
                <c:pt idx="361">
                  <c:v>43678</c:v>
                </c:pt>
                <c:pt idx="362">
                  <c:v>43677</c:v>
                </c:pt>
                <c:pt idx="363">
                  <c:v>43676</c:v>
                </c:pt>
                <c:pt idx="364">
                  <c:v>43675</c:v>
                </c:pt>
                <c:pt idx="365">
                  <c:v>43672</c:v>
                </c:pt>
                <c:pt idx="366">
                  <c:v>43671</c:v>
                </c:pt>
                <c:pt idx="367">
                  <c:v>43670</c:v>
                </c:pt>
                <c:pt idx="368">
                  <c:v>43669</c:v>
                </c:pt>
                <c:pt idx="369">
                  <c:v>43668</c:v>
                </c:pt>
                <c:pt idx="370">
                  <c:v>43665</c:v>
                </c:pt>
                <c:pt idx="371">
                  <c:v>43664</c:v>
                </c:pt>
                <c:pt idx="372">
                  <c:v>43663</c:v>
                </c:pt>
                <c:pt idx="373">
                  <c:v>43662</c:v>
                </c:pt>
                <c:pt idx="374">
                  <c:v>43661</c:v>
                </c:pt>
                <c:pt idx="375">
                  <c:v>43658</c:v>
                </c:pt>
                <c:pt idx="376">
                  <c:v>43657</c:v>
                </c:pt>
                <c:pt idx="377">
                  <c:v>43656</c:v>
                </c:pt>
                <c:pt idx="378">
                  <c:v>43655</c:v>
                </c:pt>
                <c:pt idx="379">
                  <c:v>43654</c:v>
                </c:pt>
                <c:pt idx="380">
                  <c:v>43651</c:v>
                </c:pt>
                <c:pt idx="381">
                  <c:v>43650</c:v>
                </c:pt>
                <c:pt idx="382">
                  <c:v>43649</c:v>
                </c:pt>
                <c:pt idx="383">
                  <c:v>43648</c:v>
                </c:pt>
                <c:pt idx="384">
                  <c:v>43647</c:v>
                </c:pt>
                <c:pt idx="385">
                  <c:v>43644</c:v>
                </c:pt>
                <c:pt idx="386">
                  <c:v>43643</c:v>
                </c:pt>
                <c:pt idx="387">
                  <c:v>43642</c:v>
                </c:pt>
                <c:pt idx="388">
                  <c:v>43641</c:v>
                </c:pt>
                <c:pt idx="389">
                  <c:v>43640</c:v>
                </c:pt>
                <c:pt idx="390">
                  <c:v>43637</c:v>
                </c:pt>
                <c:pt idx="391">
                  <c:v>43636</c:v>
                </c:pt>
                <c:pt idx="392">
                  <c:v>43635</c:v>
                </c:pt>
                <c:pt idx="393">
                  <c:v>43634</c:v>
                </c:pt>
                <c:pt idx="394">
                  <c:v>43633</c:v>
                </c:pt>
                <c:pt idx="395">
                  <c:v>43630</c:v>
                </c:pt>
                <c:pt idx="396">
                  <c:v>43629</c:v>
                </c:pt>
                <c:pt idx="397">
                  <c:v>43627</c:v>
                </c:pt>
                <c:pt idx="398">
                  <c:v>43626</c:v>
                </c:pt>
                <c:pt idx="399">
                  <c:v>43623</c:v>
                </c:pt>
                <c:pt idx="400">
                  <c:v>43622</c:v>
                </c:pt>
                <c:pt idx="401">
                  <c:v>43621</c:v>
                </c:pt>
                <c:pt idx="402">
                  <c:v>43620</c:v>
                </c:pt>
                <c:pt idx="403">
                  <c:v>43619</c:v>
                </c:pt>
                <c:pt idx="404">
                  <c:v>43616</c:v>
                </c:pt>
                <c:pt idx="405">
                  <c:v>43615</c:v>
                </c:pt>
                <c:pt idx="406">
                  <c:v>43614</c:v>
                </c:pt>
                <c:pt idx="407">
                  <c:v>43613</c:v>
                </c:pt>
                <c:pt idx="408">
                  <c:v>43612</c:v>
                </c:pt>
                <c:pt idx="409">
                  <c:v>43609</c:v>
                </c:pt>
                <c:pt idx="410">
                  <c:v>43608</c:v>
                </c:pt>
                <c:pt idx="411">
                  <c:v>43607</c:v>
                </c:pt>
                <c:pt idx="412">
                  <c:v>43606</c:v>
                </c:pt>
                <c:pt idx="413">
                  <c:v>43605</c:v>
                </c:pt>
                <c:pt idx="414">
                  <c:v>43602</c:v>
                </c:pt>
                <c:pt idx="415">
                  <c:v>43601</c:v>
                </c:pt>
                <c:pt idx="416">
                  <c:v>43600</c:v>
                </c:pt>
                <c:pt idx="417">
                  <c:v>43599</c:v>
                </c:pt>
                <c:pt idx="418">
                  <c:v>43598</c:v>
                </c:pt>
                <c:pt idx="419">
                  <c:v>43595</c:v>
                </c:pt>
                <c:pt idx="420">
                  <c:v>43593</c:v>
                </c:pt>
                <c:pt idx="421">
                  <c:v>43592</c:v>
                </c:pt>
                <c:pt idx="422">
                  <c:v>43591</c:v>
                </c:pt>
                <c:pt idx="423">
                  <c:v>43588</c:v>
                </c:pt>
                <c:pt idx="424">
                  <c:v>43587</c:v>
                </c:pt>
                <c:pt idx="425">
                  <c:v>43585</c:v>
                </c:pt>
                <c:pt idx="426">
                  <c:v>43584</c:v>
                </c:pt>
                <c:pt idx="427">
                  <c:v>43581</c:v>
                </c:pt>
                <c:pt idx="428">
                  <c:v>43580</c:v>
                </c:pt>
                <c:pt idx="429">
                  <c:v>43579</c:v>
                </c:pt>
                <c:pt idx="430">
                  <c:v>43578</c:v>
                </c:pt>
                <c:pt idx="431">
                  <c:v>43577</c:v>
                </c:pt>
                <c:pt idx="432">
                  <c:v>43574</c:v>
                </c:pt>
                <c:pt idx="433">
                  <c:v>43573</c:v>
                </c:pt>
                <c:pt idx="434">
                  <c:v>43572</c:v>
                </c:pt>
                <c:pt idx="435">
                  <c:v>43571</c:v>
                </c:pt>
                <c:pt idx="436">
                  <c:v>43570</c:v>
                </c:pt>
                <c:pt idx="437">
                  <c:v>43567</c:v>
                </c:pt>
                <c:pt idx="438">
                  <c:v>43566</c:v>
                </c:pt>
                <c:pt idx="439">
                  <c:v>43565</c:v>
                </c:pt>
                <c:pt idx="440">
                  <c:v>43564</c:v>
                </c:pt>
                <c:pt idx="441">
                  <c:v>43563</c:v>
                </c:pt>
                <c:pt idx="442">
                  <c:v>43560</c:v>
                </c:pt>
                <c:pt idx="443">
                  <c:v>43559</c:v>
                </c:pt>
                <c:pt idx="444">
                  <c:v>43558</c:v>
                </c:pt>
                <c:pt idx="445">
                  <c:v>43557</c:v>
                </c:pt>
                <c:pt idx="446">
                  <c:v>43556</c:v>
                </c:pt>
                <c:pt idx="447">
                  <c:v>43553</c:v>
                </c:pt>
                <c:pt idx="448">
                  <c:v>43552</c:v>
                </c:pt>
                <c:pt idx="449">
                  <c:v>43551</c:v>
                </c:pt>
                <c:pt idx="450">
                  <c:v>43550</c:v>
                </c:pt>
                <c:pt idx="451">
                  <c:v>43549</c:v>
                </c:pt>
                <c:pt idx="452">
                  <c:v>43546</c:v>
                </c:pt>
                <c:pt idx="453">
                  <c:v>43545</c:v>
                </c:pt>
                <c:pt idx="454">
                  <c:v>43544</c:v>
                </c:pt>
                <c:pt idx="455">
                  <c:v>43543</c:v>
                </c:pt>
                <c:pt idx="456">
                  <c:v>43542</c:v>
                </c:pt>
                <c:pt idx="457">
                  <c:v>43539</c:v>
                </c:pt>
                <c:pt idx="458">
                  <c:v>43538</c:v>
                </c:pt>
                <c:pt idx="459">
                  <c:v>43537</c:v>
                </c:pt>
                <c:pt idx="460">
                  <c:v>43536</c:v>
                </c:pt>
                <c:pt idx="461">
                  <c:v>43535</c:v>
                </c:pt>
                <c:pt idx="462">
                  <c:v>43531</c:v>
                </c:pt>
                <c:pt idx="463">
                  <c:v>43530</c:v>
                </c:pt>
                <c:pt idx="464">
                  <c:v>43529</c:v>
                </c:pt>
                <c:pt idx="465">
                  <c:v>43528</c:v>
                </c:pt>
                <c:pt idx="466">
                  <c:v>43525</c:v>
                </c:pt>
                <c:pt idx="467">
                  <c:v>43524</c:v>
                </c:pt>
                <c:pt idx="468">
                  <c:v>43523</c:v>
                </c:pt>
                <c:pt idx="469">
                  <c:v>43522</c:v>
                </c:pt>
                <c:pt idx="470">
                  <c:v>43521</c:v>
                </c:pt>
                <c:pt idx="471">
                  <c:v>43518</c:v>
                </c:pt>
                <c:pt idx="472">
                  <c:v>43517</c:v>
                </c:pt>
                <c:pt idx="473">
                  <c:v>43516</c:v>
                </c:pt>
                <c:pt idx="474">
                  <c:v>43515</c:v>
                </c:pt>
                <c:pt idx="475">
                  <c:v>43514</c:v>
                </c:pt>
                <c:pt idx="476">
                  <c:v>43511</c:v>
                </c:pt>
                <c:pt idx="477">
                  <c:v>43510</c:v>
                </c:pt>
                <c:pt idx="478">
                  <c:v>43509</c:v>
                </c:pt>
                <c:pt idx="479">
                  <c:v>43508</c:v>
                </c:pt>
                <c:pt idx="480">
                  <c:v>43507</c:v>
                </c:pt>
                <c:pt idx="481">
                  <c:v>43504</c:v>
                </c:pt>
                <c:pt idx="482">
                  <c:v>43503</c:v>
                </c:pt>
                <c:pt idx="483">
                  <c:v>43502</c:v>
                </c:pt>
                <c:pt idx="484">
                  <c:v>43501</c:v>
                </c:pt>
                <c:pt idx="485">
                  <c:v>43500</c:v>
                </c:pt>
                <c:pt idx="486">
                  <c:v>43497</c:v>
                </c:pt>
                <c:pt idx="487">
                  <c:v>43496</c:v>
                </c:pt>
                <c:pt idx="488">
                  <c:v>43495</c:v>
                </c:pt>
                <c:pt idx="489">
                  <c:v>43494</c:v>
                </c:pt>
                <c:pt idx="490">
                  <c:v>43493</c:v>
                </c:pt>
                <c:pt idx="491">
                  <c:v>43490</c:v>
                </c:pt>
                <c:pt idx="492">
                  <c:v>43489</c:v>
                </c:pt>
                <c:pt idx="493">
                  <c:v>43488</c:v>
                </c:pt>
                <c:pt idx="494">
                  <c:v>43487</c:v>
                </c:pt>
                <c:pt idx="495">
                  <c:v>43486</c:v>
                </c:pt>
                <c:pt idx="496">
                  <c:v>43483</c:v>
                </c:pt>
                <c:pt idx="497">
                  <c:v>43482</c:v>
                </c:pt>
                <c:pt idx="498">
                  <c:v>43481</c:v>
                </c:pt>
                <c:pt idx="499">
                  <c:v>43480</c:v>
                </c:pt>
                <c:pt idx="500">
                  <c:v>43479</c:v>
                </c:pt>
                <c:pt idx="501">
                  <c:v>43476</c:v>
                </c:pt>
                <c:pt idx="502">
                  <c:v>43475</c:v>
                </c:pt>
                <c:pt idx="503">
                  <c:v>43474</c:v>
                </c:pt>
                <c:pt idx="504">
                  <c:v>43473</c:v>
                </c:pt>
                <c:pt idx="505">
                  <c:v>43469</c:v>
                </c:pt>
                <c:pt idx="506">
                  <c:v>43468</c:v>
                </c:pt>
                <c:pt idx="507">
                  <c:v>43463</c:v>
                </c:pt>
                <c:pt idx="508">
                  <c:v>43462</c:v>
                </c:pt>
                <c:pt idx="509">
                  <c:v>43461</c:v>
                </c:pt>
                <c:pt idx="510">
                  <c:v>43460</c:v>
                </c:pt>
                <c:pt idx="511">
                  <c:v>43459</c:v>
                </c:pt>
                <c:pt idx="512">
                  <c:v>43458</c:v>
                </c:pt>
                <c:pt idx="513">
                  <c:v>43455</c:v>
                </c:pt>
                <c:pt idx="514">
                  <c:v>43454</c:v>
                </c:pt>
                <c:pt idx="515">
                  <c:v>43453</c:v>
                </c:pt>
                <c:pt idx="516">
                  <c:v>43452</c:v>
                </c:pt>
                <c:pt idx="517">
                  <c:v>43451</c:v>
                </c:pt>
                <c:pt idx="518">
                  <c:v>43448</c:v>
                </c:pt>
                <c:pt idx="519">
                  <c:v>43447</c:v>
                </c:pt>
                <c:pt idx="520">
                  <c:v>43446</c:v>
                </c:pt>
                <c:pt idx="521">
                  <c:v>43445</c:v>
                </c:pt>
                <c:pt idx="522">
                  <c:v>43444</c:v>
                </c:pt>
                <c:pt idx="523">
                  <c:v>43441</c:v>
                </c:pt>
                <c:pt idx="524">
                  <c:v>43440</c:v>
                </c:pt>
                <c:pt idx="525">
                  <c:v>43439</c:v>
                </c:pt>
                <c:pt idx="526">
                  <c:v>43438</c:v>
                </c:pt>
                <c:pt idx="527">
                  <c:v>43437</c:v>
                </c:pt>
                <c:pt idx="528">
                  <c:v>43434</c:v>
                </c:pt>
                <c:pt idx="529">
                  <c:v>43433</c:v>
                </c:pt>
                <c:pt idx="530">
                  <c:v>43432</c:v>
                </c:pt>
                <c:pt idx="531">
                  <c:v>43431</c:v>
                </c:pt>
                <c:pt idx="532">
                  <c:v>43430</c:v>
                </c:pt>
                <c:pt idx="533">
                  <c:v>43427</c:v>
                </c:pt>
                <c:pt idx="534">
                  <c:v>43426</c:v>
                </c:pt>
                <c:pt idx="535">
                  <c:v>43425</c:v>
                </c:pt>
                <c:pt idx="536">
                  <c:v>43424</c:v>
                </c:pt>
                <c:pt idx="537">
                  <c:v>43423</c:v>
                </c:pt>
                <c:pt idx="538">
                  <c:v>43420</c:v>
                </c:pt>
                <c:pt idx="539">
                  <c:v>43419</c:v>
                </c:pt>
                <c:pt idx="540">
                  <c:v>43418</c:v>
                </c:pt>
                <c:pt idx="541">
                  <c:v>43417</c:v>
                </c:pt>
                <c:pt idx="542">
                  <c:v>43416</c:v>
                </c:pt>
                <c:pt idx="543">
                  <c:v>43413</c:v>
                </c:pt>
                <c:pt idx="544">
                  <c:v>43412</c:v>
                </c:pt>
                <c:pt idx="545">
                  <c:v>43411</c:v>
                </c:pt>
                <c:pt idx="546">
                  <c:v>43410</c:v>
                </c:pt>
                <c:pt idx="547">
                  <c:v>43406</c:v>
                </c:pt>
                <c:pt idx="548">
                  <c:v>43405</c:v>
                </c:pt>
                <c:pt idx="549">
                  <c:v>43404</c:v>
                </c:pt>
                <c:pt idx="550">
                  <c:v>43403</c:v>
                </c:pt>
                <c:pt idx="551">
                  <c:v>43402</c:v>
                </c:pt>
                <c:pt idx="552">
                  <c:v>43399</c:v>
                </c:pt>
                <c:pt idx="553">
                  <c:v>43398</c:v>
                </c:pt>
                <c:pt idx="554">
                  <c:v>43397</c:v>
                </c:pt>
                <c:pt idx="555">
                  <c:v>43396</c:v>
                </c:pt>
                <c:pt idx="556">
                  <c:v>43395</c:v>
                </c:pt>
                <c:pt idx="557">
                  <c:v>43392</c:v>
                </c:pt>
                <c:pt idx="558">
                  <c:v>43391</c:v>
                </c:pt>
                <c:pt idx="559">
                  <c:v>43390</c:v>
                </c:pt>
                <c:pt idx="560">
                  <c:v>43389</c:v>
                </c:pt>
                <c:pt idx="561">
                  <c:v>43388</c:v>
                </c:pt>
                <c:pt idx="562">
                  <c:v>43385</c:v>
                </c:pt>
                <c:pt idx="563">
                  <c:v>43384</c:v>
                </c:pt>
                <c:pt idx="564">
                  <c:v>43383</c:v>
                </c:pt>
                <c:pt idx="565">
                  <c:v>43382</c:v>
                </c:pt>
                <c:pt idx="566">
                  <c:v>43381</c:v>
                </c:pt>
                <c:pt idx="567">
                  <c:v>43378</c:v>
                </c:pt>
                <c:pt idx="568">
                  <c:v>43377</c:v>
                </c:pt>
                <c:pt idx="569">
                  <c:v>43376</c:v>
                </c:pt>
                <c:pt idx="570">
                  <c:v>43375</c:v>
                </c:pt>
                <c:pt idx="571">
                  <c:v>43374</c:v>
                </c:pt>
                <c:pt idx="572">
                  <c:v>43371</c:v>
                </c:pt>
                <c:pt idx="573">
                  <c:v>43370</c:v>
                </c:pt>
                <c:pt idx="574">
                  <c:v>43369</c:v>
                </c:pt>
                <c:pt idx="575">
                  <c:v>43368</c:v>
                </c:pt>
                <c:pt idx="576">
                  <c:v>43367</c:v>
                </c:pt>
                <c:pt idx="577">
                  <c:v>43364</c:v>
                </c:pt>
                <c:pt idx="578">
                  <c:v>43363</c:v>
                </c:pt>
                <c:pt idx="579">
                  <c:v>43362</c:v>
                </c:pt>
                <c:pt idx="580">
                  <c:v>43361</c:v>
                </c:pt>
                <c:pt idx="581">
                  <c:v>43360</c:v>
                </c:pt>
                <c:pt idx="582">
                  <c:v>43357</c:v>
                </c:pt>
                <c:pt idx="583">
                  <c:v>43356</c:v>
                </c:pt>
                <c:pt idx="584">
                  <c:v>43355</c:v>
                </c:pt>
                <c:pt idx="585">
                  <c:v>43354</c:v>
                </c:pt>
                <c:pt idx="586">
                  <c:v>43353</c:v>
                </c:pt>
                <c:pt idx="587">
                  <c:v>43350</c:v>
                </c:pt>
                <c:pt idx="588">
                  <c:v>43349</c:v>
                </c:pt>
                <c:pt idx="589">
                  <c:v>43348</c:v>
                </c:pt>
                <c:pt idx="590">
                  <c:v>43347</c:v>
                </c:pt>
                <c:pt idx="591">
                  <c:v>43346</c:v>
                </c:pt>
                <c:pt idx="592">
                  <c:v>43343</c:v>
                </c:pt>
                <c:pt idx="593">
                  <c:v>43342</c:v>
                </c:pt>
                <c:pt idx="594">
                  <c:v>43341</c:v>
                </c:pt>
                <c:pt idx="595">
                  <c:v>43340</c:v>
                </c:pt>
                <c:pt idx="596">
                  <c:v>43339</c:v>
                </c:pt>
                <c:pt idx="597">
                  <c:v>43336</c:v>
                </c:pt>
                <c:pt idx="598">
                  <c:v>43335</c:v>
                </c:pt>
                <c:pt idx="599">
                  <c:v>43334</c:v>
                </c:pt>
                <c:pt idx="600">
                  <c:v>43333</c:v>
                </c:pt>
                <c:pt idx="601">
                  <c:v>43332</c:v>
                </c:pt>
                <c:pt idx="602">
                  <c:v>43329</c:v>
                </c:pt>
                <c:pt idx="603">
                  <c:v>43328</c:v>
                </c:pt>
                <c:pt idx="604">
                  <c:v>43327</c:v>
                </c:pt>
                <c:pt idx="605">
                  <c:v>43326</c:v>
                </c:pt>
                <c:pt idx="606">
                  <c:v>43325</c:v>
                </c:pt>
                <c:pt idx="607">
                  <c:v>43322</c:v>
                </c:pt>
                <c:pt idx="608">
                  <c:v>43321</c:v>
                </c:pt>
                <c:pt idx="609">
                  <c:v>43320</c:v>
                </c:pt>
                <c:pt idx="610">
                  <c:v>43319</c:v>
                </c:pt>
                <c:pt idx="611">
                  <c:v>43318</c:v>
                </c:pt>
                <c:pt idx="612">
                  <c:v>43315</c:v>
                </c:pt>
                <c:pt idx="613">
                  <c:v>43314</c:v>
                </c:pt>
                <c:pt idx="614">
                  <c:v>43313</c:v>
                </c:pt>
                <c:pt idx="615">
                  <c:v>43312</c:v>
                </c:pt>
                <c:pt idx="616">
                  <c:v>43311</c:v>
                </c:pt>
                <c:pt idx="617">
                  <c:v>43308</c:v>
                </c:pt>
                <c:pt idx="618">
                  <c:v>43307</c:v>
                </c:pt>
                <c:pt idx="619">
                  <c:v>43306</c:v>
                </c:pt>
                <c:pt idx="620">
                  <c:v>43305</c:v>
                </c:pt>
                <c:pt idx="621">
                  <c:v>43304</c:v>
                </c:pt>
                <c:pt idx="622">
                  <c:v>43301</c:v>
                </c:pt>
                <c:pt idx="623">
                  <c:v>43300</c:v>
                </c:pt>
                <c:pt idx="624">
                  <c:v>43299</c:v>
                </c:pt>
                <c:pt idx="625">
                  <c:v>43298</c:v>
                </c:pt>
                <c:pt idx="626">
                  <c:v>43297</c:v>
                </c:pt>
                <c:pt idx="627">
                  <c:v>43294</c:v>
                </c:pt>
                <c:pt idx="628">
                  <c:v>43293</c:v>
                </c:pt>
                <c:pt idx="629">
                  <c:v>43292</c:v>
                </c:pt>
                <c:pt idx="630">
                  <c:v>43291</c:v>
                </c:pt>
                <c:pt idx="631">
                  <c:v>43290</c:v>
                </c:pt>
                <c:pt idx="632">
                  <c:v>43287</c:v>
                </c:pt>
                <c:pt idx="633">
                  <c:v>43286</c:v>
                </c:pt>
                <c:pt idx="634">
                  <c:v>43285</c:v>
                </c:pt>
                <c:pt idx="635">
                  <c:v>43284</c:v>
                </c:pt>
                <c:pt idx="636">
                  <c:v>43283</c:v>
                </c:pt>
                <c:pt idx="637">
                  <c:v>43280</c:v>
                </c:pt>
                <c:pt idx="638">
                  <c:v>43279</c:v>
                </c:pt>
                <c:pt idx="639">
                  <c:v>43278</c:v>
                </c:pt>
                <c:pt idx="640">
                  <c:v>43277</c:v>
                </c:pt>
                <c:pt idx="641">
                  <c:v>43276</c:v>
                </c:pt>
                <c:pt idx="642">
                  <c:v>43273</c:v>
                </c:pt>
                <c:pt idx="643">
                  <c:v>43272</c:v>
                </c:pt>
                <c:pt idx="644">
                  <c:v>43271</c:v>
                </c:pt>
                <c:pt idx="645">
                  <c:v>43270</c:v>
                </c:pt>
                <c:pt idx="646">
                  <c:v>43269</c:v>
                </c:pt>
                <c:pt idx="647">
                  <c:v>43266</c:v>
                </c:pt>
                <c:pt idx="648">
                  <c:v>43265</c:v>
                </c:pt>
                <c:pt idx="649">
                  <c:v>43264</c:v>
                </c:pt>
                <c:pt idx="650">
                  <c:v>43262</c:v>
                </c:pt>
                <c:pt idx="651">
                  <c:v>43260</c:v>
                </c:pt>
                <c:pt idx="652">
                  <c:v>43259</c:v>
                </c:pt>
                <c:pt idx="653">
                  <c:v>43258</c:v>
                </c:pt>
                <c:pt idx="654">
                  <c:v>43257</c:v>
                </c:pt>
                <c:pt idx="655">
                  <c:v>43256</c:v>
                </c:pt>
                <c:pt idx="656">
                  <c:v>43255</c:v>
                </c:pt>
                <c:pt idx="657">
                  <c:v>43252</c:v>
                </c:pt>
                <c:pt idx="658">
                  <c:v>43251</c:v>
                </c:pt>
                <c:pt idx="659">
                  <c:v>43250</c:v>
                </c:pt>
                <c:pt idx="660">
                  <c:v>43249</c:v>
                </c:pt>
                <c:pt idx="661">
                  <c:v>43248</c:v>
                </c:pt>
                <c:pt idx="662">
                  <c:v>43245</c:v>
                </c:pt>
                <c:pt idx="663">
                  <c:v>43244</c:v>
                </c:pt>
                <c:pt idx="664">
                  <c:v>43243</c:v>
                </c:pt>
                <c:pt idx="665">
                  <c:v>43242</c:v>
                </c:pt>
                <c:pt idx="666">
                  <c:v>43241</c:v>
                </c:pt>
                <c:pt idx="667">
                  <c:v>43238</c:v>
                </c:pt>
                <c:pt idx="668">
                  <c:v>43237</c:v>
                </c:pt>
                <c:pt idx="669">
                  <c:v>43236</c:v>
                </c:pt>
                <c:pt idx="670">
                  <c:v>43235</c:v>
                </c:pt>
                <c:pt idx="671">
                  <c:v>43234</c:v>
                </c:pt>
                <c:pt idx="672">
                  <c:v>43231</c:v>
                </c:pt>
                <c:pt idx="673">
                  <c:v>43230</c:v>
                </c:pt>
                <c:pt idx="674">
                  <c:v>43228</c:v>
                </c:pt>
                <c:pt idx="675">
                  <c:v>43227</c:v>
                </c:pt>
                <c:pt idx="676">
                  <c:v>43224</c:v>
                </c:pt>
                <c:pt idx="677">
                  <c:v>43223</c:v>
                </c:pt>
                <c:pt idx="678">
                  <c:v>43222</c:v>
                </c:pt>
                <c:pt idx="679">
                  <c:v>43220</c:v>
                </c:pt>
                <c:pt idx="680">
                  <c:v>43218</c:v>
                </c:pt>
                <c:pt idx="681">
                  <c:v>43217</c:v>
                </c:pt>
                <c:pt idx="682">
                  <c:v>43216</c:v>
                </c:pt>
                <c:pt idx="683">
                  <c:v>43215</c:v>
                </c:pt>
                <c:pt idx="684">
                  <c:v>43214</c:v>
                </c:pt>
                <c:pt idx="685">
                  <c:v>43213</c:v>
                </c:pt>
                <c:pt idx="686">
                  <c:v>43210</c:v>
                </c:pt>
                <c:pt idx="687">
                  <c:v>43209</c:v>
                </c:pt>
                <c:pt idx="688">
                  <c:v>43208</c:v>
                </c:pt>
                <c:pt idx="689">
                  <c:v>43207</c:v>
                </c:pt>
                <c:pt idx="690">
                  <c:v>43206</c:v>
                </c:pt>
                <c:pt idx="691">
                  <c:v>43203</c:v>
                </c:pt>
                <c:pt idx="692">
                  <c:v>43202</c:v>
                </c:pt>
                <c:pt idx="693">
                  <c:v>43201</c:v>
                </c:pt>
                <c:pt idx="694">
                  <c:v>43200</c:v>
                </c:pt>
                <c:pt idx="695">
                  <c:v>43199</c:v>
                </c:pt>
                <c:pt idx="696">
                  <c:v>43196</c:v>
                </c:pt>
                <c:pt idx="697">
                  <c:v>43195</c:v>
                </c:pt>
                <c:pt idx="698">
                  <c:v>43194</c:v>
                </c:pt>
                <c:pt idx="699">
                  <c:v>43193</c:v>
                </c:pt>
                <c:pt idx="700">
                  <c:v>43192</c:v>
                </c:pt>
                <c:pt idx="701">
                  <c:v>43189</c:v>
                </c:pt>
                <c:pt idx="702">
                  <c:v>43188</c:v>
                </c:pt>
                <c:pt idx="703">
                  <c:v>43187</c:v>
                </c:pt>
                <c:pt idx="704">
                  <c:v>43186</c:v>
                </c:pt>
                <c:pt idx="705">
                  <c:v>43185</c:v>
                </c:pt>
                <c:pt idx="706">
                  <c:v>43182</c:v>
                </c:pt>
                <c:pt idx="707">
                  <c:v>43181</c:v>
                </c:pt>
                <c:pt idx="708">
                  <c:v>43180</c:v>
                </c:pt>
                <c:pt idx="709">
                  <c:v>43179</c:v>
                </c:pt>
                <c:pt idx="710">
                  <c:v>43178</c:v>
                </c:pt>
                <c:pt idx="711">
                  <c:v>43175</c:v>
                </c:pt>
                <c:pt idx="712">
                  <c:v>43174</c:v>
                </c:pt>
                <c:pt idx="713">
                  <c:v>43173</c:v>
                </c:pt>
                <c:pt idx="714">
                  <c:v>43172</c:v>
                </c:pt>
              </c:numCache>
            </c:numRef>
          </c:cat>
          <c:val>
            <c:numRef>
              <c:f>t!$J$3:$J$717</c:f>
              <c:numCache>
                <c:formatCode>0.00</c:formatCode>
                <c:ptCount val="715"/>
                <c:pt idx="0">
                  <c:v>8.7370797720797668</c:v>
                </c:pt>
                <c:pt idx="1">
                  <c:v>8.394501424501442</c:v>
                </c:pt>
                <c:pt idx="2">
                  <c:v>8.1583760683761</c:v>
                </c:pt>
                <c:pt idx="3">
                  <c:v>9.2574786324786373</c:v>
                </c:pt>
                <c:pt idx="4">
                  <c:v>9.4674501424501898</c:v>
                </c:pt>
                <c:pt idx="5">
                  <c:v>9.5422008547008943</c:v>
                </c:pt>
                <c:pt idx="6">
                  <c:v>9.2169230769230808</c:v>
                </c:pt>
                <c:pt idx="7">
                  <c:v>9.371175213675258</c:v>
                </c:pt>
                <c:pt idx="8">
                  <c:v>9.1725997150996932</c:v>
                </c:pt>
                <c:pt idx="9">
                  <c:v>8.9067165242165629</c:v>
                </c:pt>
                <c:pt idx="10">
                  <c:v>8.6288817663817952</c:v>
                </c:pt>
                <c:pt idx="11">
                  <c:v>8.3814529914530453</c:v>
                </c:pt>
                <c:pt idx="12">
                  <c:v>7.4265598290598689</c:v>
                </c:pt>
                <c:pt idx="13">
                  <c:v>7.694437321937329</c:v>
                </c:pt>
                <c:pt idx="14">
                  <c:v>7.4611253561253363</c:v>
                </c:pt>
                <c:pt idx="15">
                  <c:v>6.3064529914529999</c:v>
                </c:pt>
                <c:pt idx="16">
                  <c:v>5.362656695156744</c:v>
                </c:pt>
                <c:pt idx="17">
                  <c:v>5.310320512820482</c:v>
                </c:pt>
                <c:pt idx="18">
                  <c:v>5.6685612535611938</c:v>
                </c:pt>
                <c:pt idx="19">
                  <c:v>5.3828561253560849</c:v>
                </c:pt>
                <c:pt idx="20">
                  <c:v>5.7938176638176628</c:v>
                </c:pt>
                <c:pt idx="21">
                  <c:v>6.6047150997150936</c:v>
                </c:pt>
                <c:pt idx="22">
                  <c:v>7.4586396011395948</c:v>
                </c:pt>
                <c:pt idx="23">
                  <c:v>8.0476424501424617</c:v>
                </c:pt>
                <c:pt idx="24">
                  <c:v>8.7159116809116597</c:v>
                </c:pt>
                <c:pt idx="25">
                  <c:v>9.6496153846153447</c:v>
                </c:pt>
                <c:pt idx="26">
                  <c:v>10.257763532763477</c:v>
                </c:pt>
                <c:pt idx="27">
                  <c:v>10.352948717948664</c:v>
                </c:pt>
                <c:pt idx="28">
                  <c:v>10.6315099715099</c:v>
                </c:pt>
                <c:pt idx="29">
                  <c:v>10.284152421652408</c:v>
                </c:pt>
                <c:pt idx="30">
                  <c:v>10.272200854700799</c:v>
                </c:pt>
                <c:pt idx="31">
                  <c:v>9.7787250712250398</c:v>
                </c:pt>
                <c:pt idx="32">
                  <c:v>8.8417735042735046</c:v>
                </c:pt>
                <c:pt idx="33">
                  <c:v>7.9298575498575019</c:v>
                </c:pt>
                <c:pt idx="34">
                  <c:v>7.01462962962961</c:v>
                </c:pt>
                <c:pt idx="35">
                  <c:v>5.8522364672364517</c:v>
                </c:pt>
                <c:pt idx="36">
                  <c:v>4.0865811965811929</c:v>
                </c:pt>
                <c:pt idx="37">
                  <c:v>3.0023219373219092</c:v>
                </c:pt>
                <c:pt idx="38">
                  <c:v>1.0516666666666197</c:v>
                </c:pt>
                <c:pt idx="39">
                  <c:v>-0.59512108262106267</c:v>
                </c:pt>
                <c:pt idx="40">
                  <c:v>-1.4867307692307463</c:v>
                </c:pt>
                <c:pt idx="41">
                  <c:v>-1.6927492877492796</c:v>
                </c:pt>
                <c:pt idx="42">
                  <c:v>-2.3318732193732501</c:v>
                </c:pt>
                <c:pt idx="43">
                  <c:v>-3.0920299145299168</c:v>
                </c:pt>
                <c:pt idx="44">
                  <c:v>-3.2556695156694957</c:v>
                </c:pt>
                <c:pt idx="45">
                  <c:v>-3.7465669515669049</c:v>
                </c:pt>
                <c:pt idx="46">
                  <c:v>-4.2249074074073576</c:v>
                </c:pt>
                <c:pt idx="47">
                  <c:v>-4.4075569800569667</c:v>
                </c:pt>
                <c:pt idx="48">
                  <c:v>-4.0079415954415651</c:v>
                </c:pt>
                <c:pt idx="49">
                  <c:v>-4.2450569800569724</c:v>
                </c:pt>
                <c:pt idx="50">
                  <c:v>-3.692941595441539</c:v>
                </c:pt>
                <c:pt idx="51">
                  <c:v>-3.549237891737846</c:v>
                </c:pt>
                <c:pt idx="52">
                  <c:v>-3.6448789173788896</c:v>
                </c:pt>
                <c:pt idx="53">
                  <c:v>-4.0640740740740569</c:v>
                </c:pt>
                <c:pt idx="54">
                  <c:v>-4.3478205128205047</c:v>
                </c:pt>
                <c:pt idx="55">
                  <c:v>-4.3690811965811918</c:v>
                </c:pt>
                <c:pt idx="56">
                  <c:v>-4.8107478632478546</c:v>
                </c:pt>
                <c:pt idx="57">
                  <c:v>-4.9565740740741262</c:v>
                </c:pt>
                <c:pt idx="58">
                  <c:v>-4.6302421652421799</c:v>
                </c:pt>
                <c:pt idx="59">
                  <c:v>-4.5546153846154027</c:v>
                </c:pt>
                <c:pt idx="60">
                  <c:v>-4.4395441595441696</c:v>
                </c:pt>
                <c:pt idx="61">
                  <c:v>-4.0839458689458183</c:v>
                </c:pt>
                <c:pt idx="62">
                  <c:v>-4.2585470085470547</c:v>
                </c:pt>
                <c:pt idx="63">
                  <c:v>-3.947656695156752</c:v>
                </c:pt>
                <c:pt idx="64">
                  <c:v>-3.5850997150997443</c:v>
                </c:pt>
                <c:pt idx="65">
                  <c:v>-3.2752706552706741</c:v>
                </c:pt>
                <c:pt idx="66">
                  <c:v>-2.9588105413105836</c:v>
                </c:pt>
                <c:pt idx="67">
                  <c:v>-2.5537535612535294</c:v>
                </c:pt>
                <c:pt idx="68">
                  <c:v>-2.2048433048432798</c:v>
                </c:pt>
                <c:pt idx="69">
                  <c:v>-1.7846011396011079</c:v>
                </c:pt>
                <c:pt idx="70">
                  <c:v>-1.6674928774928333</c:v>
                </c:pt>
                <c:pt idx="71">
                  <c:v>-1.6553917378917333</c:v>
                </c:pt>
                <c:pt idx="72">
                  <c:v>-1.9176424501424663</c:v>
                </c:pt>
                <c:pt idx="73">
                  <c:v>-2.3559615384615711</c:v>
                </c:pt>
                <c:pt idx="74">
                  <c:v>-2.7605056980057157</c:v>
                </c:pt>
                <c:pt idx="75">
                  <c:v>-3.0717877492877221</c:v>
                </c:pt>
                <c:pt idx="76">
                  <c:v>-3.5874643874643937</c:v>
                </c:pt>
                <c:pt idx="77">
                  <c:v>-3.6599430199430003</c:v>
                </c:pt>
                <c:pt idx="78">
                  <c:v>-3.875662393162429</c:v>
                </c:pt>
                <c:pt idx="79">
                  <c:v>-4.2211039886039998</c:v>
                </c:pt>
                <c:pt idx="80">
                  <c:v>-4.6920655270655232</c:v>
                </c:pt>
                <c:pt idx="81">
                  <c:v>-5.160754985754977</c:v>
                </c:pt>
                <c:pt idx="82">
                  <c:v>-5.0432834757834257</c:v>
                </c:pt>
                <c:pt idx="83">
                  <c:v>-5.1098290598290532</c:v>
                </c:pt>
                <c:pt idx="84">
                  <c:v>-4.7873717948716887</c:v>
                </c:pt>
                <c:pt idx="85">
                  <c:v>-4.2434188034187628</c:v>
                </c:pt>
                <c:pt idx="86">
                  <c:v>-3.4812962962962501</c:v>
                </c:pt>
                <c:pt idx="87">
                  <c:v>-2.7799358974359052</c:v>
                </c:pt>
                <c:pt idx="88">
                  <c:v>-2.2345299145299009</c:v>
                </c:pt>
                <c:pt idx="89">
                  <c:v>-1.4199501424501477</c:v>
                </c:pt>
                <c:pt idx="90">
                  <c:v>-0.72178774928778466</c:v>
                </c:pt>
                <c:pt idx="91">
                  <c:v>-0.39958689458683239</c:v>
                </c:pt>
                <c:pt idx="92">
                  <c:v>0.49210113960117496</c:v>
                </c:pt>
                <c:pt idx="93">
                  <c:v>1.2604487179487478</c:v>
                </c:pt>
                <c:pt idx="94">
                  <c:v>1.7612891737892085</c:v>
                </c:pt>
                <c:pt idx="95">
                  <c:v>1.7036111111111438</c:v>
                </c:pt>
                <c:pt idx="96">
                  <c:v>1.7653774928774908</c:v>
                </c:pt>
                <c:pt idx="97">
                  <c:v>1.784928774928801</c:v>
                </c:pt>
                <c:pt idx="98">
                  <c:v>2.349131054131135</c:v>
                </c:pt>
                <c:pt idx="99">
                  <c:v>2.4437606837607291</c:v>
                </c:pt>
                <c:pt idx="100">
                  <c:v>1.9730626780626608</c:v>
                </c:pt>
                <c:pt idx="101">
                  <c:v>1.2506623931623722</c:v>
                </c:pt>
                <c:pt idx="102">
                  <c:v>0.50548433048430752</c:v>
                </c:pt>
                <c:pt idx="103">
                  <c:v>-0.2297008547008943</c:v>
                </c:pt>
                <c:pt idx="104">
                  <c:v>-1.2372222222222149</c:v>
                </c:pt>
                <c:pt idx="105">
                  <c:v>-2.2161609686609722</c:v>
                </c:pt>
                <c:pt idx="106">
                  <c:v>-3.0418376068376176</c:v>
                </c:pt>
                <c:pt idx="107">
                  <c:v>-3.629893162393131</c:v>
                </c:pt>
                <c:pt idx="108">
                  <c:v>-3.7754344729344496</c:v>
                </c:pt>
                <c:pt idx="109">
                  <c:v>-4.1171367521367301</c:v>
                </c:pt>
                <c:pt idx="110">
                  <c:v>-4.9517450142449775</c:v>
                </c:pt>
                <c:pt idx="111">
                  <c:v>-5.1792094017093575</c:v>
                </c:pt>
                <c:pt idx="112">
                  <c:v>-5.5875712250712297</c:v>
                </c:pt>
                <c:pt idx="113">
                  <c:v>-6.0523219373218922</c:v>
                </c:pt>
                <c:pt idx="114">
                  <c:v>-5.5174501424501159</c:v>
                </c:pt>
                <c:pt idx="115">
                  <c:v>-5.1682264957265716</c:v>
                </c:pt>
                <c:pt idx="116">
                  <c:v>-4.2464886039886096</c:v>
                </c:pt>
                <c:pt idx="117">
                  <c:v>-3.5825783475783624</c:v>
                </c:pt>
                <c:pt idx="118">
                  <c:v>-2.9314672364672276</c:v>
                </c:pt>
                <c:pt idx="119">
                  <c:v>-2.1381980056979728</c:v>
                </c:pt>
                <c:pt idx="120">
                  <c:v>-1.6038532763532487</c:v>
                </c:pt>
                <c:pt idx="121">
                  <c:v>-1.2761894586894584</c:v>
                </c:pt>
                <c:pt idx="122">
                  <c:v>-1.6710897435897323</c:v>
                </c:pt>
                <c:pt idx="123">
                  <c:v>-1.817542735042764</c:v>
                </c:pt>
                <c:pt idx="124">
                  <c:v>-1.5738390313390767</c:v>
                </c:pt>
                <c:pt idx="125">
                  <c:v>-0.59567663817662719</c:v>
                </c:pt>
                <c:pt idx="126">
                  <c:v>-1.0361680911681503</c:v>
                </c:pt>
                <c:pt idx="127">
                  <c:v>-0.90279914529918415</c:v>
                </c:pt>
                <c:pt idx="128">
                  <c:v>-1.4116025641026226</c:v>
                </c:pt>
                <c:pt idx="129">
                  <c:v>-1.5477207977208423</c:v>
                </c:pt>
                <c:pt idx="130">
                  <c:v>-2.2263888888889198</c:v>
                </c:pt>
                <c:pt idx="131">
                  <c:v>-2.0975000000000534</c:v>
                </c:pt>
                <c:pt idx="132">
                  <c:v>-2.4483404558404231</c:v>
                </c:pt>
                <c:pt idx="133">
                  <c:v>-2.8255056980056281</c:v>
                </c:pt>
                <c:pt idx="134">
                  <c:v>-2.7668162393161992</c:v>
                </c:pt>
                <c:pt idx="135">
                  <c:v>-1.9679415954415447</c:v>
                </c:pt>
                <c:pt idx="136">
                  <c:v>-1.8327421652421663</c:v>
                </c:pt>
                <c:pt idx="137">
                  <c:v>-1.0954985754985671</c:v>
                </c:pt>
                <c:pt idx="138">
                  <c:v>-0.13705128205128858</c:v>
                </c:pt>
                <c:pt idx="139">
                  <c:v>0.6791951566951866</c:v>
                </c:pt>
                <c:pt idx="140">
                  <c:v>2.1356908831909607</c:v>
                </c:pt>
                <c:pt idx="141">
                  <c:v>2.7593518518518465</c:v>
                </c:pt>
                <c:pt idx="142">
                  <c:v>3.6340669515669504</c:v>
                </c:pt>
                <c:pt idx="143">
                  <c:v>4.3553418803418538</c:v>
                </c:pt>
                <c:pt idx="144">
                  <c:v>4.5662037037037067</c:v>
                </c:pt>
                <c:pt idx="145">
                  <c:v>5.0608262108262068</c:v>
                </c:pt>
                <c:pt idx="146">
                  <c:v>5.7089743589743307</c:v>
                </c:pt>
                <c:pt idx="147">
                  <c:v>6.2308974358974183</c:v>
                </c:pt>
                <c:pt idx="148">
                  <c:v>6.0252920227920299</c:v>
                </c:pt>
                <c:pt idx="149">
                  <c:v>5.5529629629629937</c:v>
                </c:pt>
                <c:pt idx="150">
                  <c:v>5.499351851851884</c:v>
                </c:pt>
                <c:pt idx="151">
                  <c:v>6.0493803418803225</c:v>
                </c:pt>
                <c:pt idx="152">
                  <c:v>5.2692094017094178</c:v>
                </c:pt>
                <c:pt idx="153">
                  <c:v>4.2037678062678197</c:v>
                </c:pt>
                <c:pt idx="154">
                  <c:v>3.6265384615385017</c:v>
                </c:pt>
                <c:pt idx="155">
                  <c:v>2.9115598290598541</c:v>
                </c:pt>
                <c:pt idx="156">
                  <c:v>2.3920655270655686</c:v>
                </c:pt>
                <c:pt idx="157">
                  <c:v>2.2577706552707184</c:v>
                </c:pt>
                <c:pt idx="158">
                  <c:v>1.9837606837606927</c:v>
                </c:pt>
                <c:pt idx="159">
                  <c:v>1.4617521367521533</c:v>
                </c:pt>
                <c:pt idx="160">
                  <c:v>1.3371296296296293</c:v>
                </c:pt>
                <c:pt idx="161">
                  <c:v>1.0967735042735001</c:v>
                </c:pt>
                <c:pt idx="162">
                  <c:v>0.58769943019945003</c:v>
                </c:pt>
                <c:pt idx="163">
                  <c:v>0.44092592592588176</c:v>
                </c:pt>
                <c:pt idx="164">
                  <c:v>-0.58849002848998566</c:v>
                </c:pt>
                <c:pt idx="165">
                  <c:v>-0.6741168091168106</c:v>
                </c:pt>
                <c:pt idx="166">
                  <c:v>-0.7801139601139937</c:v>
                </c:pt>
                <c:pt idx="167">
                  <c:v>-0.50190170940174994</c:v>
                </c:pt>
                <c:pt idx="168">
                  <c:v>-0.44467236467238536</c:v>
                </c:pt>
                <c:pt idx="169">
                  <c:v>-0.45710826210833488</c:v>
                </c:pt>
                <c:pt idx="170">
                  <c:v>-0.22723646723650859</c:v>
                </c:pt>
                <c:pt idx="171">
                  <c:v>0.21882478632477387</c:v>
                </c:pt>
                <c:pt idx="172">
                  <c:v>2.5876068376049943E-2</c:v>
                </c:pt>
                <c:pt idx="173">
                  <c:v>0.41622507122505681</c:v>
                </c:pt>
                <c:pt idx="174">
                  <c:v>1.0817022792023181</c:v>
                </c:pt>
                <c:pt idx="175">
                  <c:v>0.81130341880347601</c:v>
                </c:pt>
                <c:pt idx="176">
                  <c:v>1.5993945868945616</c:v>
                </c:pt>
                <c:pt idx="177">
                  <c:v>2.4441025641025362</c:v>
                </c:pt>
                <c:pt idx="178">
                  <c:v>3.6744017094017067</c:v>
                </c:pt>
                <c:pt idx="179">
                  <c:v>4.6178276353276146</c:v>
                </c:pt>
                <c:pt idx="180">
                  <c:v>5.057984330484345</c:v>
                </c:pt>
                <c:pt idx="181">
                  <c:v>6.3911253561254</c:v>
                </c:pt>
                <c:pt idx="182">
                  <c:v>7.124038461538504</c:v>
                </c:pt>
                <c:pt idx="183">
                  <c:v>7.5140384615385187</c:v>
                </c:pt>
                <c:pt idx="184">
                  <c:v>7.743233618233603</c:v>
                </c:pt>
                <c:pt idx="185">
                  <c:v>8.1318589743590053</c:v>
                </c:pt>
                <c:pt idx="186">
                  <c:v>6.9339458689458979</c:v>
                </c:pt>
                <c:pt idx="187">
                  <c:v>6.4305484330484717</c:v>
                </c:pt>
                <c:pt idx="188">
                  <c:v>5.4619729344729251</c:v>
                </c:pt>
                <c:pt idx="189">
                  <c:v>4.0886894586894869</c:v>
                </c:pt>
                <c:pt idx="190">
                  <c:v>1.8754273504273442</c:v>
                </c:pt>
                <c:pt idx="191">
                  <c:v>0.40393162393161219</c:v>
                </c:pt>
                <c:pt idx="192">
                  <c:v>-1.8086182336182333</c:v>
                </c:pt>
                <c:pt idx="193">
                  <c:v>-4.924594017094023</c:v>
                </c:pt>
                <c:pt idx="194">
                  <c:v>-8.2349358974359461</c:v>
                </c:pt>
                <c:pt idx="195">
                  <c:v>-10.822407407407468</c:v>
                </c:pt>
                <c:pt idx="196">
                  <c:v>-14.192656695156728</c:v>
                </c:pt>
                <c:pt idx="197">
                  <c:v>-17.218703703703738</c:v>
                </c:pt>
                <c:pt idx="198">
                  <c:v>-18.828767806267763</c:v>
                </c:pt>
                <c:pt idx="199">
                  <c:v>-21.533611111111099</c:v>
                </c:pt>
                <c:pt idx="200">
                  <c:v>-23.006595441595408</c:v>
                </c:pt>
                <c:pt idx="201">
                  <c:v>-24.33868233618233</c:v>
                </c:pt>
                <c:pt idx="202">
                  <c:v>-23.957435897435886</c:v>
                </c:pt>
                <c:pt idx="203">
                  <c:v>-24.367421652421683</c:v>
                </c:pt>
                <c:pt idx="204">
                  <c:v>-25.118746438746371</c:v>
                </c:pt>
                <c:pt idx="205">
                  <c:v>-24.741175213675206</c:v>
                </c:pt>
                <c:pt idx="206">
                  <c:v>-23.387656695156636</c:v>
                </c:pt>
                <c:pt idx="207">
                  <c:v>-21.844088319088257</c:v>
                </c:pt>
                <c:pt idx="208">
                  <c:v>-20.195954415954418</c:v>
                </c:pt>
                <c:pt idx="209">
                  <c:v>-16.995933048433074</c:v>
                </c:pt>
                <c:pt idx="210">
                  <c:v>-14.613048433048476</c:v>
                </c:pt>
                <c:pt idx="211">
                  <c:v>-11.096780626780657</c:v>
                </c:pt>
                <c:pt idx="212">
                  <c:v>-8.9001780626780942</c:v>
                </c:pt>
                <c:pt idx="213">
                  <c:v>-7.5374643874644107</c:v>
                </c:pt>
                <c:pt idx="214">
                  <c:v>-6.2302991452991421</c:v>
                </c:pt>
                <c:pt idx="215">
                  <c:v>-5.4831267806267761</c:v>
                </c:pt>
                <c:pt idx="216">
                  <c:v>-3.84980056980055</c:v>
                </c:pt>
                <c:pt idx="217">
                  <c:v>-2.0802492877492682</c:v>
                </c:pt>
                <c:pt idx="218">
                  <c:v>-2.22204415954414</c:v>
                </c:pt>
                <c:pt idx="219">
                  <c:v>-2.9451994301994091</c:v>
                </c:pt>
                <c:pt idx="220">
                  <c:v>-2.9824928774929163</c:v>
                </c:pt>
                <c:pt idx="221">
                  <c:v>-3.5283333333333644</c:v>
                </c:pt>
                <c:pt idx="222">
                  <c:v>-4.6275498575498659</c:v>
                </c:pt>
                <c:pt idx="223">
                  <c:v>-5.6842022792023386</c:v>
                </c:pt>
                <c:pt idx="224">
                  <c:v>-6.4407549857550066</c:v>
                </c:pt>
                <c:pt idx="225">
                  <c:v>-7.3433760683761022</c:v>
                </c:pt>
                <c:pt idx="226">
                  <c:v>-8.0630341880341803</c:v>
                </c:pt>
                <c:pt idx="227">
                  <c:v>-8.3954344729344825</c:v>
                </c:pt>
                <c:pt idx="228">
                  <c:v>-9.8829629629629778</c:v>
                </c:pt>
                <c:pt idx="229">
                  <c:v>-11.185277777777799</c:v>
                </c:pt>
                <c:pt idx="230">
                  <c:v>-10.990249287749236</c:v>
                </c:pt>
                <c:pt idx="231">
                  <c:v>-10.467279202279144</c:v>
                </c:pt>
                <c:pt idx="232">
                  <c:v>-9.6584829059828508</c:v>
                </c:pt>
                <c:pt idx="233">
                  <c:v>-9.0830982905982296</c:v>
                </c:pt>
                <c:pt idx="234">
                  <c:v>-8.4240598290597859</c:v>
                </c:pt>
                <c:pt idx="235">
                  <c:v>-7.5963532763533408</c:v>
                </c:pt>
                <c:pt idx="236">
                  <c:v>-6.5020797720797816</c:v>
                </c:pt>
                <c:pt idx="237">
                  <c:v>-5.8698361823361438</c:v>
                </c:pt>
                <c:pt idx="238">
                  <c:v>-4.9424857549856824</c:v>
                </c:pt>
                <c:pt idx="239">
                  <c:v>-4.6802920227920026</c:v>
                </c:pt>
                <c:pt idx="240">
                  <c:v>-3.1989743589743682</c:v>
                </c:pt>
                <c:pt idx="241">
                  <c:v>-2.2446581196581121</c:v>
                </c:pt>
                <c:pt idx="242">
                  <c:v>-0.72446581196578563</c:v>
                </c:pt>
                <c:pt idx="243">
                  <c:v>0.46127492877496934</c:v>
                </c:pt>
                <c:pt idx="244">
                  <c:v>0.95928774928779603</c:v>
                </c:pt>
                <c:pt idx="245">
                  <c:v>1.5355484330484899</c:v>
                </c:pt>
                <c:pt idx="246">
                  <c:v>1.6236752136752557</c:v>
                </c:pt>
                <c:pt idx="247">
                  <c:v>1.597670940170957</c:v>
                </c:pt>
                <c:pt idx="248">
                  <c:v>1.8300997150997773</c:v>
                </c:pt>
                <c:pt idx="249">
                  <c:v>2.376039886039905</c:v>
                </c:pt>
                <c:pt idx="250">
                  <c:v>2.5991880341879892</c:v>
                </c:pt>
                <c:pt idx="251">
                  <c:v>2.5361823361822928</c:v>
                </c:pt>
                <c:pt idx="252">
                  <c:v>2.4798575498575701</c:v>
                </c:pt>
                <c:pt idx="253">
                  <c:v>2.3444301994301782</c:v>
                </c:pt>
                <c:pt idx="254">
                  <c:v>2.2238247863247409</c:v>
                </c:pt>
                <c:pt idx="255">
                  <c:v>1.4818732193731989</c:v>
                </c:pt>
                <c:pt idx="256">
                  <c:v>1.2781267806267635</c:v>
                </c:pt>
                <c:pt idx="257">
                  <c:v>0.44739316239309801</c:v>
                </c:pt>
                <c:pt idx="258">
                  <c:v>8.9131054131030396E-2</c:v>
                </c:pt>
                <c:pt idx="259">
                  <c:v>8.4138176638191453E-2</c:v>
                </c:pt>
                <c:pt idx="260">
                  <c:v>-9.1360398860416581E-2</c:v>
                </c:pt>
                <c:pt idx="261">
                  <c:v>-0.41177350427355464</c:v>
                </c:pt>
                <c:pt idx="262">
                  <c:v>-0.94712250712248647</c:v>
                </c:pt>
                <c:pt idx="263">
                  <c:v>-1.2148219373220002</c:v>
                </c:pt>
                <c:pt idx="264">
                  <c:v>-1.171830484330485</c:v>
                </c:pt>
                <c:pt idx="265">
                  <c:v>-1.1833903133903618</c:v>
                </c:pt>
                <c:pt idx="266">
                  <c:v>-1.6004700854701071</c:v>
                </c:pt>
                <c:pt idx="267">
                  <c:v>-1.9691524216523533</c:v>
                </c:pt>
                <c:pt idx="268">
                  <c:v>-2.5590384615383641</c:v>
                </c:pt>
                <c:pt idx="269">
                  <c:v>-2.5975997150997046</c:v>
                </c:pt>
                <c:pt idx="270">
                  <c:v>-2.6965954415953775</c:v>
                </c:pt>
                <c:pt idx="271">
                  <c:v>-2.7700213675213377</c:v>
                </c:pt>
                <c:pt idx="272">
                  <c:v>-3.3656837606837939</c:v>
                </c:pt>
                <c:pt idx="273">
                  <c:v>-3.2843518518518522</c:v>
                </c:pt>
                <c:pt idx="274">
                  <c:v>-3.3988247863247523</c:v>
                </c:pt>
                <c:pt idx="275">
                  <c:v>-2.8615313390313304</c:v>
                </c:pt>
                <c:pt idx="276">
                  <c:v>-2.6257122507122972</c:v>
                </c:pt>
                <c:pt idx="277">
                  <c:v>-2.5528774928774851</c:v>
                </c:pt>
                <c:pt idx="278">
                  <c:v>-1.6686680911680867</c:v>
                </c:pt>
                <c:pt idx="279">
                  <c:v>-0.29807692307693401</c:v>
                </c:pt>
                <c:pt idx="280">
                  <c:v>1.5697293447293816</c:v>
                </c:pt>
                <c:pt idx="281">
                  <c:v>3.3780911680912027</c:v>
                </c:pt>
                <c:pt idx="282">
                  <c:v>5.4883689458690128</c:v>
                </c:pt>
                <c:pt idx="283">
                  <c:v>6.6013675213675072</c:v>
                </c:pt>
                <c:pt idx="284">
                  <c:v>8.4990384615384755</c:v>
                </c:pt>
                <c:pt idx="285">
                  <c:v>9.9311538461538476</c:v>
                </c:pt>
                <c:pt idx="286">
                  <c:v>11.939964387464471</c:v>
                </c:pt>
                <c:pt idx="287">
                  <c:v>13.209458689458671</c:v>
                </c:pt>
                <c:pt idx="288">
                  <c:v>14.102948717948721</c:v>
                </c:pt>
                <c:pt idx="289">
                  <c:v>15.084779202279236</c:v>
                </c:pt>
                <c:pt idx="290">
                  <c:v>15.664985754985764</c:v>
                </c:pt>
                <c:pt idx="291">
                  <c:v>15.733646723646729</c:v>
                </c:pt>
                <c:pt idx="292">
                  <c:v>15.461225071225101</c:v>
                </c:pt>
                <c:pt idx="293">
                  <c:v>13.761495726495696</c:v>
                </c:pt>
                <c:pt idx="294">
                  <c:v>12.158376068376072</c:v>
                </c:pt>
                <c:pt idx="295">
                  <c:v>10.963917378917387</c:v>
                </c:pt>
                <c:pt idx="296">
                  <c:v>9.249964387464388</c:v>
                </c:pt>
                <c:pt idx="297">
                  <c:v>8.1044515669515533</c:v>
                </c:pt>
                <c:pt idx="298">
                  <c:v>6.1233974358974308</c:v>
                </c:pt>
                <c:pt idx="299">
                  <c:v>4.4249145299145312</c:v>
                </c:pt>
                <c:pt idx="300">
                  <c:v>3.7042022792022919</c:v>
                </c:pt>
                <c:pt idx="301">
                  <c:v>2.4006339031339223</c:v>
                </c:pt>
                <c:pt idx="302">
                  <c:v>0.69398148148144401</c:v>
                </c:pt>
                <c:pt idx="303">
                  <c:v>2.6431623931586046E-2</c:v>
                </c:pt>
                <c:pt idx="304">
                  <c:v>-1.4665455840455195</c:v>
                </c:pt>
                <c:pt idx="305">
                  <c:v>-2.0342378917378312</c:v>
                </c:pt>
                <c:pt idx="306">
                  <c:v>-2.51828347578342</c:v>
                </c:pt>
                <c:pt idx="307">
                  <c:v>-2.9004700854700616</c:v>
                </c:pt>
                <c:pt idx="308">
                  <c:v>-3.3517521367520828</c:v>
                </c:pt>
                <c:pt idx="309">
                  <c:v>-3.4546794871794475</c:v>
                </c:pt>
                <c:pt idx="310">
                  <c:v>-3.2267806267806236</c:v>
                </c:pt>
                <c:pt idx="311">
                  <c:v>-3.6947293447293532</c:v>
                </c:pt>
                <c:pt idx="312">
                  <c:v>-3.9023789173789396</c:v>
                </c:pt>
                <c:pt idx="313">
                  <c:v>-3.6737037037037226</c:v>
                </c:pt>
                <c:pt idx="314">
                  <c:v>-3.2860897435897698</c:v>
                </c:pt>
                <c:pt idx="315">
                  <c:v>-3.5738817663818168</c:v>
                </c:pt>
                <c:pt idx="316">
                  <c:v>-3.0379273504273954</c:v>
                </c:pt>
                <c:pt idx="317">
                  <c:v>-2.4506623931623892</c:v>
                </c:pt>
                <c:pt idx="318">
                  <c:v>-1.5458190883190639</c:v>
                </c:pt>
                <c:pt idx="319">
                  <c:v>-1.2549287749287714</c:v>
                </c:pt>
                <c:pt idx="320">
                  <c:v>-0.63752136752128763</c:v>
                </c:pt>
                <c:pt idx="321">
                  <c:v>-8.2706552706497405E-2</c:v>
                </c:pt>
                <c:pt idx="322">
                  <c:v>-0.26576210826203805</c:v>
                </c:pt>
                <c:pt idx="323">
                  <c:v>1.7941595441641311E-2</c:v>
                </c:pt>
                <c:pt idx="324">
                  <c:v>0.74096866096863323</c:v>
                </c:pt>
                <c:pt idx="325">
                  <c:v>1.3565527065526624</c:v>
                </c:pt>
                <c:pt idx="326">
                  <c:v>1.7141168091167742</c:v>
                </c:pt>
                <c:pt idx="327">
                  <c:v>2.1056980056979739</c:v>
                </c:pt>
                <c:pt idx="328">
                  <c:v>2.2579273504273374</c:v>
                </c:pt>
                <c:pt idx="329">
                  <c:v>2.3797435897435548</c:v>
                </c:pt>
                <c:pt idx="330">
                  <c:v>2.2466381766381858</c:v>
                </c:pt>
                <c:pt idx="331">
                  <c:v>2.0394301994301998</c:v>
                </c:pt>
                <c:pt idx="332">
                  <c:v>1.9850569800569815</c:v>
                </c:pt>
                <c:pt idx="333">
                  <c:v>1.680804843304827</c:v>
                </c:pt>
                <c:pt idx="334">
                  <c:v>1.9054131054130892</c:v>
                </c:pt>
                <c:pt idx="335">
                  <c:v>1.9271153846153766</c:v>
                </c:pt>
                <c:pt idx="336">
                  <c:v>1.8388319088319065</c:v>
                </c:pt>
                <c:pt idx="337">
                  <c:v>1.2889743589743432</c:v>
                </c:pt>
                <c:pt idx="338">
                  <c:v>0.46641737891738444</c:v>
                </c:pt>
                <c:pt idx="339">
                  <c:v>2.9529914529916823E-2</c:v>
                </c:pt>
                <c:pt idx="340">
                  <c:v>-0.5714102564102177</c:v>
                </c:pt>
                <c:pt idx="341">
                  <c:v>-0.37543447293444387</c:v>
                </c:pt>
                <c:pt idx="342">
                  <c:v>-0.23178062678061906</c:v>
                </c:pt>
                <c:pt idx="343">
                  <c:v>0.16920227920226694</c:v>
                </c:pt>
                <c:pt idx="344">
                  <c:v>0.88133903133902436</c:v>
                </c:pt>
                <c:pt idx="345">
                  <c:v>1.5395227920228365</c:v>
                </c:pt>
                <c:pt idx="346">
                  <c:v>2.0307621082621097</c:v>
                </c:pt>
                <c:pt idx="347">
                  <c:v>2.0127564102564293</c:v>
                </c:pt>
                <c:pt idx="348">
                  <c:v>1.259871794871799</c:v>
                </c:pt>
                <c:pt idx="349">
                  <c:v>0.31382478632477273</c:v>
                </c:pt>
                <c:pt idx="350">
                  <c:v>8.5826210826098759E-3</c:v>
                </c:pt>
                <c:pt idx="351">
                  <c:v>0.26185185185181581</c:v>
                </c:pt>
                <c:pt idx="352">
                  <c:v>0.13824074074071291</c:v>
                </c:pt>
                <c:pt idx="353">
                  <c:v>0.21666666666669698</c:v>
                </c:pt>
                <c:pt idx="354">
                  <c:v>-0.11019943019945799</c:v>
                </c:pt>
                <c:pt idx="355">
                  <c:v>-1.6604985754985933</c:v>
                </c:pt>
                <c:pt idx="356">
                  <c:v>-3.731396011396015</c:v>
                </c:pt>
                <c:pt idx="357">
                  <c:v>-5.7144159544160118</c:v>
                </c:pt>
                <c:pt idx="358">
                  <c:v>-7.2068447293447662</c:v>
                </c:pt>
                <c:pt idx="359">
                  <c:v>-8.8842236467237399</c:v>
                </c:pt>
                <c:pt idx="360">
                  <c:v>-9.2439743589743841</c:v>
                </c:pt>
                <c:pt idx="361">
                  <c:v>-9.4472079772079951</c:v>
                </c:pt>
                <c:pt idx="362">
                  <c:v>-8.9331695156695901</c:v>
                </c:pt>
                <c:pt idx="363">
                  <c:v>-8.5061752136752773</c:v>
                </c:pt>
                <c:pt idx="364">
                  <c:v>-7.7752920227920299</c:v>
                </c:pt>
                <c:pt idx="365">
                  <c:v>-6.9643732193732433</c:v>
                </c:pt>
                <c:pt idx="366">
                  <c:v>-6.9916096866097348</c:v>
                </c:pt>
                <c:pt idx="367">
                  <c:v>-5.8314743589743898</c:v>
                </c:pt>
                <c:pt idx="368">
                  <c:v>-3.5439601139601677</c:v>
                </c:pt>
                <c:pt idx="369">
                  <c:v>-1.6456267806268556</c:v>
                </c:pt>
                <c:pt idx="370">
                  <c:v>0.44826923076917069</c:v>
                </c:pt>
                <c:pt idx="371">
                  <c:v>2.4853062678062372</c:v>
                </c:pt>
                <c:pt idx="372">
                  <c:v>4.0453703703703354</c:v>
                </c:pt>
                <c:pt idx="373">
                  <c:v>6.8274430199429901</c:v>
                </c:pt>
                <c:pt idx="374">
                  <c:v>6.9123148148148061</c:v>
                </c:pt>
                <c:pt idx="375">
                  <c:v>7.0993518518517931</c:v>
                </c:pt>
                <c:pt idx="376">
                  <c:v>6.9122435897435537</c:v>
                </c:pt>
                <c:pt idx="377">
                  <c:v>6.6937464387464161</c:v>
                </c:pt>
                <c:pt idx="378">
                  <c:v>5.9568162393162538</c:v>
                </c:pt>
                <c:pt idx="379">
                  <c:v>5.5869159544159572</c:v>
                </c:pt>
                <c:pt idx="380">
                  <c:v>5.9103133903133198</c:v>
                </c:pt>
                <c:pt idx="381">
                  <c:v>6.5245940170939889</c:v>
                </c:pt>
                <c:pt idx="382">
                  <c:v>6.4478276353276271</c:v>
                </c:pt>
                <c:pt idx="383">
                  <c:v>6.1332905982905572</c:v>
                </c:pt>
                <c:pt idx="384">
                  <c:v>6.4750569800569622</c:v>
                </c:pt>
                <c:pt idx="385">
                  <c:v>5.9893162393161958</c:v>
                </c:pt>
                <c:pt idx="386">
                  <c:v>6.9948076923076599</c:v>
                </c:pt>
                <c:pt idx="387">
                  <c:v>7.8826282051281567</c:v>
                </c:pt>
                <c:pt idx="388">
                  <c:v>8.7690099715099734</c:v>
                </c:pt>
                <c:pt idx="389">
                  <c:v>9.929351851851834</c:v>
                </c:pt>
                <c:pt idx="390">
                  <c:v>10.55676638176638</c:v>
                </c:pt>
                <c:pt idx="391">
                  <c:v>12.098141025641041</c:v>
                </c:pt>
                <c:pt idx="392">
                  <c:v>13.830185185185144</c:v>
                </c:pt>
                <c:pt idx="393">
                  <c:v>15.053404558404537</c:v>
                </c:pt>
                <c:pt idx="394">
                  <c:v>15.966645299145313</c:v>
                </c:pt>
                <c:pt idx="395">
                  <c:v>16.862706552706584</c:v>
                </c:pt>
                <c:pt idx="396">
                  <c:v>17.492008547008567</c:v>
                </c:pt>
                <c:pt idx="397">
                  <c:v>17.991139601139594</c:v>
                </c:pt>
                <c:pt idx="398">
                  <c:v>18.07143874643873</c:v>
                </c:pt>
                <c:pt idx="399">
                  <c:v>18.669401709401768</c:v>
                </c:pt>
                <c:pt idx="400">
                  <c:v>19.535712250712265</c:v>
                </c:pt>
                <c:pt idx="401">
                  <c:v>20.157770655270667</c:v>
                </c:pt>
                <c:pt idx="402">
                  <c:v>20.567678062678056</c:v>
                </c:pt>
                <c:pt idx="403">
                  <c:v>21.312670940170932</c:v>
                </c:pt>
                <c:pt idx="404">
                  <c:v>20.039800569800491</c:v>
                </c:pt>
                <c:pt idx="405">
                  <c:v>20.38202991452988</c:v>
                </c:pt>
                <c:pt idx="406">
                  <c:v>20.02085470085467</c:v>
                </c:pt>
                <c:pt idx="407">
                  <c:v>18.175783475783504</c:v>
                </c:pt>
                <c:pt idx="408">
                  <c:v>17.106239316239339</c:v>
                </c:pt>
                <c:pt idx="409">
                  <c:v>15.467514245014286</c:v>
                </c:pt>
                <c:pt idx="410">
                  <c:v>14.479344729344746</c:v>
                </c:pt>
                <c:pt idx="411">
                  <c:v>13.157257834757871</c:v>
                </c:pt>
                <c:pt idx="412">
                  <c:v>11.930897435897435</c:v>
                </c:pt>
                <c:pt idx="413">
                  <c:v>10.176688034188089</c:v>
                </c:pt>
                <c:pt idx="414">
                  <c:v>8.7763532763532908</c:v>
                </c:pt>
                <c:pt idx="415">
                  <c:v>7.9039743589743807</c:v>
                </c:pt>
                <c:pt idx="416">
                  <c:v>5.9008547008546941</c:v>
                </c:pt>
                <c:pt idx="417">
                  <c:v>4.1854131054130903</c:v>
                </c:pt>
                <c:pt idx="418">
                  <c:v>1.1021225071224876</c:v>
                </c:pt>
                <c:pt idx="419">
                  <c:v>1.3239173789173719</c:v>
                </c:pt>
                <c:pt idx="420">
                  <c:v>1.6195940170940446</c:v>
                </c:pt>
                <c:pt idx="421">
                  <c:v>1.9220726495726694</c:v>
                </c:pt>
                <c:pt idx="422">
                  <c:v>2.3702920227920004</c:v>
                </c:pt>
                <c:pt idx="423">
                  <c:v>2.8875783475783408</c:v>
                </c:pt>
                <c:pt idx="424">
                  <c:v>3.1517307692307668</c:v>
                </c:pt>
                <c:pt idx="425">
                  <c:v>3.0105341880341712</c:v>
                </c:pt>
                <c:pt idx="426">
                  <c:v>3.0836039886039828</c:v>
                </c:pt>
                <c:pt idx="427">
                  <c:v>2.8490811965811815</c:v>
                </c:pt>
                <c:pt idx="428">
                  <c:v>3.0487535612535339</c:v>
                </c:pt>
                <c:pt idx="429">
                  <c:v>3.5029772079772385</c:v>
                </c:pt>
                <c:pt idx="430">
                  <c:v>3.8261752136752136</c:v>
                </c:pt>
                <c:pt idx="431">
                  <c:v>3.877300569800525</c:v>
                </c:pt>
                <c:pt idx="432">
                  <c:v>3.7964245014244966</c:v>
                </c:pt>
                <c:pt idx="433">
                  <c:v>3.6929487179486955</c:v>
                </c:pt>
                <c:pt idx="434">
                  <c:v>3.6928133903133755</c:v>
                </c:pt>
                <c:pt idx="435">
                  <c:v>3.3248290598290566</c:v>
                </c:pt>
                <c:pt idx="436">
                  <c:v>2.5012606837607052</c:v>
                </c:pt>
                <c:pt idx="437">
                  <c:v>2.2044871794871881</c:v>
                </c:pt>
                <c:pt idx="438">
                  <c:v>1.6145085470085121</c:v>
                </c:pt>
                <c:pt idx="439">
                  <c:v>1.6850213675213581</c:v>
                </c:pt>
                <c:pt idx="440">
                  <c:v>1.2259259259259636</c:v>
                </c:pt>
                <c:pt idx="441">
                  <c:v>0.52970797720794849</c:v>
                </c:pt>
                <c:pt idx="442">
                  <c:v>6.7364672364675471E-2</c:v>
                </c:pt>
                <c:pt idx="443">
                  <c:v>-8.1410256410094917E-3</c:v>
                </c:pt>
                <c:pt idx="444">
                  <c:v>-0.27303418803424506</c:v>
                </c:pt>
                <c:pt idx="445">
                  <c:v>-0.42775641025639288</c:v>
                </c:pt>
                <c:pt idx="446">
                  <c:v>-0.48345441595438388</c:v>
                </c:pt>
                <c:pt idx="447">
                  <c:v>-0.96970085470084655</c:v>
                </c:pt>
                <c:pt idx="448">
                  <c:v>-0.85164529914530362</c:v>
                </c:pt>
                <c:pt idx="449">
                  <c:v>-0.9179131054130778</c:v>
                </c:pt>
                <c:pt idx="450">
                  <c:v>-0.88625356125356802</c:v>
                </c:pt>
                <c:pt idx="451">
                  <c:v>-1.0199715099715547</c:v>
                </c:pt>
                <c:pt idx="452">
                  <c:v>-0.98714387464386277</c:v>
                </c:pt>
                <c:pt idx="453">
                  <c:v>-0.92904558404558202</c:v>
                </c:pt>
                <c:pt idx="454">
                  <c:v>-1.2313603988604029</c:v>
                </c:pt>
                <c:pt idx="455">
                  <c:v>-1.419893162393123</c:v>
                </c:pt>
                <c:pt idx="456">
                  <c:v>-1.2998148148147664</c:v>
                </c:pt>
                <c:pt idx="457">
                  <c:v>-1.5244729344729251</c:v>
                </c:pt>
                <c:pt idx="458">
                  <c:v>-1.9260826210825712</c:v>
                </c:pt>
                <c:pt idx="459">
                  <c:v>-2.1532763532763397</c:v>
                </c:pt>
                <c:pt idx="460">
                  <c:v>-2.5437749287749227</c:v>
                </c:pt>
                <c:pt idx="461">
                  <c:v>-2.8321225071225342</c:v>
                </c:pt>
                <c:pt idx="462">
                  <c:v>-3.0082122507122335</c:v>
                </c:pt>
                <c:pt idx="463">
                  <c:v>-3.1553133903134096</c:v>
                </c:pt>
                <c:pt idx="464">
                  <c:v>-3.3894515669515499</c:v>
                </c:pt>
                <c:pt idx="465">
                  <c:v>-3.1440384615384573</c:v>
                </c:pt>
                <c:pt idx="466">
                  <c:v>-3.2067378917378733</c:v>
                </c:pt>
                <c:pt idx="467">
                  <c:v>-2.9935612535612677</c:v>
                </c:pt>
                <c:pt idx="468">
                  <c:v>-2.9018732193731864</c:v>
                </c:pt>
                <c:pt idx="469">
                  <c:v>-2.7148148148148437</c:v>
                </c:pt>
                <c:pt idx="470">
                  <c:v>-2.5670655270654947</c:v>
                </c:pt>
                <c:pt idx="471">
                  <c:v>-2.3194230769230728</c:v>
                </c:pt>
                <c:pt idx="472">
                  <c:v>-1.8936752136752375</c:v>
                </c:pt>
                <c:pt idx="473">
                  <c:v>-1.1825569800570008</c:v>
                </c:pt>
                <c:pt idx="474">
                  <c:v>-0.72854700854705357</c:v>
                </c:pt>
                <c:pt idx="475">
                  <c:v>-0.11102564102566248</c:v>
                </c:pt>
                <c:pt idx="476">
                  <c:v>0.38500712250714741</c:v>
                </c:pt>
                <c:pt idx="477">
                  <c:v>0.48184472934471501</c:v>
                </c:pt>
                <c:pt idx="478">
                  <c:v>1.1792378917378983</c:v>
                </c:pt>
                <c:pt idx="479">
                  <c:v>1.6579629629629551</c:v>
                </c:pt>
                <c:pt idx="480">
                  <c:v>1.5679914529914356</c:v>
                </c:pt>
                <c:pt idx="481">
                  <c:v>1.6000498575497772</c:v>
                </c:pt>
                <c:pt idx="482">
                  <c:v>1.8785256410256181</c:v>
                </c:pt>
                <c:pt idx="483">
                  <c:v>2.2333903133903164</c:v>
                </c:pt>
                <c:pt idx="484">
                  <c:v>2.4163603988603768</c:v>
                </c:pt>
                <c:pt idx="485">
                  <c:v>2.5406125356125244</c:v>
                </c:pt>
                <c:pt idx="486">
                  <c:v>2.6974216524216388</c:v>
                </c:pt>
                <c:pt idx="487">
                  <c:v>2.6876709401709604</c:v>
                </c:pt>
                <c:pt idx="488">
                  <c:v>2.980854700854735</c:v>
                </c:pt>
                <c:pt idx="489">
                  <c:v>2.9060826210826178</c:v>
                </c:pt>
                <c:pt idx="490">
                  <c:v>2.932984330484345</c:v>
                </c:pt>
                <c:pt idx="491">
                  <c:v>3.3966452991453195</c:v>
                </c:pt>
                <c:pt idx="492">
                  <c:v>3.3924002849003045</c:v>
                </c:pt>
                <c:pt idx="493">
                  <c:v>3.3223433048432867</c:v>
                </c:pt>
                <c:pt idx="494">
                  <c:v>3.2792165242165652</c:v>
                </c:pt>
                <c:pt idx="495">
                  <c:v>3.203233618233611</c:v>
                </c:pt>
                <c:pt idx="496">
                  <c:v>2.9258831908832121</c:v>
                </c:pt>
                <c:pt idx="497">
                  <c:v>2.2570797720797771</c:v>
                </c:pt>
                <c:pt idx="498">
                  <c:v>1.5783190883190912</c:v>
                </c:pt>
                <c:pt idx="499">
                  <c:v>0.9469017094017147</c:v>
                </c:pt>
                <c:pt idx="500">
                  <c:v>0.1186253561253352</c:v>
                </c:pt>
                <c:pt idx="501">
                  <c:v>-0.73038461538459387</c:v>
                </c:pt>
                <c:pt idx="502">
                  <c:v>-1.6475641025640755</c:v>
                </c:pt>
                <c:pt idx="503">
                  <c:v>-2.2423575498575588</c:v>
                </c:pt>
                <c:pt idx="504">
                  <c:v>-3.0813888888888812</c:v>
                </c:pt>
                <c:pt idx="505">
                  <c:v>-3.7202421652421549</c:v>
                </c:pt>
                <c:pt idx="506">
                  <c:v>-4.1549430199430333</c:v>
                </c:pt>
                <c:pt idx="507">
                  <c:v>-4.198376068376092</c:v>
                </c:pt>
                <c:pt idx="508">
                  <c:v>-3.9665313390313202</c:v>
                </c:pt>
                <c:pt idx="509">
                  <c:v>-3.9872792022792112</c:v>
                </c:pt>
                <c:pt idx="510">
                  <c:v>-3.6711538461538566</c:v>
                </c:pt>
                <c:pt idx="511">
                  <c:v>-3.0054772079772363</c:v>
                </c:pt>
                <c:pt idx="512">
                  <c:v>-1.9134900284900311</c:v>
                </c:pt>
                <c:pt idx="513">
                  <c:v>-1.1568732193732387</c:v>
                </c:pt>
                <c:pt idx="514">
                  <c:v>-0.22428774928772555</c:v>
                </c:pt>
                <c:pt idx="515">
                  <c:v>0.68852564102564884</c:v>
                </c:pt>
                <c:pt idx="516">
                  <c:v>1.6251353276353484</c:v>
                </c:pt>
                <c:pt idx="517">
                  <c:v>2.4543945868945798</c:v>
                </c:pt>
                <c:pt idx="518">
                  <c:v>3.4237535612535623</c:v>
                </c:pt>
                <c:pt idx="519">
                  <c:v>4.1533831908831758</c:v>
                </c:pt>
                <c:pt idx="520">
                  <c:v>3.8594301994302782</c:v>
                </c:pt>
                <c:pt idx="521">
                  <c:v>3.6347008547008954</c:v>
                </c:pt>
                <c:pt idx="522">
                  <c:v>3.5201068376068463</c:v>
                </c:pt>
                <c:pt idx="523">
                  <c:v>3.4468091168091064</c:v>
                </c:pt>
                <c:pt idx="524">
                  <c:v>2.7776780626781203</c:v>
                </c:pt>
                <c:pt idx="525">
                  <c:v>2.7823148148148391</c:v>
                </c:pt>
                <c:pt idx="526">
                  <c:v>2.4436609686609927</c:v>
                </c:pt>
                <c:pt idx="527">
                  <c:v>2.1775925925926174</c:v>
                </c:pt>
                <c:pt idx="528">
                  <c:v>1.4029772079772158</c:v>
                </c:pt>
                <c:pt idx="529">
                  <c:v>1.2671794871795043</c:v>
                </c:pt>
                <c:pt idx="530">
                  <c:v>0.58002849002849644</c:v>
                </c:pt>
                <c:pt idx="531">
                  <c:v>-1.0436680911680867</c:v>
                </c:pt>
                <c:pt idx="532">
                  <c:v>-1.6951139601139573</c:v>
                </c:pt>
                <c:pt idx="533">
                  <c:v>-1.3314102564102654</c:v>
                </c:pt>
                <c:pt idx="534">
                  <c:v>-1.1897578347578133</c:v>
                </c:pt>
                <c:pt idx="535">
                  <c:v>-1.5930413105413379</c:v>
                </c:pt>
                <c:pt idx="536">
                  <c:v>-1.9847720797720854</c:v>
                </c:pt>
                <c:pt idx="537">
                  <c:v>-2.1894800569800452</c:v>
                </c:pt>
                <c:pt idx="538">
                  <c:v>-2.4463532763532783</c:v>
                </c:pt>
                <c:pt idx="539">
                  <c:v>-2.9637179487179424</c:v>
                </c:pt>
                <c:pt idx="540">
                  <c:v>-3.9005840455840541</c:v>
                </c:pt>
                <c:pt idx="541">
                  <c:v>-4.8064886039885835</c:v>
                </c:pt>
                <c:pt idx="542">
                  <c:v>-4.9329843304842882</c:v>
                </c:pt>
                <c:pt idx="543">
                  <c:v>-5.1079914529914561</c:v>
                </c:pt>
                <c:pt idx="544">
                  <c:v>-5.3135327635327485</c:v>
                </c:pt>
                <c:pt idx="545">
                  <c:v>-5.5949501424501307</c:v>
                </c:pt>
                <c:pt idx="546">
                  <c:v>-5.6417236467236478</c:v>
                </c:pt>
                <c:pt idx="547">
                  <c:v>-5.7650569800569826</c:v>
                </c:pt>
                <c:pt idx="548">
                  <c:v>-5.3048504273504307</c:v>
                </c:pt>
                <c:pt idx="549">
                  <c:v>-4.4724786324786407</c:v>
                </c:pt>
                <c:pt idx="550">
                  <c:v>-4.3948931623931742</c:v>
                </c:pt>
                <c:pt idx="551">
                  <c:v>-3.4647364672364631</c:v>
                </c:pt>
                <c:pt idx="552">
                  <c:v>-3.0214601139601598</c:v>
                </c:pt>
                <c:pt idx="553">
                  <c:v>-1.8700356125356166</c:v>
                </c:pt>
                <c:pt idx="554">
                  <c:v>-0.84714387464384799</c:v>
                </c:pt>
                <c:pt idx="555">
                  <c:v>0.18762108262109223</c:v>
                </c:pt>
                <c:pt idx="556">
                  <c:v>1.4794230769230694</c:v>
                </c:pt>
                <c:pt idx="557">
                  <c:v>2.9567307692307736</c:v>
                </c:pt>
                <c:pt idx="558">
                  <c:v>3.7189601139600938</c:v>
                </c:pt>
                <c:pt idx="559">
                  <c:v>4.4209900284900243</c:v>
                </c:pt>
                <c:pt idx="560">
                  <c:v>4.7812678062677776</c:v>
                </c:pt>
                <c:pt idx="561">
                  <c:v>4.9269230769230603</c:v>
                </c:pt>
                <c:pt idx="562">
                  <c:v>5.5524216524216001</c:v>
                </c:pt>
                <c:pt idx="563">
                  <c:v>5.3122293447293316</c:v>
                </c:pt>
                <c:pt idx="564">
                  <c:v>6.1067022792022385</c:v>
                </c:pt>
                <c:pt idx="565">
                  <c:v>6.7399786324786533</c:v>
                </c:pt>
                <c:pt idx="566">
                  <c:v>6.5988603988603529</c:v>
                </c:pt>
                <c:pt idx="567">
                  <c:v>6.0416951566951695</c:v>
                </c:pt>
                <c:pt idx="568">
                  <c:v>5.8309472934473092</c:v>
                </c:pt>
                <c:pt idx="569">
                  <c:v>5.8374002849002409</c:v>
                </c:pt>
                <c:pt idx="570">
                  <c:v>5.1507549857549577</c:v>
                </c:pt>
                <c:pt idx="571">
                  <c:v>5.0022792022791691</c:v>
                </c:pt>
                <c:pt idx="572">
                  <c:v>5.1194658119658243</c:v>
                </c:pt>
                <c:pt idx="573">
                  <c:v>5.2735541310541691</c:v>
                </c:pt>
                <c:pt idx="574">
                  <c:v>5.0342948717948843</c:v>
                </c:pt>
                <c:pt idx="575">
                  <c:v>5.1275000000000261</c:v>
                </c:pt>
                <c:pt idx="576">
                  <c:v>4.8201353276353132</c:v>
                </c:pt>
                <c:pt idx="577">
                  <c:v>4.5901638176638073</c:v>
                </c:pt>
                <c:pt idx="578">
                  <c:v>4.0638817663817974</c:v>
                </c:pt>
                <c:pt idx="579">
                  <c:v>4.2739458689458729</c:v>
                </c:pt>
                <c:pt idx="580">
                  <c:v>4.2137179487179424</c:v>
                </c:pt>
                <c:pt idx="581">
                  <c:v>4.0867165242165697</c:v>
                </c:pt>
                <c:pt idx="582">
                  <c:v>3.5338390313390562</c:v>
                </c:pt>
                <c:pt idx="583">
                  <c:v>3.5879487179486773</c:v>
                </c:pt>
                <c:pt idx="584">
                  <c:v>3.4893019943019965</c:v>
                </c:pt>
                <c:pt idx="585">
                  <c:v>2.9706054131053747</c:v>
                </c:pt>
                <c:pt idx="586">
                  <c:v>2.6169301994302145</c:v>
                </c:pt>
                <c:pt idx="587">
                  <c:v>2.1068518518518715</c:v>
                </c:pt>
                <c:pt idx="588">
                  <c:v>1.9414387464386778</c:v>
                </c:pt>
                <c:pt idx="589">
                  <c:v>1.8515242165242114</c:v>
                </c:pt>
                <c:pt idx="590">
                  <c:v>1.6037535612535976</c:v>
                </c:pt>
                <c:pt idx="591">
                  <c:v>1.5619800569800759</c:v>
                </c:pt>
                <c:pt idx="592">
                  <c:v>1.4882549857549918</c:v>
                </c:pt>
                <c:pt idx="593">
                  <c:v>0.99488603988606883</c:v>
                </c:pt>
                <c:pt idx="594">
                  <c:v>1.0889316239316429</c:v>
                </c:pt>
                <c:pt idx="595">
                  <c:v>0.87747863247864188</c:v>
                </c:pt>
                <c:pt idx="596">
                  <c:v>0.99239316239322761</c:v>
                </c:pt>
                <c:pt idx="597">
                  <c:v>1.253632478632511</c:v>
                </c:pt>
                <c:pt idx="598">
                  <c:v>1.3357549857549884</c:v>
                </c:pt>
                <c:pt idx="599">
                  <c:v>1.7497008547008761</c:v>
                </c:pt>
                <c:pt idx="600">
                  <c:v>1.4412962962962865</c:v>
                </c:pt>
                <c:pt idx="601">
                  <c:v>1.1025712250712445</c:v>
                </c:pt>
                <c:pt idx="602">
                  <c:v>0.79071225071228923</c:v>
                </c:pt>
                <c:pt idx="603">
                  <c:v>0.71507834757835553</c:v>
                </c:pt>
                <c:pt idx="604">
                  <c:v>0.83119658119665019</c:v>
                </c:pt>
                <c:pt idx="605">
                  <c:v>0.42056980056983662</c:v>
                </c:pt>
                <c:pt idx="606">
                  <c:v>8.3084045584058686E-2</c:v>
                </c:pt>
                <c:pt idx="607">
                  <c:v>-0.17153133903133266</c:v>
                </c:pt>
                <c:pt idx="608">
                  <c:v>-0.63101139601138811</c:v>
                </c:pt>
                <c:pt idx="609">
                  <c:v>-1.0611039886040317</c:v>
                </c:pt>
                <c:pt idx="610">
                  <c:v>-1.5162962962963036</c:v>
                </c:pt>
                <c:pt idx="611">
                  <c:v>-2.1149643874643687</c:v>
                </c:pt>
                <c:pt idx="612">
                  <c:v>-2.2845797720798089</c:v>
                </c:pt>
                <c:pt idx="613">
                  <c:v>-2.6063461538461752</c:v>
                </c:pt>
                <c:pt idx="614">
                  <c:v>-2.0668803418803918</c:v>
                </c:pt>
                <c:pt idx="615">
                  <c:v>-1.4476210826211116</c:v>
                </c:pt>
                <c:pt idx="616">
                  <c:v>-1.3822792022792214</c:v>
                </c:pt>
                <c:pt idx="617">
                  <c:v>-0.94289173789175607</c:v>
                </c:pt>
                <c:pt idx="618">
                  <c:v>-0.32180911680913482</c:v>
                </c:pt>
                <c:pt idx="619">
                  <c:v>0.36888888888884708</c:v>
                </c:pt>
                <c:pt idx="620">
                  <c:v>1.2067735042734853</c:v>
                </c:pt>
                <c:pt idx="621">
                  <c:v>1.6822934472934605</c:v>
                </c:pt>
                <c:pt idx="622">
                  <c:v>2.0598005698005579</c:v>
                </c:pt>
                <c:pt idx="623">
                  <c:v>2.4508618233618051</c:v>
                </c:pt>
                <c:pt idx="624">
                  <c:v>2.7319230769230671</c:v>
                </c:pt>
                <c:pt idx="625">
                  <c:v>3.5524572649572121</c:v>
                </c:pt>
                <c:pt idx="626">
                  <c:v>3.4278703703703854</c:v>
                </c:pt>
                <c:pt idx="627">
                  <c:v>2.977143874643815</c:v>
                </c:pt>
                <c:pt idx="628">
                  <c:v>2.3086182336182333</c:v>
                </c:pt>
                <c:pt idx="629">
                  <c:v>1.7247792022792225</c:v>
                </c:pt>
                <c:pt idx="630">
                  <c:v>1.3419658119657925</c:v>
                </c:pt>
                <c:pt idx="631">
                  <c:v>0.68522792022790213</c:v>
                </c:pt>
                <c:pt idx="632">
                  <c:v>-0.37380341880344758</c:v>
                </c:pt>
                <c:pt idx="633">
                  <c:v>-0.8957905982906027</c:v>
                </c:pt>
                <c:pt idx="634">
                  <c:v>-1.7869373219373585</c:v>
                </c:pt>
                <c:pt idx="635">
                  <c:v>-2.2294444444444821</c:v>
                </c:pt>
                <c:pt idx="636">
                  <c:v>-2.5372222222222263</c:v>
                </c:pt>
                <c:pt idx="637">
                  <c:v>-3.1389173789174265</c:v>
                </c:pt>
                <c:pt idx="638">
                  <c:v>-3.4708190883191037</c:v>
                </c:pt>
                <c:pt idx="639">
                  <c:v>-3.4634401709401743</c:v>
                </c:pt>
                <c:pt idx="640">
                  <c:v>-3.4465170940171106</c:v>
                </c:pt>
                <c:pt idx="641">
                  <c:v>-3.4822150997150914</c:v>
                </c:pt>
                <c:pt idx="642">
                  <c:v>-3.1827350427350609</c:v>
                </c:pt>
                <c:pt idx="643">
                  <c:v>-3.0260113960114268</c:v>
                </c:pt>
                <c:pt idx="644">
                  <c:v>-2.5131766381766454</c:v>
                </c:pt>
                <c:pt idx="645">
                  <c:v>-2.3913461538461434</c:v>
                </c:pt>
                <c:pt idx="646">
                  <c:v>-2.2619017094017124</c:v>
                </c:pt>
                <c:pt idx="647">
                  <c:v>-2.0724145299145391</c:v>
                </c:pt>
                <c:pt idx="648">
                  <c:v>-1.8573076923077281</c:v>
                </c:pt>
                <c:pt idx="649">
                  <c:v>-1.6288888888888948</c:v>
                </c:pt>
                <c:pt idx="650">
                  <c:v>-1.3470014245014568</c:v>
                </c:pt>
                <c:pt idx="651">
                  <c:v>-1.0569088319088564</c:v>
                </c:pt>
                <c:pt idx="652">
                  <c:v>-1.0060185185185162</c:v>
                </c:pt>
                <c:pt idx="653">
                  <c:v>-0.62176638176640608</c:v>
                </c:pt>
                <c:pt idx="654">
                  <c:v>-0.51795584045581222</c:v>
                </c:pt>
                <c:pt idx="655">
                  <c:v>-0.50702991452990887</c:v>
                </c:pt>
                <c:pt idx="656">
                  <c:v>-0.44319088319085154</c:v>
                </c:pt>
                <c:pt idx="657">
                  <c:v>-0.55358262108259737</c:v>
                </c:pt>
                <c:pt idx="658">
                  <c:v>-0.10386039886034837</c:v>
                </c:pt>
                <c:pt idx="659">
                  <c:v>8.4116809116835611E-2</c:v>
                </c:pt>
                <c:pt idx="660">
                  <c:v>0.65353276353278034</c:v>
                </c:pt>
                <c:pt idx="661">
                  <c:v>1.210142450142456</c:v>
                </c:pt>
                <c:pt idx="662">
                  <c:v>1.3612891737891744</c:v>
                </c:pt>
                <c:pt idx="663">
                  <c:v>1.4152564102564327</c:v>
                </c:pt>
                <c:pt idx="664">
                  <c:v>1.4944586894586962</c:v>
                </c:pt>
                <c:pt idx="665">
                  <c:v>1.5276566951567077</c:v>
                </c:pt>
                <c:pt idx="666">
                  <c:v>1.4200498575498841</c:v>
                </c:pt>
                <c:pt idx="667">
                  <c:v>1.2305911680911947</c:v>
                </c:pt>
                <c:pt idx="668">
                  <c:v>1.3835256410256136</c:v>
                </c:pt>
                <c:pt idx="669">
                  <c:v>1.4879629629629676</c:v>
                </c:pt>
                <c:pt idx="670">
                  <c:v>1.731844729344715</c:v>
                </c:pt>
                <c:pt idx="671">
                  <c:v>1.8857478632478717</c:v>
                </c:pt>
                <c:pt idx="672">
                  <c:v>1.652784900284928</c:v>
                </c:pt>
                <c:pt idx="673">
                  <c:v>1.220249287749283</c:v>
                </c:pt>
                <c:pt idx="674">
                  <c:v>1.1668945868945571</c:v>
                </c:pt>
                <c:pt idx="675">
                  <c:v>1.1604273504273692</c:v>
                </c:pt>
                <c:pt idx="676">
                  <c:v>1.1503205128205138</c:v>
                </c:pt>
                <c:pt idx="677">
                  <c:v>1.1731980056979694</c:v>
                </c:pt>
                <c:pt idx="678">
                  <c:v>1.4101495726496012</c:v>
                </c:pt>
                <c:pt idx="679">
                  <c:v>1.3939957264957172</c:v>
                </c:pt>
                <c:pt idx="680">
                  <c:v>1.3005413105413197</c:v>
                </c:pt>
                <c:pt idx="681">
                  <c:v>1.5175712250712365</c:v>
                </c:pt>
                <c:pt idx="682">
                  <c:v>1.8281054131053907</c:v>
                </c:pt>
                <c:pt idx="683">
                  <c:v>1.4882336182336076</c:v>
                </c:pt>
                <c:pt idx="684">
                  <c:v>1.0697649572649652</c:v>
                </c:pt>
                <c:pt idx="685">
                  <c:v>1.0222863247863074</c:v>
                </c:pt>
                <c:pt idx="686">
                  <c:v>0.91538461538456772</c:v>
                </c:pt>
                <c:pt idx="687">
                  <c:v>0.75706552706552088</c:v>
                </c:pt>
                <c:pt idx="688">
                  <c:v>0.86851139601139948</c:v>
                </c:pt>
                <c:pt idx="689">
                  <c:v>0.43990028490028976</c:v>
                </c:pt>
                <c:pt idx="690">
                  <c:v>0.4005626780626983</c:v>
                </c:pt>
                <c:pt idx="691">
                  <c:v>0.63856837606837757</c:v>
                </c:pt>
                <c:pt idx="692">
                  <c:v>0.90497150997148879</c:v>
                </c:pt>
                <c:pt idx="693">
                  <c:v>0.67388176638175423</c:v>
                </c:pt>
                <c:pt idx="694">
                  <c:v>3.418091168092019E-2</c:v>
                </c:pt>
                <c:pt idx="695">
                  <c:v>-0.37834045584045839</c:v>
                </c:pt>
                <c:pt idx="696">
                  <c:v>0.27471509971508112</c:v>
                </c:pt>
                <c:pt idx="697">
                  <c:v>0.13653133903133607</c:v>
                </c:pt>
                <c:pt idx="698">
                  <c:v>3.482905982906459E-2</c:v>
                </c:pt>
                <c:pt idx="699">
                  <c:v>-0.15130341880342257</c:v>
                </c:pt>
                <c:pt idx="700">
                  <c:v>-0.39745014245011134</c:v>
                </c:pt>
                <c:pt idx="701">
                  <c:v>-0.5141239316239421</c:v>
                </c:pt>
                <c:pt idx="702">
                  <c:v>-0.68957264957268194</c:v>
                </c:pt>
                <c:pt idx="703">
                  <c:v>-0.71906695156695832</c:v>
                </c:pt>
                <c:pt idx="704">
                  <c:v>-0.50925213675213854</c:v>
                </c:pt>
                <c:pt idx="705">
                  <c:v>-0.64769230769226738</c:v>
                </c:pt>
                <c:pt idx="706">
                  <c:v>-0.35177350427349552</c:v>
                </c:pt>
                <c:pt idx="707">
                  <c:v>-0.57405982905982</c:v>
                </c:pt>
                <c:pt idx="708">
                  <c:v>-0.18729344729342756</c:v>
                </c:pt>
                <c:pt idx="709">
                  <c:v>-0.10772079772075926</c:v>
                </c:pt>
                <c:pt idx="710">
                  <c:v>-0.28908119658117926</c:v>
                </c:pt>
                <c:pt idx="711">
                  <c:v>-1.1780626780648618E-2</c:v>
                </c:pt>
                <c:pt idx="712">
                  <c:v>0.13565527065526339</c:v>
                </c:pt>
                <c:pt idx="713">
                  <c:v>0.57287037037039568</c:v>
                </c:pt>
                <c:pt idx="714">
                  <c:v>1.2083618233618267</c:v>
                </c:pt>
              </c:numCache>
            </c:numRef>
          </c:val>
          <c:smooth val="0"/>
        </c:ser>
        <c:ser>
          <c:idx val="1"/>
          <c:order val="1"/>
          <c:tx>
            <c:v>slow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t!$A$3:$A$717</c:f>
              <c:numCache>
                <c:formatCode>m/d/yyyy</c:formatCode>
                <c:ptCount val="715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  <c:pt idx="218">
                  <c:v>43887</c:v>
                </c:pt>
                <c:pt idx="219">
                  <c:v>43886</c:v>
                </c:pt>
                <c:pt idx="220">
                  <c:v>43882</c:v>
                </c:pt>
                <c:pt idx="221">
                  <c:v>43881</c:v>
                </c:pt>
                <c:pt idx="222">
                  <c:v>43880</c:v>
                </c:pt>
                <c:pt idx="223">
                  <c:v>43879</c:v>
                </c:pt>
                <c:pt idx="224">
                  <c:v>43878</c:v>
                </c:pt>
                <c:pt idx="225">
                  <c:v>43875</c:v>
                </c:pt>
                <c:pt idx="226">
                  <c:v>43874</c:v>
                </c:pt>
                <c:pt idx="227">
                  <c:v>43873</c:v>
                </c:pt>
                <c:pt idx="228">
                  <c:v>43872</c:v>
                </c:pt>
                <c:pt idx="229">
                  <c:v>43871</c:v>
                </c:pt>
                <c:pt idx="230">
                  <c:v>43868</c:v>
                </c:pt>
                <c:pt idx="231">
                  <c:v>43867</c:v>
                </c:pt>
                <c:pt idx="232">
                  <c:v>43866</c:v>
                </c:pt>
                <c:pt idx="233">
                  <c:v>43865</c:v>
                </c:pt>
                <c:pt idx="234">
                  <c:v>43864</c:v>
                </c:pt>
                <c:pt idx="235">
                  <c:v>43861</c:v>
                </c:pt>
                <c:pt idx="236">
                  <c:v>43860</c:v>
                </c:pt>
                <c:pt idx="237">
                  <c:v>43859</c:v>
                </c:pt>
                <c:pt idx="238">
                  <c:v>43858</c:v>
                </c:pt>
                <c:pt idx="239">
                  <c:v>43857</c:v>
                </c:pt>
                <c:pt idx="240">
                  <c:v>43854</c:v>
                </c:pt>
                <c:pt idx="241">
                  <c:v>43853</c:v>
                </c:pt>
                <c:pt idx="242">
                  <c:v>43852</c:v>
                </c:pt>
                <c:pt idx="243">
                  <c:v>43851</c:v>
                </c:pt>
                <c:pt idx="244">
                  <c:v>43850</c:v>
                </c:pt>
                <c:pt idx="245">
                  <c:v>43847</c:v>
                </c:pt>
                <c:pt idx="246">
                  <c:v>43846</c:v>
                </c:pt>
                <c:pt idx="247">
                  <c:v>43845</c:v>
                </c:pt>
                <c:pt idx="248">
                  <c:v>43844</c:v>
                </c:pt>
                <c:pt idx="249">
                  <c:v>43843</c:v>
                </c:pt>
                <c:pt idx="250">
                  <c:v>43840</c:v>
                </c:pt>
                <c:pt idx="251">
                  <c:v>43839</c:v>
                </c:pt>
                <c:pt idx="252">
                  <c:v>43838</c:v>
                </c:pt>
                <c:pt idx="253">
                  <c:v>43836</c:v>
                </c:pt>
                <c:pt idx="254">
                  <c:v>43833</c:v>
                </c:pt>
                <c:pt idx="255">
                  <c:v>43829</c:v>
                </c:pt>
                <c:pt idx="256">
                  <c:v>43826</c:v>
                </c:pt>
                <c:pt idx="257">
                  <c:v>43825</c:v>
                </c:pt>
                <c:pt idx="258">
                  <c:v>43824</c:v>
                </c:pt>
                <c:pt idx="259">
                  <c:v>43823</c:v>
                </c:pt>
                <c:pt idx="260">
                  <c:v>43822</c:v>
                </c:pt>
                <c:pt idx="261">
                  <c:v>43819</c:v>
                </c:pt>
                <c:pt idx="262">
                  <c:v>43818</c:v>
                </c:pt>
                <c:pt idx="263">
                  <c:v>43817</c:v>
                </c:pt>
                <c:pt idx="264">
                  <c:v>43816</c:v>
                </c:pt>
                <c:pt idx="265">
                  <c:v>43815</c:v>
                </c:pt>
                <c:pt idx="266">
                  <c:v>43812</c:v>
                </c:pt>
                <c:pt idx="267">
                  <c:v>43811</c:v>
                </c:pt>
                <c:pt idx="268">
                  <c:v>43810</c:v>
                </c:pt>
                <c:pt idx="269">
                  <c:v>43809</c:v>
                </c:pt>
                <c:pt idx="270">
                  <c:v>43808</c:v>
                </c:pt>
                <c:pt idx="271">
                  <c:v>43805</c:v>
                </c:pt>
                <c:pt idx="272">
                  <c:v>43804</c:v>
                </c:pt>
                <c:pt idx="273">
                  <c:v>43803</c:v>
                </c:pt>
                <c:pt idx="274">
                  <c:v>43802</c:v>
                </c:pt>
                <c:pt idx="275">
                  <c:v>43801</c:v>
                </c:pt>
                <c:pt idx="276">
                  <c:v>43798</c:v>
                </c:pt>
                <c:pt idx="277">
                  <c:v>43797</c:v>
                </c:pt>
                <c:pt idx="278">
                  <c:v>43796</c:v>
                </c:pt>
                <c:pt idx="279">
                  <c:v>43795</c:v>
                </c:pt>
                <c:pt idx="280">
                  <c:v>43794</c:v>
                </c:pt>
                <c:pt idx="281">
                  <c:v>43791</c:v>
                </c:pt>
                <c:pt idx="282">
                  <c:v>43790</c:v>
                </c:pt>
                <c:pt idx="283">
                  <c:v>43789</c:v>
                </c:pt>
                <c:pt idx="284">
                  <c:v>43788</c:v>
                </c:pt>
                <c:pt idx="285">
                  <c:v>43787</c:v>
                </c:pt>
                <c:pt idx="286">
                  <c:v>43784</c:v>
                </c:pt>
                <c:pt idx="287">
                  <c:v>43783</c:v>
                </c:pt>
                <c:pt idx="288">
                  <c:v>43782</c:v>
                </c:pt>
                <c:pt idx="289">
                  <c:v>43781</c:v>
                </c:pt>
                <c:pt idx="290">
                  <c:v>43780</c:v>
                </c:pt>
                <c:pt idx="291">
                  <c:v>43777</c:v>
                </c:pt>
                <c:pt idx="292">
                  <c:v>43776</c:v>
                </c:pt>
                <c:pt idx="293">
                  <c:v>43775</c:v>
                </c:pt>
                <c:pt idx="294">
                  <c:v>43774</c:v>
                </c:pt>
                <c:pt idx="295">
                  <c:v>43770</c:v>
                </c:pt>
                <c:pt idx="296">
                  <c:v>43769</c:v>
                </c:pt>
                <c:pt idx="297">
                  <c:v>43768</c:v>
                </c:pt>
                <c:pt idx="298">
                  <c:v>43767</c:v>
                </c:pt>
                <c:pt idx="299">
                  <c:v>43766</c:v>
                </c:pt>
                <c:pt idx="300">
                  <c:v>43763</c:v>
                </c:pt>
                <c:pt idx="301">
                  <c:v>43762</c:v>
                </c:pt>
                <c:pt idx="302">
                  <c:v>43761</c:v>
                </c:pt>
                <c:pt idx="303">
                  <c:v>43760</c:v>
                </c:pt>
                <c:pt idx="304">
                  <c:v>43759</c:v>
                </c:pt>
                <c:pt idx="305">
                  <c:v>43756</c:v>
                </c:pt>
                <c:pt idx="306">
                  <c:v>43755</c:v>
                </c:pt>
                <c:pt idx="307">
                  <c:v>43754</c:v>
                </c:pt>
                <c:pt idx="308">
                  <c:v>43753</c:v>
                </c:pt>
                <c:pt idx="309">
                  <c:v>43752</c:v>
                </c:pt>
                <c:pt idx="310">
                  <c:v>43749</c:v>
                </c:pt>
                <c:pt idx="311">
                  <c:v>43748</c:v>
                </c:pt>
                <c:pt idx="312">
                  <c:v>43747</c:v>
                </c:pt>
                <c:pt idx="313">
                  <c:v>43746</c:v>
                </c:pt>
                <c:pt idx="314">
                  <c:v>43745</c:v>
                </c:pt>
                <c:pt idx="315">
                  <c:v>43742</c:v>
                </c:pt>
                <c:pt idx="316">
                  <c:v>43741</c:v>
                </c:pt>
                <c:pt idx="317">
                  <c:v>43740</c:v>
                </c:pt>
                <c:pt idx="318">
                  <c:v>43739</c:v>
                </c:pt>
                <c:pt idx="319">
                  <c:v>43738</c:v>
                </c:pt>
                <c:pt idx="320">
                  <c:v>43735</c:v>
                </c:pt>
                <c:pt idx="321">
                  <c:v>43734</c:v>
                </c:pt>
                <c:pt idx="322">
                  <c:v>43733</c:v>
                </c:pt>
                <c:pt idx="323">
                  <c:v>43732</c:v>
                </c:pt>
                <c:pt idx="324">
                  <c:v>43731</c:v>
                </c:pt>
                <c:pt idx="325">
                  <c:v>43728</c:v>
                </c:pt>
                <c:pt idx="326">
                  <c:v>43727</c:v>
                </c:pt>
                <c:pt idx="327">
                  <c:v>43726</c:v>
                </c:pt>
                <c:pt idx="328">
                  <c:v>43725</c:v>
                </c:pt>
                <c:pt idx="329">
                  <c:v>43724</c:v>
                </c:pt>
                <c:pt idx="330">
                  <c:v>43721</c:v>
                </c:pt>
                <c:pt idx="331">
                  <c:v>43720</c:v>
                </c:pt>
                <c:pt idx="332">
                  <c:v>43719</c:v>
                </c:pt>
                <c:pt idx="333">
                  <c:v>43718</c:v>
                </c:pt>
                <c:pt idx="334">
                  <c:v>43717</c:v>
                </c:pt>
                <c:pt idx="335">
                  <c:v>43714</c:v>
                </c:pt>
                <c:pt idx="336">
                  <c:v>43713</c:v>
                </c:pt>
                <c:pt idx="337">
                  <c:v>43712</c:v>
                </c:pt>
                <c:pt idx="338">
                  <c:v>43711</c:v>
                </c:pt>
                <c:pt idx="339">
                  <c:v>43710</c:v>
                </c:pt>
                <c:pt idx="340">
                  <c:v>43707</c:v>
                </c:pt>
                <c:pt idx="341">
                  <c:v>43706</c:v>
                </c:pt>
                <c:pt idx="342">
                  <c:v>43705</c:v>
                </c:pt>
                <c:pt idx="343">
                  <c:v>43704</c:v>
                </c:pt>
                <c:pt idx="344">
                  <c:v>43703</c:v>
                </c:pt>
                <c:pt idx="345">
                  <c:v>43700</c:v>
                </c:pt>
                <c:pt idx="346">
                  <c:v>43699</c:v>
                </c:pt>
                <c:pt idx="347">
                  <c:v>43698</c:v>
                </c:pt>
                <c:pt idx="348">
                  <c:v>43697</c:v>
                </c:pt>
                <c:pt idx="349">
                  <c:v>43696</c:v>
                </c:pt>
                <c:pt idx="350">
                  <c:v>43693</c:v>
                </c:pt>
                <c:pt idx="351">
                  <c:v>43692</c:v>
                </c:pt>
                <c:pt idx="352">
                  <c:v>43691</c:v>
                </c:pt>
                <c:pt idx="353">
                  <c:v>43690</c:v>
                </c:pt>
                <c:pt idx="354">
                  <c:v>43689</c:v>
                </c:pt>
                <c:pt idx="355">
                  <c:v>43686</c:v>
                </c:pt>
                <c:pt idx="356">
                  <c:v>43685</c:v>
                </c:pt>
                <c:pt idx="357">
                  <c:v>43684</c:v>
                </c:pt>
                <c:pt idx="358">
                  <c:v>43683</c:v>
                </c:pt>
                <c:pt idx="359">
                  <c:v>43682</c:v>
                </c:pt>
                <c:pt idx="360">
                  <c:v>43679</c:v>
                </c:pt>
                <c:pt idx="361">
                  <c:v>43678</c:v>
                </c:pt>
                <c:pt idx="362">
                  <c:v>43677</c:v>
                </c:pt>
                <c:pt idx="363">
                  <c:v>43676</c:v>
                </c:pt>
                <c:pt idx="364">
                  <c:v>43675</c:v>
                </c:pt>
                <c:pt idx="365">
                  <c:v>43672</c:v>
                </c:pt>
                <c:pt idx="366">
                  <c:v>43671</c:v>
                </c:pt>
                <c:pt idx="367">
                  <c:v>43670</c:v>
                </c:pt>
                <c:pt idx="368">
                  <c:v>43669</c:v>
                </c:pt>
                <c:pt idx="369">
                  <c:v>43668</c:v>
                </c:pt>
                <c:pt idx="370">
                  <c:v>43665</c:v>
                </c:pt>
                <c:pt idx="371">
                  <c:v>43664</c:v>
                </c:pt>
                <c:pt idx="372">
                  <c:v>43663</c:v>
                </c:pt>
                <c:pt idx="373">
                  <c:v>43662</c:v>
                </c:pt>
                <c:pt idx="374">
                  <c:v>43661</c:v>
                </c:pt>
                <c:pt idx="375">
                  <c:v>43658</c:v>
                </c:pt>
                <c:pt idx="376">
                  <c:v>43657</c:v>
                </c:pt>
                <c:pt idx="377">
                  <c:v>43656</c:v>
                </c:pt>
                <c:pt idx="378">
                  <c:v>43655</c:v>
                </c:pt>
                <c:pt idx="379">
                  <c:v>43654</c:v>
                </c:pt>
                <c:pt idx="380">
                  <c:v>43651</c:v>
                </c:pt>
                <c:pt idx="381">
                  <c:v>43650</c:v>
                </c:pt>
                <c:pt idx="382">
                  <c:v>43649</c:v>
                </c:pt>
                <c:pt idx="383">
                  <c:v>43648</c:v>
                </c:pt>
                <c:pt idx="384">
                  <c:v>43647</c:v>
                </c:pt>
                <c:pt idx="385">
                  <c:v>43644</c:v>
                </c:pt>
                <c:pt idx="386">
                  <c:v>43643</c:v>
                </c:pt>
                <c:pt idx="387">
                  <c:v>43642</c:v>
                </c:pt>
                <c:pt idx="388">
                  <c:v>43641</c:v>
                </c:pt>
                <c:pt idx="389">
                  <c:v>43640</c:v>
                </c:pt>
                <c:pt idx="390">
                  <c:v>43637</c:v>
                </c:pt>
                <c:pt idx="391">
                  <c:v>43636</c:v>
                </c:pt>
                <c:pt idx="392">
                  <c:v>43635</c:v>
                </c:pt>
                <c:pt idx="393">
                  <c:v>43634</c:v>
                </c:pt>
                <c:pt idx="394">
                  <c:v>43633</c:v>
                </c:pt>
                <c:pt idx="395">
                  <c:v>43630</c:v>
                </c:pt>
                <c:pt idx="396">
                  <c:v>43629</c:v>
                </c:pt>
                <c:pt idx="397">
                  <c:v>43627</c:v>
                </c:pt>
                <c:pt idx="398">
                  <c:v>43626</c:v>
                </c:pt>
                <c:pt idx="399">
                  <c:v>43623</c:v>
                </c:pt>
                <c:pt idx="400">
                  <c:v>43622</c:v>
                </c:pt>
                <c:pt idx="401">
                  <c:v>43621</c:v>
                </c:pt>
                <c:pt idx="402">
                  <c:v>43620</c:v>
                </c:pt>
                <c:pt idx="403">
                  <c:v>43619</c:v>
                </c:pt>
                <c:pt idx="404">
                  <c:v>43616</c:v>
                </c:pt>
                <c:pt idx="405">
                  <c:v>43615</c:v>
                </c:pt>
                <c:pt idx="406">
                  <c:v>43614</c:v>
                </c:pt>
                <c:pt idx="407">
                  <c:v>43613</c:v>
                </c:pt>
                <c:pt idx="408">
                  <c:v>43612</c:v>
                </c:pt>
                <c:pt idx="409">
                  <c:v>43609</c:v>
                </c:pt>
                <c:pt idx="410">
                  <c:v>43608</c:v>
                </c:pt>
                <c:pt idx="411">
                  <c:v>43607</c:v>
                </c:pt>
                <c:pt idx="412">
                  <c:v>43606</c:v>
                </c:pt>
                <c:pt idx="413">
                  <c:v>43605</c:v>
                </c:pt>
                <c:pt idx="414">
                  <c:v>43602</c:v>
                </c:pt>
                <c:pt idx="415">
                  <c:v>43601</c:v>
                </c:pt>
                <c:pt idx="416">
                  <c:v>43600</c:v>
                </c:pt>
                <c:pt idx="417">
                  <c:v>43599</c:v>
                </c:pt>
                <c:pt idx="418">
                  <c:v>43598</c:v>
                </c:pt>
                <c:pt idx="419">
                  <c:v>43595</c:v>
                </c:pt>
                <c:pt idx="420">
                  <c:v>43593</c:v>
                </c:pt>
                <c:pt idx="421">
                  <c:v>43592</c:v>
                </c:pt>
                <c:pt idx="422">
                  <c:v>43591</c:v>
                </c:pt>
                <c:pt idx="423">
                  <c:v>43588</c:v>
                </c:pt>
                <c:pt idx="424">
                  <c:v>43587</c:v>
                </c:pt>
                <c:pt idx="425">
                  <c:v>43585</c:v>
                </c:pt>
                <c:pt idx="426">
                  <c:v>43584</c:v>
                </c:pt>
                <c:pt idx="427">
                  <c:v>43581</c:v>
                </c:pt>
                <c:pt idx="428">
                  <c:v>43580</c:v>
                </c:pt>
                <c:pt idx="429">
                  <c:v>43579</c:v>
                </c:pt>
                <c:pt idx="430">
                  <c:v>43578</c:v>
                </c:pt>
                <c:pt idx="431">
                  <c:v>43577</c:v>
                </c:pt>
                <c:pt idx="432">
                  <c:v>43574</c:v>
                </c:pt>
                <c:pt idx="433">
                  <c:v>43573</c:v>
                </c:pt>
                <c:pt idx="434">
                  <c:v>43572</c:v>
                </c:pt>
                <c:pt idx="435">
                  <c:v>43571</c:v>
                </c:pt>
                <c:pt idx="436">
                  <c:v>43570</c:v>
                </c:pt>
                <c:pt idx="437">
                  <c:v>43567</c:v>
                </c:pt>
                <c:pt idx="438">
                  <c:v>43566</c:v>
                </c:pt>
                <c:pt idx="439">
                  <c:v>43565</c:v>
                </c:pt>
                <c:pt idx="440">
                  <c:v>43564</c:v>
                </c:pt>
                <c:pt idx="441">
                  <c:v>43563</c:v>
                </c:pt>
                <c:pt idx="442">
                  <c:v>43560</c:v>
                </c:pt>
                <c:pt idx="443">
                  <c:v>43559</c:v>
                </c:pt>
                <c:pt idx="444">
                  <c:v>43558</c:v>
                </c:pt>
                <c:pt idx="445">
                  <c:v>43557</c:v>
                </c:pt>
                <c:pt idx="446">
                  <c:v>43556</c:v>
                </c:pt>
                <c:pt idx="447">
                  <c:v>43553</c:v>
                </c:pt>
                <c:pt idx="448">
                  <c:v>43552</c:v>
                </c:pt>
                <c:pt idx="449">
                  <c:v>43551</c:v>
                </c:pt>
                <c:pt idx="450">
                  <c:v>43550</c:v>
                </c:pt>
                <c:pt idx="451">
                  <c:v>43549</c:v>
                </c:pt>
                <c:pt idx="452">
                  <c:v>43546</c:v>
                </c:pt>
                <c:pt idx="453">
                  <c:v>43545</c:v>
                </c:pt>
                <c:pt idx="454">
                  <c:v>43544</c:v>
                </c:pt>
                <c:pt idx="455">
                  <c:v>43543</c:v>
                </c:pt>
                <c:pt idx="456">
                  <c:v>43542</c:v>
                </c:pt>
                <c:pt idx="457">
                  <c:v>43539</c:v>
                </c:pt>
                <c:pt idx="458">
                  <c:v>43538</c:v>
                </c:pt>
                <c:pt idx="459">
                  <c:v>43537</c:v>
                </c:pt>
                <c:pt idx="460">
                  <c:v>43536</c:v>
                </c:pt>
                <c:pt idx="461">
                  <c:v>43535</c:v>
                </c:pt>
                <c:pt idx="462">
                  <c:v>43531</c:v>
                </c:pt>
                <c:pt idx="463">
                  <c:v>43530</c:v>
                </c:pt>
                <c:pt idx="464">
                  <c:v>43529</c:v>
                </c:pt>
                <c:pt idx="465">
                  <c:v>43528</c:v>
                </c:pt>
                <c:pt idx="466">
                  <c:v>43525</c:v>
                </c:pt>
                <c:pt idx="467">
                  <c:v>43524</c:v>
                </c:pt>
                <c:pt idx="468">
                  <c:v>43523</c:v>
                </c:pt>
                <c:pt idx="469">
                  <c:v>43522</c:v>
                </c:pt>
                <c:pt idx="470">
                  <c:v>43521</c:v>
                </c:pt>
                <c:pt idx="471">
                  <c:v>43518</c:v>
                </c:pt>
                <c:pt idx="472">
                  <c:v>43517</c:v>
                </c:pt>
                <c:pt idx="473">
                  <c:v>43516</c:v>
                </c:pt>
                <c:pt idx="474">
                  <c:v>43515</c:v>
                </c:pt>
                <c:pt idx="475">
                  <c:v>43514</c:v>
                </c:pt>
                <c:pt idx="476">
                  <c:v>43511</c:v>
                </c:pt>
                <c:pt idx="477">
                  <c:v>43510</c:v>
                </c:pt>
                <c:pt idx="478">
                  <c:v>43509</c:v>
                </c:pt>
                <c:pt idx="479">
                  <c:v>43508</c:v>
                </c:pt>
                <c:pt idx="480">
                  <c:v>43507</c:v>
                </c:pt>
                <c:pt idx="481">
                  <c:v>43504</c:v>
                </c:pt>
                <c:pt idx="482">
                  <c:v>43503</c:v>
                </c:pt>
                <c:pt idx="483">
                  <c:v>43502</c:v>
                </c:pt>
                <c:pt idx="484">
                  <c:v>43501</c:v>
                </c:pt>
                <c:pt idx="485">
                  <c:v>43500</c:v>
                </c:pt>
                <c:pt idx="486">
                  <c:v>43497</c:v>
                </c:pt>
                <c:pt idx="487">
                  <c:v>43496</c:v>
                </c:pt>
                <c:pt idx="488">
                  <c:v>43495</c:v>
                </c:pt>
                <c:pt idx="489">
                  <c:v>43494</c:v>
                </c:pt>
                <c:pt idx="490">
                  <c:v>43493</c:v>
                </c:pt>
                <c:pt idx="491">
                  <c:v>43490</c:v>
                </c:pt>
                <c:pt idx="492">
                  <c:v>43489</c:v>
                </c:pt>
                <c:pt idx="493">
                  <c:v>43488</c:v>
                </c:pt>
                <c:pt idx="494">
                  <c:v>43487</c:v>
                </c:pt>
                <c:pt idx="495">
                  <c:v>43486</c:v>
                </c:pt>
                <c:pt idx="496">
                  <c:v>43483</c:v>
                </c:pt>
                <c:pt idx="497">
                  <c:v>43482</c:v>
                </c:pt>
                <c:pt idx="498">
                  <c:v>43481</c:v>
                </c:pt>
                <c:pt idx="499">
                  <c:v>43480</c:v>
                </c:pt>
                <c:pt idx="500">
                  <c:v>43479</c:v>
                </c:pt>
                <c:pt idx="501">
                  <c:v>43476</c:v>
                </c:pt>
                <c:pt idx="502">
                  <c:v>43475</c:v>
                </c:pt>
                <c:pt idx="503">
                  <c:v>43474</c:v>
                </c:pt>
                <c:pt idx="504">
                  <c:v>43473</c:v>
                </c:pt>
                <c:pt idx="505">
                  <c:v>43469</c:v>
                </c:pt>
                <c:pt idx="506">
                  <c:v>43468</c:v>
                </c:pt>
                <c:pt idx="507">
                  <c:v>43463</c:v>
                </c:pt>
                <c:pt idx="508">
                  <c:v>43462</c:v>
                </c:pt>
                <c:pt idx="509">
                  <c:v>43461</c:v>
                </c:pt>
                <c:pt idx="510">
                  <c:v>43460</c:v>
                </c:pt>
                <c:pt idx="511">
                  <c:v>43459</c:v>
                </c:pt>
                <c:pt idx="512">
                  <c:v>43458</c:v>
                </c:pt>
                <c:pt idx="513">
                  <c:v>43455</c:v>
                </c:pt>
                <c:pt idx="514">
                  <c:v>43454</c:v>
                </c:pt>
                <c:pt idx="515">
                  <c:v>43453</c:v>
                </c:pt>
                <c:pt idx="516">
                  <c:v>43452</c:v>
                </c:pt>
                <c:pt idx="517">
                  <c:v>43451</c:v>
                </c:pt>
                <c:pt idx="518">
                  <c:v>43448</c:v>
                </c:pt>
                <c:pt idx="519">
                  <c:v>43447</c:v>
                </c:pt>
                <c:pt idx="520">
                  <c:v>43446</c:v>
                </c:pt>
                <c:pt idx="521">
                  <c:v>43445</c:v>
                </c:pt>
                <c:pt idx="522">
                  <c:v>43444</c:v>
                </c:pt>
                <c:pt idx="523">
                  <c:v>43441</c:v>
                </c:pt>
                <c:pt idx="524">
                  <c:v>43440</c:v>
                </c:pt>
                <c:pt idx="525">
                  <c:v>43439</c:v>
                </c:pt>
                <c:pt idx="526">
                  <c:v>43438</c:v>
                </c:pt>
                <c:pt idx="527">
                  <c:v>43437</c:v>
                </c:pt>
                <c:pt idx="528">
                  <c:v>43434</c:v>
                </c:pt>
                <c:pt idx="529">
                  <c:v>43433</c:v>
                </c:pt>
                <c:pt idx="530">
                  <c:v>43432</c:v>
                </c:pt>
                <c:pt idx="531">
                  <c:v>43431</c:v>
                </c:pt>
                <c:pt idx="532">
                  <c:v>43430</c:v>
                </c:pt>
                <c:pt idx="533">
                  <c:v>43427</c:v>
                </c:pt>
                <c:pt idx="534">
                  <c:v>43426</c:v>
                </c:pt>
                <c:pt idx="535">
                  <c:v>43425</c:v>
                </c:pt>
                <c:pt idx="536">
                  <c:v>43424</c:v>
                </c:pt>
                <c:pt idx="537">
                  <c:v>43423</c:v>
                </c:pt>
                <c:pt idx="538">
                  <c:v>43420</c:v>
                </c:pt>
                <c:pt idx="539">
                  <c:v>43419</c:v>
                </c:pt>
                <c:pt idx="540">
                  <c:v>43418</c:v>
                </c:pt>
                <c:pt idx="541">
                  <c:v>43417</c:v>
                </c:pt>
                <c:pt idx="542">
                  <c:v>43416</c:v>
                </c:pt>
                <c:pt idx="543">
                  <c:v>43413</c:v>
                </c:pt>
                <c:pt idx="544">
                  <c:v>43412</c:v>
                </c:pt>
                <c:pt idx="545">
                  <c:v>43411</c:v>
                </c:pt>
                <c:pt idx="546">
                  <c:v>43410</c:v>
                </c:pt>
                <c:pt idx="547">
                  <c:v>43406</c:v>
                </c:pt>
                <c:pt idx="548">
                  <c:v>43405</c:v>
                </c:pt>
                <c:pt idx="549">
                  <c:v>43404</c:v>
                </c:pt>
                <c:pt idx="550">
                  <c:v>43403</c:v>
                </c:pt>
                <c:pt idx="551">
                  <c:v>43402</c:v>
                </c:pt>
                <c:pt idx="552">
                  <c:v>43399</c:v>
                </c:pt>
                <c:pt idx="553">
                  <c:v>43398</c:v>
                </c:pt>
                <c:pt idx="554">
                  <c:v>43397</c:v>
                </c:pt>
                <c:pt idx="555">
                  <c:v>43396</c:v>
                </c:pt>
                <c:pt idx="556">
                  <c:v>43395</c:v>
                </c:pt>
                <c:pt idx="557">
                  <c:v>43392</c:v>
                </c:pt>
                <c:pt idx="558">
                  <c:v>43391</c:v>
                </c:pt>
                <c:pt idx="559">
                  <c:v>43390</c:v>
                </c:pt>
                <c:pt idx="560">
                  <c:v>43389</c:v>
                </c:pt>
                <c:pt idx="561">
                  <c:v>43388</c:v>
                </c:pt>
                <c:pt idx="562">
                  <c:v>43385</c:v>
                </c:pt>
                <c:pt idx="563">
                  <c:v>43384</c:v>
                </c:pt>
                <c:pt idx="564">
                  <c:v>43383</c:v>
                </c:pt>
                <c:pt idx="565">
                  <c:v>43382</c:v>
                </c:pt>
                <c:pt idx="566">
                  <c:v>43381</c:v>
                </c:pt>
                <c:pt idx="567">
                  <c:v>43378</c:v>
                </c:pt>
                <c:pt idx="568">
                  <c:v>43377</c:v>
                </c:pt>
                <c:pt idx="569">
                  <c:v>43376</c:v>
                </c:pt>
                <c:pt idx="570">
                  <c:v>43375</c:v>
                </c:pt>
                <c:pt idx="571">
                  <c:v>43374</c:v>
                </c:pt>
                <c:pt idx="572">
                  <c:v>43371</c:v>
                </c:pt>
                <c:pt idx="573">
                  <c:v>43370</c:v>
                </c:pt>
                <c:pt idx="574">
                  <c:v>43369</c:v>
                </c:pt>
                <c:pt idx="575">
                  <c:v>43368</c:v>
                </c:pt>
                <c:pt idx="576">
                  <c:v>43367</c:v>
                </c:pt>
                <c:pt idx="577">
                  <c:v>43364</c:v>
                </c:pt>
                <c:pt idx="578">
                  <c:v>43363</c:v>
                </c:pt>
                <c:pt idx="579">
                  <c:v>43362</c:v>
                </c:pt>
                <c:pt idx="580">
                  <c:v>43361</c:v>
                </c:pt>
                <c:pt idx="581">
                  <c:v>43360</c:v>
                </c:pt>
                <c:pt idx="582">
                  <c:v>43357</c:v>
                </c:pt>
                <c:pt idx="583">
                  <c:v>43356</c:v>
                </c:pt>
                <c:pt idx="584">
                  <c:v>43355</c:v>
                </c:pt>
                <c:pt idx="585">
                  <c:v>43354</c:v>
                </c:pt>
                <c:pt idx="586">
                  <c:v>43353</c:v>
                </c:pt>
                <c:pt idx="587">
                  <c:v>43350</c:v>
                </c:pt>
                <c:pt idx="588">
                  <c:v>43349</c:v>
                </c:pt>
                <c:pt idx="589">
                  <c:v>43348</c:v>
                </c:pt>
                <c:pt idx="590">
                  <c:v>43347</c:v>
                </c:pt>
                <c:pt idx="591">
                  <c:v>43346</c:v>
                </c:pt>
                <c:pt idx="592">
                  <c:v>43343</c:v>
                </c:pt>
                <c:pt idx="593">
                  <c:v>43342</c:v>
                </c:pt>
                <c:pt idx="594">
                  <c:v>43341</c:v>
                </c:pt>
                <c:pt idx="595">
                  <c:v>43340</c:v>
                </c:pt>
                <c:pt idx="596">
                  <c:v>43339</c:v>
                </c:pt>
                <c:pt idx="597">
                  <c:v>43336</c:v>
                </c:pt>
                <c:pt idx="598">
                  <c:v>43335</c:v>
                </c:pt>
                <c:pt idx="599">
                  <c:v>43334</c:v>
                </c:pt>
                <c:pt idx="600">
                  <c:v>43333</c:v>
                </c:pt>
                <c:pt idx="601">
                  <c:v>43332</c:v>
                </c:pt>
                <c:pt idx="602">
                  <c:v>43329</c:v>
                </c:pt>
                <c:pt idx="603">
                  <c:v>43328</c:v>
                </c:pt>
                <c:pt idx="604">
                  <c:v>43327</c:v>
                </c:pt>
                <c:pt idx="605">
                  <c:v>43326</c:v>
                </c:pt>
                <c:pt idx="606">
                  <c:v>43325</c:v>
                </c:pt>
                <c:pt idx="607">
                  <c:v>43322</c:v>
                </c:pt>
                <c:pt idx="608">
                  <c:v>43321</c:v>
                </c:pt>
                <c:pt idx="609">
                  <c:v>43320</c:v>
                </c:pt>
                <c:pt idx="610">
                  <c:v>43319</c:v>
                </c:pt>
                <c:pt idx="611">
                  <c:v>43318</c:v>
                </c:pt>
                <c:pt idx="612">
                  <c:v>43315</c:v>
                </c:pt>
                <c:pt idx="613">
                  <c:v>43314</c:v>
                </c:pt>
                <c:pt idx="614">
                  <c:v>43313</c:v>
                </c:pt>
                <c:pt idx="615">
                  <c:v>43312</c:v>
                </c:pt>
                <c:pt idx="616">
                  <c:v>43311</c:v>
                </c:pt>
                <c:pt idx="617">
                  <c:v>43308</c:v>
                </c:pt>
                <c:pt idx="618">
                  <c:v>43307</c:v>
                </c:pt>
                <c:pt idx="619">
                  <c:v>43306</c:v>
                </c:pt>
                <c:pt idx="620">
                  <c:v>43305</c:v>
                </c:pt>
                <c:pt idx="621">
                  <c:v>43304</c:v>
                </c:pt>
                <c:pt idx="622">
                  <c:v>43301</c:v>
                </c:pt>
                <c:pt idx="623">
                  <c:v>43300</c:v>
                </c:pt>
                <c:pt idx="624">
                  <c:v>43299</c:v>
                </c:pt>
                <c:pt idx="625">
                  <c:v>43298</c:v>
                </c:pt>
                <c:pt idx="626">
                  <c:v>43297</c:v>
                </c:pt>
                <c:pt idx="627">
                  <c:v>43294</c:v>
                </c:pt>
                <c:pt idx="628">
                  <c:v>43293</c:v>
                </c:pt>
                <c:pt idx="629">
                  <c:v>43292</c:v>
                </c:pt>
                <c:pt idx="630">
                  <c:v>43291</c:v>
                </c:pt>
                <c:pt idx="631">
                  <c:v>43290</c:v>
                </c:pt>
                <c:pt idx="632">
                  <c:v>43287</c:v>
                </c:pt>
                <c:pt idx="633">
                  <c:v>43286</c:v>
                </c:pt>
                <c:pt idx="634">
                  <c:v>43285</c:v>
                </c:pt>
                <c:pt idx="635">
                  <c:v>43284</c:v>
                </c:pt>
                <c:pt idx="636">
                  <c:v>43283</c:v>
                </c:pt>
                <c:pt idx="637">
                  <c:v>43280</c:v>
                </c:pt>
                <c:pt idx="638">
                  <c:v>43279</c:v>
                </c:pt>
                <c:pt idx="639">
                  <c:v>43278</c:v>
                </c:pt>
                <c:pt idx="640">
                  <c:v>43277</c:v>
                </c:pt>
                <c:pt idx="641">
                  <c:v>43276</c:v>
                </c:pt>
                <c:pt idx="642">
                  <c:v>43273</c:v>
                </c:pt>
                <c:pt idx="643">
                  <c:v>43272</c:v>
                </c:pt>
                <c:pt idx="644">
                  <c:v>43271</c:v>
                </c:pt>
                <c:pt idx="645">
                  <c:v>43270</c:v>
                </c:pt>
                <c:pt idx="646">
                  <c:v>43269</c:v>
                </c:pt>
                <c:pt idx="647">
                  <c:v>43266</c:v>
                </c:pt>
                <c:pt idx="648">
                  <c:v>43265</c:v>
                </c:pt>
                <c:pt idx="649">
                  <c:v>43264</c:v>
                </c:pt>
                <c:pt idx="650">
                  <c:v>43262</c:v>
                </c:pt>
                <c:pt idx="651">
                  <c:v>43260</c:v>
                </c:pt>
                <c:pt idx="652">
                  <c:v>43259</c:v>
                </c:pt>
                <c:pt idx="653">
                  <c:v>43258</c:v>
                </c:pt>
                <c:pt idx="654">
                  <c:v>43257</c:v>
                </c:pt>
                <c:pt idx="655">
                  <c:v>43256</c:v>
                </c:pt>
                <c:pt idx="656">
                  <c:v>43255</c:v>
                </c:pt>
                <c:pt idx="657">
                  <c:v>43252</c:v>
                </c:pt>
                <c:pt idx="658">
                  <c:v>43251</c:v>
                </c:pt>
                <c:pt idx="659">
                  <c:v>43250</c:v>
                </c:pt>
                <c:pt idx="660">
                  <c:v>43249</c:v>
                </c:pt>
                <c:pt idx="661">
                  <c:v>43248</c:v>
                </c:pt>
                <c:pt idx="662">
                  <c:v>43245</c:v>
                </c:pt>
                <c:pt idx="663">
                  <c:v>43244</c:v>
                </c:pt>
                <c:pt idx="664">
                  <c:v>43243</c:v>
                </c:pt>
                <c:pt idx="665">
                  <c:v>43242</c:v>
                </c:pt>
                <c:pt idx="666">
                  <c:v>43241</c:v>
                </c:pt>
                <c:pt idx="667">
                  <c:v>43238</c:v>
                </c:pt>
                <c:pt idx="668">
                  <c:v>43237</c:v>
                </c:pt>
                <c:pt idx="669">
                  <c:v>43236</c:v>
                </c:pt>
                <c:pt idx="670">
                  <c:v>43235</c:v>
                </c:pt>
                <c:pt idx="671">
                  <c:v>43234</c:v>
                </c:pt>
                <c:pt idx="672">
                  <c:v>43231</c:v>
                </c:pt>
                <c:pt idx="673">
                  <c:v>43230</c:v>
                </c:pt>
                <c:pt idx="674">
                  <c:v>43228</c:v>
                </c:pt>
                <c:pt idx="675">
                  <c:v>43227</c:v>
                </c:pt>
                <c:pt idx="676">
                  <c:v>43224</c:v>
                </c:pt>
                <c:pt idx="677">
                  <c:v>43223</c:v>
                </c:pt>
                <c:pt idx="678">
                  <c:v>43222</c:v>
                </c:pt>
                <c:pt idx="679">
                  <c:v>43220</c:v>
                </c:pt>
                <c:pt idx="680">
                  <c:v>43218</c:v>
                </c:pt>
                <c:pt idx="681">
                  <c:v>43217</c:v>
                </c:pt>
                <c:pt idx="682">
                  <c:v>43216</c:v>
                </c:pt>
                <c:pt idx="683">
                  <c:v>43215</c:v>
                </c:pt>
                <c:pt idx="684">
                  <c:v>43214</c:v>
                </c:pt>
                <c:pt idx="685">
                  <c:v>43213</c:v>
                </c:pt>
                <c:pt idx="686">
                  <c:v>43210</c:v>
                </c:pt>
                <c:pt idx="687">
                  <c:v>43209</c:v>
                </c:pt>
                <c:pt idx="688">
                  <c:v>43208</c:v>
                </c:pt>
                <c:pt idx="689">
                  <c:v>43207</c:v>
                </c:pt>
                <c:pt idx="690">
                  <c:v>43206</c:v>
                </c:pt>
                <c:pt idx="691">
                  <c:v>43203</c:v>
                </c:pt>
                <c:pt idx="692">
                  <c:v>43202</c:v>
                </c:pt>
                <c:pt idx="693">
                  <c:v>43201</c:v>
                </c:pt>
                <c:pt idx="694">
                  <c:v>43200</c:v>
                </c:pt>
                <c:pt idx="695">
                  <c:v>43199</c:v>
                </c:pt>
                <c:pt idx="696">
                  <c:v>43196</c:v>
                </c:pt>
                <c:pt idx="697">
                  <c:v>43195</c:v>
                </c:pt>
                <c:pt idx="698">
                  <c:v>43194</c:v>
                </c:pt>
                <c:pt idx="699">
                  <c:v>43193</c:v>
                </c:pt>
                <c:pt idx="700">
                  <c:v>43192</c:v>
                </c:pt>
                <c:pt idx="701">
                  <c:v>43189</c:v>
                </c:pt>
                <c:pt idx="702">
                  <c:v>43188</c:v>
                </c:pt>
                <c:pt idx="703">
                  <c:v>43187</c:v>
                </c:pt>
                <c:pt idx="704">
                  <c:v>43186</c:v>
                </c:pt>
                <c:pt idx="705">
                  <c:v>43185</c:v>
                </c:pt>
                <c:pt idx="706">
                  <c:v>43182</c:v>
                </c:pt>
                <c:pt idx="707">
                  <c:v>43181</c:v>
                </c:pt>
                <c:pt idx="708">
                  <c:v>43180</c:v>
                </c:pt>
                <c:pt idx="709">
                  <c:v>43179</c:v>
                </c:pt>
                <c:pt idx="710">
                  <c:v>43178</c:v>
                </c:pt>
                <c:pt idx="711">
                  <c:v>43175</c:v>
                </c:pt>
                <c:pt idx="712">
                  <c:v>43174</c:v>
                </c:pt>
                <c:pt idx="713">
                  <c:v>43173</c:v>
                </c:pt>
                <c:pt idx="714">
                  <c:v>43172</c:v>
                </c:pt>
              </c:numCache>
            </c:numRef>
          </c:cat>
          <c:val>
            <c:numRef>
              <c:f>t!$K$3:$K$717</c:f>
              <c:numCache>
                <c:formatCode>0.00</c:formatCode>
                <c:ptCount val="715"/>
                <c:pt idx="0">
                  <c:v>8.9756635011079595</c:v>
                </c:pt>
                <c:pt idx="1">
                  <c:v>8.9222266540044526</c:v>
                </c:pt>
                <c:pt idx="2">
                  <c:v>8.8958353909465266</c:v>
                </c:pt>
                <c:pt idx="3">
                  <c:v>9.1354849635960989</c:v>
                </c:pt>
                <c:pt idx="4">
                  <c:v>9.0147309275087402</c:v>
                </c:pt>
                <c:pt idx="5">
                  <c:v>8.8720799303577369</c:v>
                </c:pt>
                <c:pt idx="6">
                  <c:v>8.6220398860399037</c:v>
                </c:pt>
                <c:pt idx="7">
                  <c:v>8.394181861348553</c:v>
                </c:pt>
                <c:pt idx="8">
                  <c:v>7.998154004431794</c:v>
                </c:pt>
                <c:pt idx="9">
                  <c:v>7.6016636593859053</c:v>
                </c:pt>
                <c:pt idx="10">
                  <c:v>7.258260683760696</c:v>
                </c:pt>
                <c:pt idx="11">
                  <c:v>6.9202393162393276</c:v>
                </c:pt>
                <c:pt idx="12">
                  <c:v>6.4992486546375474</c:v>
                </c:pt>
                <c:pt idx="13">
                  <c:v>6.479771288382393</c:v>
                </c:pt>
                <c:pt idx="14">
                  <c:v>6.4121490978157514</c:v>
                </c:pt>
                <c:pt idx="15">
                  <c:v>6.2333494776828067</c:v>
                </c:pt>
                <c:pt idx="16">
                  <c:v>6.2587643241532138</c:v>
                </c:pt>
                <c:pt idx="17">
                  <c:v>6.6293600823045038</c:v>
                </c:pt>
                <c:pt idx="18">
                  <c:v>7.140780943336468</c:v>
                </c:pt>
                <c:pt idx="19">
                  <c:v>7.500029914529887</c:v>
                </c:pt>
                <c:pt idx="20">
                  <c:v>8.04876923076921</c:v>
                </c:pt>
                <c:pt idx="21">
                  <c:v>8.6100895853117834</c:v>
                </c:pt>
                <c:pt idx="22">
                  <c:v>9.1068732193731918</c:v>
                </c:pt>
                <c:pt idx="23">
                  <c:v>9.4309036087369158</c:v>
                </c:pt>
                <c:pt idx="24">
                  <c:v>9.6351468819246264</c:v>
                </c:pt>
                <c:pt idx="25">
                  <c:v>9.7520161443494384</c:v>
                </c:pt>
                <c:pt idx="26">
                  <c:v>9.6394248179803306</c:v>
                </c:pt>
                <c:pt idx="27">
                  <c:v>9.2668594491927436</c:v>
                </c:pt>
                <c:pt idx="28">
                  <c:v>8.7655612535612164</c:v>
                </c:pt>
                <c:pt idx="29">
                  <c:v>8.0179396961063407</c:v>
                </c:pt>
                <c:pt idx="30">
                  <c:v>7.1948839822728381</c:v>
                </c:pt>
                <c:pt idx="31">
                  <c:v>6.1302046533712984</c:v>
                </c:pt>
                <c:pt idx="32">
                  <c:v>4.9414404874960329</c:v>
                </c:pt>
                <c:pt idx="33">
                  <c:v>3.8226552706552512</c:v>
                </c:pt>
                <c:pt idx="34">
                  <c:v>2.7274558404558285</c:v>
                </c:pt>
                <c:pt idx="35">
                  <c:v>1.5966074707185722</c:v>
                </c:pt>
                <c:pt idx="36">
                  <c:v>0.43388477366254713</c:v>
                </c:pt>
                <c:pt idx="37">
                  <c:v>-0.47924691358025162</c:v>
                </c:pt>
                <c:pt idx="38">
                  <c:v>-1.5117983539094668</c:v>
                </c:pt>
                <c:pt idx="39">
                  <c:v>-2.3264202279202109</c:v>
                </c:pt>
                <c:pt idx="40">
                  <c:v>-2.8081039886039703</c:v>
                </c:pt>
                <c:pt idx="41">
                  <c:v>-3.0944922443811191</c:v>
                </c:pt>
                <c:pt idx="42">
                  <c:v>-3.4001119025007811</c:v>
                </c:pt>
                <c:pt idx="43">
                  <c:v>-3.660353434631189</c:v>
                </c:pt>
                <c:pt idx="44">
                  <c:v>-3.7422234884456804</c:v>
                </c:pt>
                <c:pt idx="45">
                  <c:v>-3.9122611585944567</c:v>
                </c:pt>
                <c:pt idx="46">
                  <c:v>-4.0613740107628677</c:v>
                </c:pt>
                <c:pt idx="47">
                  <c:v>-4.1107193732193519</c:v>
                </c:pt>
                <c:pt idx="48">
                  <c:v>-4.0666354859132392</c:v>
                </c:pt>
                <c:pt idx="49">
                  <c:v>-4.1983814498258818</c:v>
                </c:pt>
                <c:pt idx="50">
                  <c:v>-4.1221970560303696</c:v>
                </c:pt>
                <c:pt idx="51">
                  <c:v>-4.1700495409939737</c:v>
                </c:pt>
                <c:pt idx="52">
                  <c:v>-4.2683160810383001</c:v>
                </c:pt>
                <c:pt idx="53">
                  <c:v>-4.3911832858499498</c:v>
                </c:pt>
                <c:pt idx="54">
                  <c:v>-4.4652190566635062</c:v>
                </c:pt>
                <c:pt idx="55">
                  <c:v>-4.4339010762899767</c:v>
                </c:pt>
                <c:pt idx="56">
                  <c:v>-4.4525471668249583</c:v>
                </c:pt>
                <c:pt idx="57">
                  <c:v>-4.3452255460589075</c:v>
                </c:pt>
                <c:pt idx="58">
                  <c:v>-4.1023801836024258</c:v>
                </c:pt>
                <c:pt idx="59">
                  <c:v>-3.902678062678079</c:v>
                </c:pt>
                <c:pt idx="60">
                  <c:v>-3.6707951883507546</c:v>
                </c:pt>
                <c:pt idx="61">
                  <c:v>-3.3636805951250341</c:v>
                </c:pt>
                <c:pt idx="62">
                  <c:v>-3.1838050015827943</c:v>
                </c:pt>
                <c:pt idx="63">
                  <c:v>-2.8902353592909273</c:v>
                </c:pt>
                <c:pt idx="64">
                  <c:v>-2.6372782526115892</c:v>
                </c:pt>
                <c:pt idx="65">
                  <c:v>-2.4660557138334931</c:v>
                </c:pt>
                <c:pt idx="66">
                  <c:v>-2.3570068059512566</c:v>
                </c:pt>
                <c:pt idx="67">
                  <c:v>-2.2860378284267022</c:v>
                </c:pt>
                <c:pt idx="68">
                  <c:v>-2.3081411839189516</c:v>
                </c:pt>
                <c:pt idx="69">
                  <c:v>-2.3534349477682701</c:v>
                </c:pt>
                <c:pt idx="70">
                  <c:v>-2.515885406774288</c:v>
                </c:pt>
                <c:pt idx="71">
                  <c:v>-2.7404528331750608</c:v>
                </c:pt>
                <c:pt idx="72">
                  <c:v>-3.0628295346628778</c:v>
                </c:pt>
                <c:pt idx="73">
                  <c:v>-3.4387700221589212</c:v>
                </c:pt>
                <c:pt idx="74">
                  <c:v>-3.7585519151630264</c:v>
                </c:pt>
                <c:pt idx="75">
                  <c:v>-4.0296370686926135</c:v>
                </c:pt>
                <c:pt idx="76">
                  <c:v>-4.2852687559354106</c:v>
                </c:pt>
                <c:pt idx="77">
                  <c:v>-4.3580715416270763</c:v>
                </c:pt>
                <c:pt idx="78">
                  <c:v>-4.385335707502362</c:v>
                </c:pt>
                <c:pt idx="79">
                  <c:v>-4.3570261158594299</c:v>
                </c:pt>
                <c:pt idx="80">
                  <c:v>-4.274634061411815</c:v>
                </c:pt>
                <c:pt idx="81">
                  <c:v>-4.0775172522950056</c:v>
                </c:pt>
                <c:pt idx="82">
                  <c:v>-3.6594480848369448</c:v>
                </c:pt>
                <c:pt idx="83">
                  <c:v>-3.2599841722063729</c:v>
                </c:pt>
                <c:pt idx="84">
                  <c:v>-2.6975433681544354</c:v>
                </c:pt>
                <c:pt idx="85">
                  <c:v>-2.0511687242798113</c:v>
                </c:pt>
                <c:pt idx="86">
                  <c:v>-1.3649924026590448</c:v>
                </c:pt>
                <c:pt idx="87">
                  <c:v>-0.7638396644507629</c:v>
                </c:pt>
                <c:pt idx="88">
                  <c:v>-0.25073061095281574</c:v>
                </c:pt>
                <c:pt idx="89">
                  <c:v>0.26947056030390842</c:v>
                </c:pt>
                <c:pt idx="90">
                  <c:v>0.74413247863249499</c:v>
                </c:pt>
                <c:pt idx="91">
                  <c:v>1.0899547325103314</c:v>
                </c:pt>
                <c:pt idx="92">
                  <c:v>1.4791945235834434</c:v>
                </c:pt>
                <c:pt idx="93">
                  <c:v>1.7002917062361753</c:v>
                </c:pt>
                <c:pt idx="94">
                  <c:v>1.7333518518518729</c:v>
                </c:pt>
                <c:pt idx="95">
                  <c:v>1.5448393478949174</c:v>
                </c:pt>
                <c:pt idx="96">
                  <c:v>1.2957852168407771</c:v>
                </c:pt>
                <c:pt idx="97">
                  <c:v>0.94578094333650908</c:v>
                </c:pt>
                <c:pt idx="98">
                  <c:v>0.62957549857551642</c:v>
                </c:pt>
                <c:pt idx="99">
                  <c:v>0.11703260525483378</c:v>
                </c:pt>
                <c:pt idx="100">
                  <c:v>-0.52992434314657355</c:v>
                </c:pt>
                <c:pt idx="101">
                  <c:v>-1.2157554605887992</c:v>
                </c:pt>
                <c:pt idx="102">
                  <c:v>-1.9161161760050658</c:v>
                </c:pt>
                <c:pt idx="103">
                  <c:v>-2.568459322570432</c:v>
                </c:pt>
                <c:pt idx="104">
                  <c:v>-3.2462187401076146</c:v>
                </c:pt>
                <c:pt idx="105">
                  <c:v>-3.8700153529597823</c:v>
                </c:pt>
                <c:pt idx="106">
                  <c:v>-4.328598607154146</c:v>
                </c:pt>
                <c:pt idx="107">
                  <c:v>-4.6352220639442665</c:v>
                </c:pt>
                <c:pt idx="108">
                  <c:v>-4.7191388097499072</c:v>
                </c:pt>
                <c:pt idx="109">
                  <c:v>-4.7703364988920436</c:v>
                </c:pt>
                <c:pt idx="110">
                  <c:v>-4.8318653054764047</c:v>
                </c:pt>
                <c:pt idx="111">
                  <c:v>-4.6272651155428797</c:v>
                </c:pt>
                <c:pt idx="112">
                  <c:v>-4.3911280468502669</c:v>
                </c:pt>
                <c:pt idx="113">
                  <c:v>-4.1008442545109087</c:v>
                </c:pt>
                <c:pt idx="114">
                  <c:v>-3.6044270338714721</c:v>
                </c:pt>
                <c:pt idx="115">
                  <c:v>-3.2057016460905539</c:v>
                </c:pt>
                <c:pt idx="116">
                  <c:v>-2.7018529597974066</c:v>
                </c:pt>
                <c:pt idx="117">
                  <c:v>-2.2445542893320702</c:v>
                </c:pt>
                <c:pt idx="118">
                  <c:v>-1.8879844887622685</c:v>
                </c:pt>
                <c:pt idx="119">
                  <c:v>-1.549004590060147</c:v>
                </c:pt>
                <c:pt idx="120">
                  <c:v>-1.3775493827160599</c:v>
                </c:pt>
                <c:pt idx="121">
                  <c:v>-1.3070270655270881</c:v>
                </c:pt>
                <c:pt idx="122">
                  <c:v>-1.4704692940804283</c:v>
                </c:pt>
                <c:pt idx="123">
                  <c:v>-1.5376630262741742</c:v>
                </c:pt>
                <c:pt idx="124">
                  <c:v>-1.5449931940487844</c:v>
                </c:pt>
                <c:pt idx="125">
                  <c:v>-1.4606199746755435</c:v>
                </c:pt>
                <c:pt idx="126">
                  <c:v>-1.74170845204181</c:v>
                </c:pt>
                <c:pt idx="127">
                  <c:v>-1.7978589743589852</c:v>
                </c:pt>
                <c:pt idx="128">
                  <c:v>-1.9822812598923822</c:v>
                </c:pt>
                <c:pt idx="129">
                  <c:v>-1.9814067742956656</c:v>
                </c:pt>
                <c:pt idx="130">
                  <c:v>-1.9917475466919874</c:v>
                </c:pt>
                <c:pt idx="131">
                  <c:v>-1.7076956315289604</c:v>
                </c:pt>
                <c:pt idx="132">
                  <c:v>-1.4015800886356109</c:v>
                </c:pt>
                <c:pt idx="133">
                  <c:v>-1.0141071541626723</c:v>
                </c:pt>
                <c:pt idx="134">
                  <c:v>-0.42818502690722404</c:v>
                </c:pt>
                <c:pt idx="135">
                  <c:v>0.36467062361508951</c:v>
                </c:pt>
                <c:pt idx="136">
                  <c:v>0.97252342513454315</c:v>
                </c:pt>
                <c:pt idx="137">
                  <c:v>1.7327337765115627</c:v>
                </c:pt>
                <c:pt idx="138">
                  <c:v>2.5292652738208319</c:v>
                </c:pt>
                <c:pt idx="139">
                  <c:v>3.2585544476100119</c:v>
                </c:pt>
                <c:pt idx="140">
                  <c:v>4.0250622032288863</c:v>
                </c:pt>
                <c:pt idx="141">
                  <c:v>4.453551915163021</c:v>
                </c:pt>
                <c:pt idx="142">
                  <c:v>4.8720504906616018</c:v>
                </c:pt>
                <c:pt idx="143">
                  <c:v>5.2309999999999928</c:v>
                </c:pt>
                <c:pt idx="144">
                  <c:v>5.3544050332383692</c:v>
                </c:pt>
                <c:pt idx="145">
                  <c:v>5.4211130104463461</c:v>
                </c:pt>
                <c:pt idx="146">
                  <c:v>5.4232503956948417</c:v>
                </c:pt>
                <c:pt idx="147">
                  <c:v>5.2789759417537283</c:v>
                </c:pt>
                <c:pt idx="148">
                  <c:v>4.8966253561253748</c:v>
                </c:pt>
                <c:pt idx="149">
                  <c:v>4.46726875593545</c:v>
                </c:pt>
                <c:pt idx="150">
                  <c:v>4.1392841088952466</c:v>
                </c:pt>
                <c:pt idx="151">
                  <c:v>3.8903920544476245</c:v>
                </c:pt>
                <c:pt idx="152">
                  <c:v>3.3154911364356039</c:v>
                </c:pt>
                <c:pt idx="153">
                  <c:v>2.7315196264640917</c:v>
                </c:pt>
                <c:pt idx="154">
                  <c:v>2.294645457423262</c:v>
                </c:pt>
                <c:pt idx="155">
                  <c:v>1.8684841722064107</c:v>
                </c:pt>
                <c:pt idx="156">
                  <c:v>1.4534697689142346</c:v>
                </c:pt>
                <c:pt idx="157">
                  <c:v>1.1540612535612753</c:v>
                </c:pt>
                <c:pt idx="158">
                  <c:v>0.8292250712250735</c:v>
                </c:pt>
                <c:pt idx="159">
                  <c:v>0.50387559354225953</c:v>
                </c:pt>
                <c:pt idx="160">
                  <c:v>0.30949113643557352</c:v>
                </c:pt>
                <c:pt idx="161">
                  <c:v>0.10193209876541749</c:v>
                </c:pt>
                <c:pt idx="162">
                  <c:v>-0.11757249129472661</c:v>
                </c:pt>
                <c:pt idx="163">
                  <c:v>-0.17971604938274482</c:v>
                </c:pt>
                <c:pt idx="164">
                  <c:v>-0.42249256093701448</c:v>
                </c:pt>
                <c:pt idx="165">
                  <c:v>-0.35030990819882013</c:v>
                </c:pt>
                <c:pt idx="166">
                  <c:v>-0.21543653054766754</c:v>
                </c:pt>
                <c:pt idx="167">
                  <c:v>-1.8334757834777018E-2</c:v>
                </c:pt>
                <c:pt idx="168">
                  <c:v>0.17989300411521247</c:v>
                </c:pt>
                <c:pt idx="169">
                  <c:v>0.4341858182969045</c:v>
                </c:pt>
                <c:pt idx="170">
                  <c:v>0.84740550807216242</c:v>
                </c:pt>
                <c:pt idx="171">
                  <c:v>1.3672901234567854</c:v>
                </c:pt>
                <c:pt idx="172">
                  <c:v>1.7588478949034467</c:v>
                </c:pt>
                <c:pt idx="173">
                  <c:v>2.4027176321620791</c:v>
                </c:pt>
                <c:pt idx="174">
                  <c:v>3.1320631528965053</c:v>
                </c:pt>
                <c:pt idx="175">
                  <c:v>3.6497465970243987</c:v>
                </c:pt>
                <c:pt idx="176">
                  <c:v>4.4235364039252936</c:v>
                </c:pt>
                <c:pt idx="177">
                  <c:v>5.1731415004748396</c:v>
                </c:pt>
                <c:pt idx="178">
                  <c:v>5.8182985121874173</c:v>
                </c:pt>
                <c:pt idx="179">
                  <c:v>6.25197451725231</c:v>
                </c:pt>
                <c:pt idx="180">
                  <c:v>6.4150409939854622</c:v>
                </c:pt>
                <c:pt idx="181">
                  <c:v>6.5955096549541308</c:v>
                </c:pt>
                <c:pt idx="182">
                  <c:v>6.3406968977524798</c:v>
                </c:pt>
                <c:pt idx="183">
                  <c:v>5.8213540677429805</c:v>
                </c:pt>
                <c:pt idx="184">
                  <c:v>5.0385125039569534</c:v>
                </c:pt>
                <c:pt idx="185">
                  <c:v>3.9902084520418</c:v>
                </c:pt>
                <c:pt idx="186">
                  <c:v>2.2957996201329607</c:v>
                </c:pt>
                <c:pt idx="187">
                  <c:v>0.61677761949984278</c:v>
                </c:pt>
                <c:pt idx="188">
                  <c:v>-1.4101112693890623</c:v>
                </c:pt>
                <c:pt idx="189">
                  <c:v>-3.7008281101614533</c:v>
                </c:pt>
                <c:pt idx="190">
                  <c:v>-6.1805878442545268</c:v>
                </c:pt>
                <c:pt idx="191">
                  <c:v>-8.5556904083570906</c:v>
                </c:pt>
                <c:pt idx="192">
                  <c:v>-11.079136119025016</c:v>
                </c:pt>
                <c:pt idx="193">
                  <c:v>-13.705003640392539</c:v>
                </c:pt>
                <c:pt idx="194">
                  <c:v>-16.058880183602426</c:v>
                </c:pt>
                <c:pt idx="195">
                  <c:v>-18.010373219373236</c:v>
                </c:pt>
                <c:pt idx="196">
                  <c:v>-19.955208768597657</c:v>
                </c:pt>
                <c:pt idx="197">
                  <c:v>-21.498064260842035</c:v>
                </c:pt>
                <c:pt idx="198">
                  <c:v>-22.368428458372879</c:v>
                </c:pt>
                <c:pt idx="199">
                  <c:v>-23.177425609370029</c:v>
                </c:pt>
                <c:pt idx="200">
                  <c:v>-23.353119658119631</c:v>
                </c:pt>
                <c:pt idx="201">
                  <c:v>-23.085255935422587</c:v>
                </c:pt>
                <c:pt idx="202">
                  <c:v>-22.144505856283622</c:v>
                </c:pt>
                <c:pt idx="203">
                  <c:v>-21.083333649889209</c:v>
                </c:pt>
                <c:pt idx="204">
                  <c:v>-19.85873251028805</c:v>
                </c:pt>
                <c:pt idx="205">
                  <c:v>-18.220437638493195</c:v>
                </c:pt>
                <c:pt idx="206">
                  <c:v>-16.304322728711611</c:v>
                </c:pt>
                <c:pt idx="207">
                  <c:v>-14.404095283317503</c:v>
                </c:pt>
                <c:pt idx="208">
                  <c:v>-12.474976258309603</c:v>
                </c:pt>
                <c:pt idx="209">
                  <c:v>-10.224687084520433</c:v>
                </c:pt>
                <c:pt idx="210">
                  <c:v>-8.4348755935422748</c:v>
                </c:pt>
                <c:pt idx="211">
                  <c:v>-6.6944798987021272</c:v>
                </c:pt>
                <c:pt idx="212">
                  <c:v>-5.5338893637227038</c:v>
                </c:pt>
                <c:pt idx="213">
                  <c:v>-4.7838493194048803</c:v>
                </c:pt>
                <c:pt idx="214">
                  <c:v>-4.2637572016460892</c:v>
                </c:pt>
                <c:pt idx="215">
                  <c:v>-4.0657807850585668</c:v>
                </c:pt>
                <c:pt idx="216">
                  <c:v>-3.8242380500158308</c:v>
                </c:pt>
                <c:pt idx="217">
                  <c:v>-3.7808678379234015</c:v>
                </c:pt>
                <c:pt idx="218">
                  <c:v>-4.3410299145299236</c:v>
                </c:pt>
                <c:pt idx="219">
                  <c:v>-5.0344067742956753</c:v>
                </c:pt>
                <c:pt idx="220">
                  <c:v>-5.6585555555555827</c:v>
                </c:pt>
                <c:pt idx="221">
                  <c:v>-6.4968600823045506</c:v>
                </c:pt>
                <c:pt idx="222">
                  <c:v>-7.3799848053181503</c:v>
                </c:pt>
                <c:pt idx="223">
                  <c:v>-8.1104023425134706</c:v>
                </c:pt>
                <c:pt idx="224">
                  <c:v>-8.6149822728711598</c:v>
                </c:pt>
                <c:pt idx="225">
                  <c:v>-9.030381449825887</c:v>
                </c:pt>
                <c:pt idx="226">
                  <c:v>-9.2703738524849424</c:v>
                </c:pt>
                <c:pt idx="227">
                  <c:v>-9.2953711617600394</c:v>
                </c:pt>
                <c:pt idx="228">
                  <c:v>-9.4245786641342093</c:v>
                </c:pt>
                <c:pt idx="229">
                  <c:v>-9.3283192465970117</c:v>
                </c:pt>
                <c:pt idx="230">
                  <c:v>-8.7343987021208882</c:v>
                </c:pt>
                <c:pt idx="231">
                  <c:v>-8.0689195948084489</c:v>
                </c:pt>
                <c:pt idx="232">
                  <c:v>-7.2610887939220987</c:v>
                </c:pt>
                <c:pt idx="233">
                  <c:v>-6.4870052231718631</c:v>
                </c:pt>
                <c:pt idx="234">
                  <c:v>-5.6122079772079578</c:v>
                </c:pt>
                <c:pt idx="235">
                  <c:v>-4.6568591326369129</c:v>
                </c:pt>
                <c:pt idx="236">
                  <c:v>-3.6775030072807668</c:v>
                </c:pt>
                <c:pt idx="237">
                  <c:v>-2.8365984488761926</c:v>
                </c:pt>
                <c:pt idx="238">
                  <c:v>-1.9850384615384202</c:v>
                </c:pt>
                <c:pt idx="239">
                  <c:v>-1.3512524533079828</c:v>
                </c:pt>
                <c:pt idx="240">
                  <c:v>-0.47628743273185331</c:v>
                </c:pt>
                <c:pt idx="241">
                  <c:v>0.21013263691044448</c:v>
                </c:pt>
                <c:pt idx="242">
                  <c:v>0.94473520101300767</c:v>
                </c:pt>
                <c:pt idx="243">
                  <c:v>1.4717187401076546</c:v>
                </c:pt>
                <c:pt idx="244">
                  <c:v>1.7507508705286732</c:v>
                </c:pt>
                <c:pt idx="245">
                  <c:v>1.9891267806268016</c:v>
                </c:pt>
                <c:pt idx="246">
                  <c:v>2.0679322570433771</c:v>
                </c:pt>
                <c:pt idx="247">
                  <c:v>2.0501267806267793</c:v>
                </c:pt>
                <c:pt idx="248">
                  <c:v>2.0682086103197257</c:v>
                </c:pt>
                <c:pt idx="249">
                  <c:v>2.0544893953782686</c:v>
                </c:pt>
                <c:pt idx="250">
                  <c:v>1.895838239949319</c:v>
                </c:pt>
                <c:pt idx="251">
                  <c:v>1.65967711301042</c:v>
                </c:pt>
                <c:pt idx="252">
                  <c:v>1.4148528015194568</c:v>
                </c:pt>
                <c:pt idx="253">
                  <c:v>1.1307334599556562</c:v>
                </c:pt>
                <c:pt idx="254">
                  <c:v>0.81402991452988738</c:v>
                </c:pt>
                <c:pt idx="255">
                  <c:v>0.35998211459320195</c:v>
                </c:pt>
                <c:pt idx="256">
                  <c:v>8.3348053181365178E-2</c:v>
                </c:pt>
                <c:pt idx="257">
                  <c:v>-0.30160018993355686</c:v>
                </c:pt>
                <c:pt idx="258">
                  <c:v>-0.55528490028492195</c:v>
                </c:pt>
                <c:pt idx="259">
                  <c:v>-0.73924200696423492</c:v>
                </c:pt>
                <c:pt idx="260">
                  <c:v>-1.0092907565685392</c:v>
                </c:pt>
                <c:pt idx="261">
                  <c:v>-1.2961502057613259</c:v>
                </c:pt>
                <c:pt idx="262">
                  <c:v>-1.6063152896486077</c:v>
                </c:pt>
                <c:pt idx="263">
                  <c:v>-1.8218906299461859</c:v>
                </c:pt>
                <c:pt idx="264">
                  <c:v>-2.0044800569800421</c:v>
                </c:pt>
                <c:pt idx="265">
                  <c:v>-2.194571699905028</c:v>
                </c:pt>
                <c:pt idx="266">
                  <c:v>-2.4749151630262562</c:v>
                </c:pt>
                <c:pt idx="267">
                  <c:v>-2.6607459639125923</c:v>
                </c:pt>
                <c:pt idx="268">
                  <c:v>-2.8370840455840112</c:v>
                </c:pt>
                <c:pt idx="269">
                  <c:v>-2.8442486546375352</c:v>
                </c:pt>
                <c:pt idx="270">
                  <c:v>-2.7814761000316368</c:v>
                </c:pt>
                <c:pt idx="271">
                  <c:v>-2.5829596391263006</c:v>
                </c:pt>
                <c:pt idx="272">
                  <c:v>-2.3163364988920607</c:v>
                </c:pt>
                <c:pt idx="273">
                  <c:v>-1.7006234567901175</c:v>
                </c:pt>
                <c:pt idx="274">
                  <c:v>-0.94372063944284279</c:v>
                </c:pt>
                <c:pt idx="275">
                  <c:v>5.2644032921820183E-2</c:v>
                </c:pt>
                <c:pt idx="276">
                  <c:v>1.1096362773029429</c:v>
                </c:pt>
                <c:pt idx="277">
                  <c:v>2.2403691041468963</c:v>
                </c:pt>
                <c:pt idx="278">
                  <c:v>3.7054635960747278</c:v>
                </c:pt>
                <c:pt idx="279">
                  <c:v>5.302081987970892</c:v>
                </c:pt>
                <c:pt idx="280">
                  <c:v>6.9557344096233242</c:v>
                </c:pt>
                <c:pt idx="281">
                  <c:v>8.518744539411232</c:v>
                </c:pt>
                <c:pt idx="282">
                  <c:v>10.032968502690753</c:v>
                </c:pt>
                <c:pt idx="283">
                  <c:v>11.16625957581514</c:v>
                </c:pt>
                <c:pt idx="284">
                  <c:v>12.33333665717001</c:v>
                </c:pt>
                <c:pt idx="285">
                  <c:v>13.08753371320039</c:v>
                </c:pt>
                <c:pt idx="286">
                  <c:v>13.687271130104492</c:v>
                </c:pt>
                <c:pt idx="287">
                  <c:v>13.854410256410256</c:v>
                </c:pt>
                <c:pt idx="288">
                  <c:v>13.68115321304211</c:v>
                </c:pt>
                <c:pt idx="289">
                  <c:v>13.344319563152908</c:v>
                </c:pt>
                <c:pt idx="290">
                  <c:v>12.663793605571385</c:v>
                </c:pt>
                <c:pt idx="291">
                  <c:v>11.678408357075025</c:v>
                </c:pt>
                <c:pt idx="292">
                  <c:v>10.554640075973417</c:v>
                </c:pt>
                <c:pt idx="293">
                  <c:v>9.0537527698638751</c:v>
                </c:pt>
                <c:pt idx="294">
                  <c:v>7.5715720164609062</c:v>
                </c:pt>
                <c:pt idx="295">
                  <c:v>6.2542852168407688</c:v>
                </c:pt>
                <c:pt idx="296">
                  <c:v>4.8065645773979115</c:v>
                </c:pt>
                <c:pt idx="297">
                  <c:v>3.574421810699592</c:v>
                </c:pt>
                <c:pt idx="298">
                  <c:v>2.2339678695789917</c:v>
                </c:pt>
                <c:pt idx="299">
                  <c:v>1.0921497309275234</c:v>
                </c:pt>
                <c:pt idx="300">
                  <c:v>0.25674802152582105</c:v>
                </c:pt>
                <c:pt idx="301">
                  <c:v>-0.6403106995884521</c:v>
                </c:pt>
                <c:pt idx="302">
                  <c:v>-1.4818558088002407</c:v>
                </c:pt>
                <c:pt idx="303">
                  <c:v>-2.0054734093067275</c:v>
                </c:pt>
                <c:pt idx="304">
                  <c:v>-2.6532964545741957</c:v>
                </c:pt>
                <c:pt idx="305">
                  <c:v>-2.9630267489711648</c:v>
                </c:pt>
                <c:pt idx="306">
                  <c:v>-3.1711115859448995</c:v>
                </c:pt>
                <c:pt idx="307">
                  <c:v>-3.3413798670465296</c:v>
                </c:pt>
                <c:pt idx="308">
                  <c:v>-3.4438547008546969</c:v>
                </c:pt>
                <c:pt idx="309">
                  <c:v>-3.3843433048433083</c:v>
                </c:pt>
                <c:pt idx="310">
                  <c:v>-3.1690870528648425</c:v>
                </c:pt>
                <c:pt idx="311">
                  <c:v>-3.0874010762899795</c:v>
                </c:pt>
                <c:pt idx="312">
                  <c:v>-2.857179170623624</c:v>
                </c:pt>
                <c:pt idx="313">
                  <c:v>-2.4719176954732527</c:v>
                </c:pt>
                <c:pt idx="314">
                  <c:v>-2.0914667616334235</c:v>
                </c:pt>
                <c:pt idx="315">
                  <c:v>-1.8553334916112627</c:v>
                </c:pt>
                <c:pt idx="316">
                  <c:v>-1.3646003482114497</c:v>
                </c:pt>
                <c:pt idx="317">
                  <c:v>-0.85652690724910996</c:v>
                </c:pt>
                <c:pt idx="318">
                  <c:v>-0.30535565052229702</c:v>
                </c:pt>
                <c:pt idx="319">
                  <c:v>7.740170940172042E-2</c:v>
                </c:pt>
                <c:pt idx="320">
                  <c:v>0.51313706869264919</c:v>
                </c:pt>
                <c:pt idx="321">
                  <c:v>0.89230136119025971</c:v>
                </c:pt>
                <c:pt idx="322">
                  <c:v>1.0627431149097903</c:v>
                </c:pt>
                <c:pt idx="323">
                  <c:v>1.3243898385565029</c:v>
                </c:pt>
                <c:pt idx="324">
                  <c:v>1.6438499525165979</c:v>
                </c:pt>
                <c:pt idx="325">
                  <c:v>1.8505077556188434</c:v>
                </c:pt>
                <c:pt idx="326">
                  <c:v>1.9708081671414814</c:v>
                </c:pt>
                <c:pt idx="327">
                  <c:v>2.0680576131687083</c:v>
                </c:pt>
                <c:pt idx="328">
                  <c:v>2.0747820512820416</c:v>
                </c:pt>
                <c:pt idx="329">
                  <c:v>2.0130161443494634</c:v>
                </c:pt>
                <c:pt idx="330">
                  <c:v>1.8163216207660633</c:v>
                </c:pt>
                <c:pt idx="331">
                  <c:v>1.5778037353592866</c:v>
                </c:pt>
                <c:pt idx="332">
                  <c:v>1.3348543842988283</c:v>
                </c:pt>
                <c:pt idx="333">
                  <c:v>1.0641824944602707</c:v>
                </c:pt>
                <c:pt idx="334">
                  <c:v>0.93909654954099442</c:v>
                </c:pt>
                <c:pt idx="335">
                  <c:v>0.78910715416271215</c:v>
                </c:pt>
                <c:pt idx="336">
                  <c:v>0.67849256093700905</c:v>
                </c:pt>
                <c:pt idx="337">
                  <c:v>0.54191579613802343</c:v>
                </c:pt>
                <c:pt idx="338">
                  <c:v>0.44334108895221097</c:v>
                </c:pt>
                <c:pt idx="339">
                  <c:v>0.49341595441596592</c:v>
                </c:pt>
                <c:pt idx="340">
                  <c:v>0.48259164292499518</c:v>
                </c:pt>
                <c:pt idx="341">
                  <c:v>0.60047435897437129</c:v>
                </c:pt>
                <c:pt idx="342">
                  <c:v>0.66333998100665226</c:v>
                </c:pt>
                <c:pt idx="343">
                  <c:v>0.7874150047483347</c:v>
                </c:pt>
                <c:pt idx="344">
                  <c:v>0.92709021842354811</c:v>
                </c:pt>
                <c:pt idx="345">
                  <c:v>0.99964498258943701</c:v>
                </c:pt>
                <c:pt idx="346">
                  <c:v>0.95125087052864321</c:v>
                </c:pt>
                <c:pt idx="347">
                  <c:v>0.61953767014877792</c:v>
                </c:pt>
                <c:pt idx="348">
                  <c:v>-4.1630579297254278E-2</c:v>
                </c:pt>
                <c:pt idx="349">
                  <c:v>-0.85077666983224276</c:v>
                </c:pt>
                <c:pt idx="350">
                  <c:v>-1.5803290598290789</c:v>
                </c:pt>
                <c:pt idx="351">
                  <c:v>-2.3201468819246909</c:v>
                </c:pt>
                <c:pt idx="352">
                  <c:v>-3.1898314339981289</c:v>
                </c:pt>
                <c:pt idx="353">
                  <c:v>-4.0261861348528178</c:v>
                </c:pt>
                <c:pt idx="354">
                  <c:v>-4.9048781259892742</c:v>
                </c:pt>
                <c:pt idx="355">
                  <c:v>-5.9612469135802852</c:v>
                </c:pt>
                <c:pt idx="356">
                  <c:v>-6.9189635960747413</c:v>
                </c:pt>
                <c:pt idx="357">
                  <c:v>-7.6029433364989387</c:v>
                </c:pt>
                <c:pt idx="358">
                  <c:v>-8.0149574232352432</c:v>
                </c:pt>
                <c:pt idx="359">
                  <c:v>-8.2281780626781167</c:v>
                </c:pt>
                <c:pt idx="360">
                  <c:v>-7.8254381133270385</c:v>
                </c:pt>
                <c:pt idx="361">
                  <c:v>-7.1906761633428689</c:v>
                </c:pt>
                <c:pt idx="362">
                  <c:v>-6.2082704969927738</c:v>
                </c:pt>
                <c:pt idx="363">
                  <c:v>-5.1078960113960594</c:v>
                </c:pt>
                <c:pt idx="364">
                  <c:v>-3.8460264324153557</c:v>
                </c:pt>
                <c:pt idx="365">
                  <c:v>-2.3858217790440404</c:v>
                </c:pt>
                <c:pt idx="366">
                  <c:v>-1.1577856916746234</c:v>
                </c:pt>
                <c:pt idx="367">
                  <c:v>0.32677128838235947</c:v>
                </c:pt>
                <c:pt idx="368">
                  <c:v>1.9170490661601325</c:v>
                </c:pt>
                <c:pt idx="369">
                  <c:v>3.2067340930673796</c:v>
                </c:pt>
                <c:pt idx="370">
                  <c:v>4.3012860082304174</c:v>
                </c:pt>
                <c:pt idx="371">
                  <c:v>5.1654620132953228</c:v>
                </c:pt>
                <c:pt idx="372">
                  <c:v>5.7819199113643283</c:v>
                </c:pt>
                <c:pt idx="373">
                  <c:v>6.5587098765431824</c:v>
                </c:pt>
                <c:pt idx="374">
                  <c:v>6.5419406457739591</c:v>
                </c:pt>
                <c:pt idx="375">
                  <c:v>6.5101014561569785</c:v>
                </c:pt>
                <c:pt idx="376">
                  <c:v>6.4171869262424561</c:v>
                </c:pt>
                <c:pt idx="377">
                  <c:v>6.2914495093383751</c:v>
                </c:pt>
                <c:pt idx="378">
                  <c:v>6.1708244697688972</c:v>
                </c:pt>
                <c:pt idx="379">
                  <c:v>6.2680276986387851</c:v>
                </c:pt>
                <c:pt idx="380">
                  <c:v>6.6155599873377255</c:v>
                </c:pt>
                <c:pt idx="381">
                  <c:v>7.0956639759417275</c:v>
                </c:pt>
                <c:pt idx="382">
                  <c:v>7.438726020892668</c:v>
                </c:pt>
                <c:pt idx="383">
                  <c:v>7.8780686926242245</c:v>
                </c:pt>
                <c:pt idx="384">
                  <c:v>8.6305903767014698</c:v>
                </c:pt>
                <c:pt idx="385">
                  <c:v>9.2959620132953216</c:v>
                </c:pt>
                <c:pt idx="386">
                  <c:v>10.383933998100648</c:v>
                </c:pt>
                <c:pt idx="387">
                  <c:v>11.438644666033539</c:v>
                </c:pt>
                <c:pt idx="388">
                  <c:v>12.470088160810384</c:v>
                </c:pt>
                <c:pt idx="389">
                  <c:v>13.521901392845834</c:v>
                </c:pt>
                <c:pt idx="390">
                  <c:v>14.371125356125356</c:v>
                </c:pt>
                <c:pt idx="391">
                  <c:v>15.400523425134544</c:v>
                </c:pt>
                <c:pt idx="392">
                  <c:v>16.40804969927192</c:v>
                </c:pt>
                <c:pt idx="393">
                  <c:v>17.215145615701175</c:v>
                </c:pt>
                <c:pt idx="394">
                  <c:v>17.887951408673644</c:v>
                </c:pt>
                <c:pt idx="395">
                  <c:v>18.542365938588176</c:v>
                </c:pt>
                <c:pt idx="396">
                  <c:v>18.950634694523586</c:v>
                </c:pt>
                <c:pt idx="397">
                  <c:v>19.30735169357391</c:v>
                </c:pt>
                <c:pt idx="398">
                  <c:v>19.50383064260841</c:v>
                </c:pt>
                <c:pt idx="399">
                  <c:v>19.632698322253884</c:v>
                </c:pt>
                <c:pt idx="400">
                  <c:v>19.667012662234882</c:v>
                </c:pt>
                <c:pt idx="401">
                  <c:v>19.429806742640075</c:v>
                </c:pt>
                <c:pt idx="402">
                  <c:v>19.007039252928134</c:v>
                </c:pt>
                <c:pt idx="403">
                  <c:v>18.497333808167141</c:v>
                </c:pt>
                <c:pt idx="404">
                  <c:v>17.408824311490964</c:v>
                </c:pt>
                <c:pt idx="405">
                  <c:v>16.600549066160184</c:v>
                </c:pt>
                <c:pt idx="406">
                  <c:v>15.496698322253888</c:v>
                </c:pt>
                <c:pt idx="407">
                  <c:v>14.050628046850296</c:v>
                </c:pt>
                <c:pt idx="408">
                  <c:v>12.745614434947793</c:v>
                </c:pt>
                <c:pt idx="409">
                  <c:v>11.269351535296003</c:v>
                </c:pt>
                <c:pt idx="410">
                  <c:v>9.7947939221272691</c:v>
                </c:pt>
                <c:pt idx="411">
                  <c:v>8.3610052231719045</c:v>
                </c:pt>
                <c:pt idx="412">
                  <c:v>7.0901630262741442</c:v>
                </c:pt>
                <c:pt idx="413">
                  <c:v>5.8496478315922955</c:v>
                </c:pt>
                <c:pt idx="414">
                  <c:v>4.8756790123456835</c:v>
                </c:pt>
                <c:pt idx="415">
                  <c:v>4.1777565685343507</c:v>
                </c:pt>
                <c:pt idx="416">
                  <c:v>3.3547109844887579</c:v>
                </c:pt>
                <c:pt idx="417">
                  <c:v>2.7547052864830577</c:v>
                </c:pt>
                <c:pt idx="418">
                  <c:v>2.0401085786641278</c:v>
                </c:pt>
                <c:pt idx="419">
                  <c:v>2.2397527698638768</c:v>
                </c:pt>
                <c:pt idx="420">
                  <c:v>2.4522068692624259</c:v>
                </c:pt>
                <c:pt idx="421">
                  <c:v>2.6801144349477686</c:v>
                </c:pt>
                <c:pt idx="422">
                  <c:v>2.9390118708451936</c:v>
                </c:pt>
                <c:pt idx="423">
                  <c:v>3.1764254510921086</c:v>
                </c:pt>
                <c:pt idx="424">
                  <c:v>3.310042260208919</c:v>
                </c:pt>
                <c:pt idx="425">
                  <c:v>3.3299112060778597</c:v>
                </c:pt>
                <c:pt idx="426">
                  <c:v>3.4051722063944183</c:v>
                </c:pt>
                <c:pt idx="427">
                  <c:v>3.3797098765431981</c:v>
                </c:pt>
                <c:pt idx="428">
                  <c:v>3.3887269705602927</c:v>
                </c:pt>
                <c:pt idx="429">
                  <c:v>3.4045257993035807</c:v>
                </c:pt>
                <c:pt idx="430">
                  <c:v>3.3013015194681778</c:v>
                </c:pt>
                <c:pt idx="431">
                  <c:v>3.1212018043684528</c:v>
                </c:pt>
                <c:pt idx="432">
                  <c:v>2.8693488445710642</c:v>
                </c:pt>
                <c:pt idx="433">
                  <c:v>2.5582788857233218</c:v>
                </c:pt>
                <c:pt idx="434">
                  <c:v>2.2359776828110114</c:v>
                </c:pt>
                <c:pt idx="435">
                  <c:v>1.8334070908515359</c:v>
                </c:pt>
                <c:pt idx="436">
                  <c:v>1.3488833491611274</c:v>
                </c:pt>
                <c:pt idx="437">
                  <c:v>1.0291715732826821</c:v>
                </c:pt>
                <c:pt idx="438">
                  <c:v>0.67224770496991815</c:v>
                </c:pt>
                <c:pt idx="439">
                  <c:v>0.4566427666983221</c:v>
                </c:pt>
                <c:pt idx="440">
                  <c:v>0.13934219689776214</c:v>
                </c:pt>
                <c:pt idx="441">
                  <c:v>-0.19046486229820009</c:v>
                </c:pt>
                <c:pt idx="442">
                  <c:v>-0.40879677113010071</c:v>
                </c:pt>
                <c:pt idx="443">
                  <c:v>-0.52055001582779148</c:v>
                </c:pt>
                <c:pt idx="444">
                  <c:v>-0.66055112377335889</c:v>
                </c:pt>
                <c:pt idx="445">
                  <c:v>-0.74980769230768507</c:v>
                </c:pt>
                <c:pt idx="446">
                  <c:v>-0.83237875910097303</c:v>
                </c:pt>
                <c:pt idx="447">
                  <c:v>-1.0128670465337091</c:v>
                </c:pt>
                <c:pt idx="448">
                  <c:v>-1.0185993985438377</c:v>
                </c:pt>
                <c:pt idx="449">
                  <c:v>-1.0916598607154033</c:v>
                </c:pt>
                <c:pt idx="450">
                  <c:v>-1.174943019943012</c:v>
                </c:pt>
                <c:pt idx="451">
                  <c:v>-1.3143108578664111</c:v>
                </c:pt>
                <c:pt idx="452">
                  <c:v>-1.4431945235833945</c:v>
                </c:pt>
                <c:pt idx="453">
                  <c:v>-1.5955729661285092</c:v>
                </c:pt>
                <c:pt idx="454">
                  <c:v>-1.8408507439062867</c:v>
                </c:pt>
                <c:pt idx="455">
                  <c:v>-2.0495753402975425</c:v>
                </c:pt>
                <c:pt idx="456">
                  <c:v>-2.2006315289648426</c:v>
                </c:pt>
                <c:pt idx="457">
                  <c:v>-2.4094941437163575</c:v>
                </c:pt>
                <c:pt idx="458">
                  <c:v>-2.6393507439062827</c:v>
                </c:pt>
                <c:pt idx="459">
                  <c:v>-2.7796764798986979</c:v>
                </c:pt>
                <c:pt idx="460">
                  <c:v>-2.9243181386514681</c:v>
                </c:pt>
                <c:pt idx="461">
                  <c:v>-2.9971911997467608</c:v>
                </c:pt>
                <c:pt idx="462">
                  <c:v>-3.0088485280151862</c:v>
                </c:pt>
                <c:pt idx="463">
                  <c:v>-2.9770430515986068</c:v>
                </c:pt>
                <c:pt idx="464">
                  <c:v>-2.9117250712250646</c:v>
                </c:pt>
                <c:pt idx="465">
                  <c:v>-2.6664740424184856</c:v>
                </c:pt>
                <c:pt idx="466">
                  <c:v>-2.4643035770813553</c:v>
                </c:pt>
                <c:pt idx="467">
                  <c:v>-2.1464938271605041</c:v>
                </c:pt>
                <c:pt idx="468">
                  <c:v>-1.8278390313390289</c:v>
                </c:pt>
                <c:pt idx="469">
                  <c:v>-1.4896524216524356</c:v>
                </c:pt>
                <c:pt idx="470">
                  <c:v>-1.1139645457423222</c:v>
                </c:pt>
                <c:pt idx="471">
                  <c:v>-0.68887796771130894</c:v>
                </c:pt>
                <c:pt idx="472">
                  <c:v>-0.25818043684711889</c:v>
                </c:pt>
                <c:pt idx="473">
                  <c:v>0.19459654954097419</c:v>
                </c:pt>
                <c:pt idx="474">
                  <c:v>0.55749477682808546</c:v>
                </c:pt>
                <c:pt idx="475">
                  <c:v>0.94428236783790764</c:v>
                </c:pt>
                <c:pt idx="476">
                  <c:v>1.2681454574232285</c:v>
                </c:pt>
                <c:pt idx="477">
                  <c:v>1.4791223488445533</c:v>
                </c:pt>
                <c:pt idx="478">
                  <c:v>1.8155411522633611</c:v>
                </c:pt>
                <c:pt idx="479">
                  <c:v>2.0453691041468671</c:v>
                </c:pt>
                <c:pt idx="480">
                  <c:v>2.1449651788540547</c:v>
                </c:pt>
                <c:pt idx="481">
                  <c:v>2.2703182969293834</c:v>
                </c:pt>
                <c:pt idx="482">
                  <c:v>2.4444965178854021</c:v>
                </c:pt>
                <c:pt idx="483">
                  <c:v>2.6504134219689819</c:v>
                </c:pt>
                <c:pt idx="484">
                  <c:v>2.7900305476416598</c:v>
                </c:pt>
                <c:pt idx="485">
                  <c:v>2.8954127888572367</c:v>
                </c:pt>
                <c:pt idx="486">
                  <c:v>2.9924283000949745</c:v>
                </c:pt>
                <c:pt idx="487">
                  <c:v>3.0354392212725698</c:v>
                </c:pt>
                <c:pt idx="488">
                  <c:v>3.1152503956948583</c:v>
                </c:pt>
                <c:pt idx="489">
                  <c:v>3.0359604305159937</c:v>
                </c:pt>
                <c:pt idx="490">
                  <c:v>2.9233173472618037</c:v>
                </c:pt>
                <c:pt idx="491">
                  <c:v>2.8395088635644314</c:v>
                </c:pt>
                <c:pt idx="492">
                  <c:v>2.547280310224763</c:v>
                </c:pt>
                <c:pt idx="493">
                  <c:v>2.1667991452991462</c:v>
                </c:pt>
                <c:pt idx="494">
                  <c:v>1.7164042418487031</c:v>
                </c:pt>
                <c:pt idx="495">
                  <c:v>1.210401076289968</c:v>
                </c:pt>
                <c:pt idx="496">
                  <c:v>0.59629787907566656</c:v>
                </c:pt>
                <c:pt idx="497">
                  <c:v>-0.12822950300727537</c:v>
                </c:pt>
                <c:pt idx="498">
                  <c:v>-0.83393922127255116</c:v>
                </c:pt>
                <c:pt idx="499">
                  <c:v>-1.4737067109844872</c:v>
                </c:pt>
                <c:pt idx="500">
                  <c:v>-2.076111585944922</c:v>
                </c:pt>
                <c:pt idx="501">
                  <c:v>-2.610882874327312</c:v>
                </c:pt>
                <c:pt idx="502">
                  <c:v>-3.0557204811649208</c:v>
                </c:pt>
                <c:pt idx="503">
                  <c:v>-3.2953825577714539</c:v>
                </c:pt>
                <c:pt idx="504">
                  <c:v>-3.4339561570117154</c:v>
                </c:pt>
                <c:pt idx="505">
                  <c:v>-3.3906587527698688</c:v>
                </c:pt>
                <c:pt idx="506">
                  <c:v>-3.1668474200696508</c:v>
                </c:pt>
                <c:pt idx="507">
                  <c:v>-2.7450034821146021</c:v>
                </c:pt>
                <c:pt idx="508">
                  <c:v>-2.1809890788224084</c:v>
                </c:pt>
                <c:pt idx="509">
                  <c:v>-1.6143896802785731</c:v>
                </c:pt>
                <c:pt idx="510">
                  <c:v>-0.89240614118392236</c:v>
                </c:pt>
                <c:pt idx="511">
                  <c:v>-6.3756410256417539E-2</c:v>
                </c:pt>
                <c:pt idx="512">
                  <c:v>0.76485501741058015</c:v>
                </c:pt>
                <c:pt idx="513">
                  <c:v>1.4093509021842434</c:v>
                </c:pt>
                <c:pt idx="514">
                  <c:v>2.0115995568217979</c:v>
                </c:pt>
                <c:pt idx="515">
                  <c:v>2.5204819563153023</c:v>
                </c:pt>
                <c:pt idx="516">
                  <c:v>2.8935063311174618</c:v>
                </c:pt>
                <c:pt idx="517">
                  <c:v>3.1622185818297073</c:v>
                </c:pt>
                <c:pt idx="518">
                  <c:v>3.3551362773029627</c:v>
                </c:pt>
                <c:pt idx="519">
                  <c:v>3.390292339347913</c:v>
                </c:pt>
                <c:pt idx="520">
                  <c:v>3.0870212092434701</c:v>
                </c:pt>
                <c:pt idx="521">
                  <c:v>2.8116530547641916</c:v>
                </c:pt>
                <c:pt idx="522">
                  <c:v>2.5172078189300571</c:v>
                </c:pt>
                <c:pt idx="523">
                  <c:v>2.0968793922127373</c:v>
                </c:pt>
                <c:pt idx="524">
                  <c:v>1.5059933523267124</c:v>
                </c:pt>
                <c:pt idx="525">
                  <c:v>1.1416684077239774</c:v>
                </c:pt>
                <c:pt idx="526">
                  <c:v>0.72086451408675001</c:v>
                </c:pt>
                <c:pt idx="527">
                  <c:v>0.30883285849953446</c:v>
                </c:pt>
                <c:pt idx="528">
                  <c:v>-0.21607818930040829</c:v>
                </c:pt>
                <c:pt idx="529">
                  <c:v>-0.56256726812281832</c:v>
                </c:pt>
                <c:pt idx="530">
                  <c:v>-1.0300892687559338</c:v>
                </c:pt>
                <c:pt idx="531">
                  <c:v>-1.6698282684393786</c:v>
                </c:pt>
                <c:pt idx="532">
                  <c:v>-2.0540655270655277</c:v>
                </c:pt>
                <c:pt idx="533">
                  <c:v>-2.257891421335867</c:v>
                </c:pt>
                <c:pt idx="534">
                  <c:v>-2.5497008547008453</c:v>
                </c:pt>
                <c:pt idx="535">
                  <c:v>-2.9786449825894299</c:v>
                </c:pt>
                <c:pt idx="536">
                  <c:v>-3.3877014878125937</c:v>
                </c:pt>
                <c:pt idx="537">
                  <c:v>-3.7495477999366784</c:v>
                </c:pt>
                <c:pt idx="538">
                  <c:v>-4.1077885406774231</c:v>
                </c:pt>
                <c:pt idx="539">
                  <c:v>-4.5062573599240183</c:v>
                </c:pt>
                <c:pt idx="540">
                  <c:v>-4.9017312440645728</c:v>
                </c:pt>
                <c:pt idx="541">
                  <c:v>-5.1337472301361089</c:v>
                </c:pt>
                <c:pt idx="542">
                  <c:v>-5.122460113960102</c:v>
                </c:pt>
                <c:pt idx="543">
                  <c:v>-5.0269506172839513</c:v>
                </c:pt>
                <c:pt idx="544">
                  <c:v>-4.8825894270338726</c:v>
                </c:pt>
                <c:pt idx="545">
                  <c:v>-4.6327842671731592</c:v>
                </c:pt>
                <c:pt idx="546">
                  <c:v>-4.2201117442228595</c:v>
                </c:pt>
                <c:pt idx="547">
                  <c:v>-3.7266144349477726</c:v>
                </c:pt>
                <c:pt idx="548">
                  <c:v>-2.9906193415637903</c:v>
                </c:pt>
                <c:pt idx="549">
                  <c:v>-2.0897822095599921</c:v>
                </c:pt>
                <c:pt idx="550">
                  <c:v>-1.3461372269705667</c:v>
                </c:pt>
                <c:pt idx="551">
                  <c:v>-0.37647182652738453</c:v>
                </c:pt>
                <c:pt idx="552">
                  <c:v>0.44516160177269748</c:v>
                </c:pt>
                <c:pt idx="553">
                  <c:v>1.381969452358337</c:v>
                </c:pt>
                <c:pt idx="554">
                  <c:v>2.2463217790439991</c:v>
                </c:pt>
                <c:pt idx="555">
                  <c:v>3.0007746122190473</c:v>
                </c:pt>
                <c:pt idx="556">
                  <c:v>3.7852755618866554</c:v>
                </c:pt>
                <c:pt idx="557">
                  <c:v>4.5483420386198041</c:v>
                </c:pt>
                <c:pt idx="558">
                  <c:v>5.0245327635327417</c:v>
                </c:pt>
                <c:pt idx="559">
                  <c:v>5.3714040835707353</c:v>
                </c:pt>
                <c:pt idx="560">
                  <c:v>5.5687891737891553</c:v>
                </c:pt>
                <c:pt idx="561">
                  <c:v>5.6917986704653201</c:v>
                </c:pt>
                <c:pt idx="562">
                  <c:v>5.8367945552389742</c:v>
                </c:pt>
                <c:pt idx="563">
                  <c:v>5.7398545425767482</c:v>
                </c:pt>
                <c:pt idx="564">
                  <c:v>5.8816145932256845</c:v>
                </c:pt>
                <c:pt idx="565">
                  <c:v>5.9342122507122514</c:v>
                </c:pt>
                <c:pt idx="566">
                  <c:v>5.7543722697055895</c:v>
                </c:pt>
                <c:pt idx="567">
                  <c:v>5.5121516302627453</c:v>
                </c:pt>
                <c:pt idx="568">
                  <c:v>5.3614189616967414</c:v>
                </c:pt>
                <c:pt idx="569">
                  <c:v>5.2524176954732384</c:v>
                </c:pt>
                <c:pt idx="570">
                  <c:v>4.9574425451092097</c:v>
                </c:pt>
                <c:pt idx="571">
                  <c:v>4.8498088002532445</c:v>
                </c:pt>
                <c:pt idx="572">
                  <c:v>4.8031517885406885</c:v>
                </c:pt>
                <c:pt idx="573">
                  <c:v>4.7421695156695343</c:v>
                </c:pt>
                <c:pt idx="574">
                  <c:v>4.5396763216207789</c:v>
                </c:pt>
                <c:pt idx="575">
                  <c:v>4.4297532446976993</c:v>
                </c:pt>
                <c:pt idx="576">
                  <c:v>4.2226627097182661</c:v>
                </c:pt>
                <c:pt idx="577">
                  <c:v>4.0122657486546371</c:v>
                </c:pt>
                <c:pt idx="578">
                  <c:v>3.731610794555249</c:v>
                </c:pt>
                <c:pt idx="579">
                  <c:v>3.5996654004431816</c:v>
                </c:pt>
                <c:pt idx="580">
                  <c:v>3.3802858499525117</c:v>
                </c:pt>
                <c:pt idx="581">
                  <c:v>3.1449127888572384</c:v>
                </c:pt>
                <c:pt idx="582">
                  <c:v>2.8136294713516938</c:v>
                </c:pt>
                <c:pt idx="583">
                  <c:v>2.6491750553972642</c:v>
                </c:pt>
                <c:pt idx="584">
                  <c:v>2.442806267806267</c:v>
                </c:pt>
                <c:pt idx="585">
                  <c:v>2.1173410889521938</c:v>
                </c:pt>
                <c:pt idx="586">
                  <c:v>1.8793461538461633</c:v>
                </c:pt>
                <c:pt idx="587">
                  <c:v>1.6227125672681326</c:v>
                </c:pt>
                <c:pt idx="588">
                  <c:v>1.4905669515669477</c:v>
                </c:pt>
                <c:pt idx="589">
                  <c:v>1.4114457106679508</c:v>
                </c:pt>
                <c:pt idx="590">
                  <c:v>1.3160454257676748</c:v>
                </c:pt>
                <c:pt idx="591">
                  <c:v>1.3206638176638397</c:v>
                </c:pt>
                <c:pt idx="592">
                  <c:v>1.2951913580247083</c:v>
                </c:pt>
                <c:pt idx="593">
                  <c:v>1.1622345679012573</c:v>
                </c:pt>
                <c:pt idx="594">
                  <c:v>1.1628949034504805</c:v>
                </c:pt>
                <c:pt idx="595">
                  <c:v>1.0873729028173658</c:v>
                </c:pt>
                <c:pt idx="596">
                  <c:v>1.1062418486863281</c:v>
                </c:pt>
                <c:pt idx="597">
                  <c:v>1.1076609686609946</c:v>
                </c:pt>
                <c:pt idx="598">
                  <c:v>1.0200367204811831</c:v>
                </c:pt>
                <c:pt idx="599">
                  <c:v>0.96884488762268772</c:v>
                </c:pt>
                <c:pt idx="600">
                  <c:v>0.6955451092117908</c:v>
                </c:pt>
                <c:pt idx="601">
                  <c:v>0.405364514086754</c:v>
                </c:pt>
                <c:pt idx="602">
                  <c:v>0.11020449509340313</c:v>
                </c:pt>
                <c:pt idx="603">
                  <c:v>-0.16320465337130882</c:v>
                </c:pt>
                <c:pt idx="604">
                  <c:v>-0.40661728395059771</c:v>
                </c:pt>
                <c:pt idx="605">
                  <c:v>-0.79430199430198956</c:v>
                </c:pt>
                <c:pt idx="606">
                  <c:v>-1.0829058246280543</c:v>
                </c:pt>
                <c:pt idx="607">
                  <c:v>-1.2698915796138144</c:v>
                </c:pt>
                <c:pt idx="608">
                  <c:v>-1.4694096232985268</c:v>
                </c:pt>
                <c:pt idx="609">
                  <c:v>-1.5831508388730882</c:v>
                </c:pt>
                <c:pt idx="610">
                  <c:v>-1.6084742006964405</c:v>
                </c:pt>
                <c:pt idx="611">
                  <c:v>-1.5606358024691511</c:v>
                </c:pt>
                <c:pt idx="612">
                  <c:v>-1.2992932890155411</c:v>
                </c:pt>
                <c:pt idx="613">
                  <c:v>-1.0110356125356348</c:v>
                </c:pt>
                <c:pt idx="614">
                  <c:v>-0.48837385248499082</c:v>
                </c:pt>
                <c:pt idx="615">
                  <c:v>3.7055080721727252E-2</c:v>
                </c:pt>
                <c:pt idx="616">
                  <c:v>0.42163849319403218</c:v>
                </c:pt>
                <c:pt idx="617">
                  <c:v>0.9481592276036529</c:v>
                </c:pt>
                <c:pt idx="618">
                  <c:v>1.4608879392212564</c:v>
                </c:pt>
                <c:pt idx="619">
                  <c:v>1.8922678062677816</c:v>
                </c:pt>
                <c:pt idx="620">
                  <c:v>2.232265115542877</c:v>
                </c:pt>
                <c:pt idx="621">
                  <c:v>2.3734140550807155</c:v>
                </c:pt>
                <c:pt idx="622">
                  <c:v>2.4186641342196751</c:v>
                </c:pt>
                <c:pt idx="623">
                  <c:v>2.3746921494143551</c:v>
                </c:pt>
                <c:pt idx="624">
                  <c:v>2.1798230452674741</c:v>
                </c:pt>
                <c:pt idx="625">
                  <c:v>2.0214664450775324</c:v>
                </c:pt>
                <c:pt idx="626">
                  <c:v>1.5219362139917609</c:v>
                </c:pt>
                <c:pt idx="627">
                  <c:v>0.92891848686290301</c:v>
                </c:pt>
                <c:pt idx="628">
                  <c:v>0.30504748338080517</c:v>
                </c:pt>
                <c:pt idx="629">
                  <c:v>-0.29594571066794456</c:v>
                </c:pt>
                <c:pt idx="630">
                  <c:v>-0.83433934789492614</c:v>
                </c:pt>
                <c:pt idx="631">
                  <c:v>-1.3928341247230347</c:v>
                </c:pt>
                <c:pt idx="632">
                  <c:v>-1.9719066160177503</c:v>
                </c:pt>
                <c:pt idx="633">
                  <c:v>-2.3526073124406608</c:v>
                </c:pt>
                <c:pt idx="634">
                  <c:v>-2.7341206077872968</c:v>
                </c:pt>
                <c:pt idx="635">
                  <c:v>-2.9327619499841946</c:v>
                </c:pt>
                <c:pt idx="636">
                  <c:v>-3.0195381449826026</c:v>
                </c:pt>
                <c:pt idx="637">
                  <c:v>-3.1269104146882132</c:v>
                </c:pt>
                <c:pt idx="638">
                  <c:v>-3.1153338081671516</c:v>
                </c:pt>
                <c:pt idx="639">
                  <c:v>-2.9895553972776265</c:v>
                </c:pt>
                <c:pt idx="640">
                  <c:v>-2.8434034504590189</c:v>
                </c:pt>
                <c:pt idx="641">
                  <c:v>-2.6889761000316623</c:v>
                </c:pt>
                <c:pt idx="642">
                  <c:v>-2.4392833175055548</c:v>
                </c:pt>
                <c:pt idx="643">
                  <c:v>-2.2189762583096102</c:v>
                </c:pt>
                <c:pt idx="644">
                  <c:v>-1.9368543842988397</c:v>
                </c:pt>
                <c:pt idx="645">
                  <c:v>-1.7443629313073847</c:v>
                </c:pt>
                <c:pt idx="646">
                  <c:v>-1.5519504590060245</c:v>
                </c:pt>
                <c:pt idx="647">
                  <c:v>-1.3580644191199851</c:v>
                </c:pt>
                <c:pt idx="648">
                  <c:v>-1.1702231718898508</c:v>
                </c:pt>
                <c:pt idx="649">
                  <c:v>-1.0086527382082946</c:v>
                </c:pt>
                <c:pt idx="650">
                  <c:v>-0.81671715732826944</c:v>
                </c:pt>
                <c:pt idx="651">
                  <c:v>-0.63148812915479013</c:v>
                </c:pt>
                <c:pt idx="652">
                  <c:v>-0.46927081354857658</c:v>
                </c:pt>
                <c:pt idx="653">
                  <c:v>-0.19542830009495699</c:v>
                </c:pt>
                <c:pt idx="654">
                  <c:v>1.6054131054356047E-3</c:v>
                </c:pt>
                <c:pt idx="655">
                  <c:v>0.1756316872428158</c:v>
                </c:pt>
                <c:pt idx="656">
                  <c:v>0.36630959164294774</c:v>
                </c:pt>
                <c:pt idx="657">
                  <c:v>0.51941769547327055</c:v>
                </c:pt>
                <c:pt idx="658">
                  <c:v>0.78479613801838544</c:v>
                </c:pt>
                <c:pt idx="659">
                  <c:v>0.9410094966761815</c:v>
                </c:pt>
                <c:pt idx="660">
                  <c:v>1.1703956948401506</c:v>
                </c:pt>
                <c:pt idx="661">
                  <c:v>1.3558892054447691</c:v>
                </c:pt>
                <c:pt idx="662">
                  <c:v>1.4324920861032024</c:v>
                </c:pt>
                <c:pt idx="663">
                  <c:v>1.4899040835707607</c:v>
                </c:pt>
                <c:pt idx="664">
                  <c:v>1.526858182969302</c:v>
                </c:pt>
                <c:pt idx="665">
                  <c:v>1.5091236150680674</c:v>
                </c:pt>
                <c:pt idx="666">
                  <c:v>1.4555345045900672</c:v>
                </c:pt>
                <c:pt idx="667">
                  <c:v>1.3945652105096613</c:v>
                </c:pt>
                <c:pt idx="668">
                  <c:v>1.4180169357391512</c:v>
                </c:pt>
                <c:pt idx="669">
                  <c:v>1.4202086103197202</c:v>
                </c:pt>
                <c:pt idx="670">
                  <c:v>1.4620682177904372</c:v>
                </c:pt>
                <c:pt idx="671">
                  <c:v>1.4628178220956021</c:v>
                </c:pt>
                <c:pt idx="672">
                  <c:v>1.364206869262431</c:v>
                </c:pt>
                <c:pt idx="673">
                  <c:v>1.2656807534029737</c:v>
                </c:pt>
                <c:pt idx="674">
                  <c:v>1.309041468819238</c:v>
                </c:pt>
                <c:pt idx="675">
                  <c:v>1.3363114909781606</c:v>
                </c:pt>
                <c:pt idx="676">
                  <c:v>1.3262312440645758</c:v>
                </c:pt>
                <c:pt idx="677">
                  <c:v>1.3194259259259153</c:v>
                </c:pt>
                <c:pt idx="678">
                  <c:v>1.3438994935106061</c:v>
                </c:pt>
                <c:pt idx="679">
                  <c:v>1.2826168091167998</c:v>
                </c:pt>
                <c:pt idx="680">
                  <c:v>1.2172162076606476</c:v>
                </c:pt>
                <c:pt idx="681">
                  <c:v>1.184120766065206</c:v>
                </c:pt>
                <c:pt idx="682">
                  <c:v>1.1469379550490557</c:v>
                </c:pt>
                <c:pt idx="683">
                  <c:v>0.97322697056029783</c:v>
                </c:pt>
                <c:pt idx="684">
                  <c:v>0.83768771763215899</c:v>
                </c:pt>
                <c:pt idx="685">
                  <c:v>0.79300237416903074</c:v>
                </c:pt>
                <c:pt idx="686">
                  <c:v>0.68379044001264844</c:v>
                </c:pt>
                <c:pt idx="687">
                  <c:v>0.53712883823994784</c:v>
                </c:pt>
                <c:pt idx="688">
                  <c:v>0.51654241848686222</c:v>
                </c:pt>
                <c:pt idx="689">
                  <c:v>0.36575530231085684</c:v>
                </c:pt>
                <c:pt idx="690">
                  <c:v>0.32188144982589634</c:v>
                </c:pt>
                <c:pt idx="691">
                  <c:v>0.32042782526115476</c:v>
                </c:pt>
                <c:pt idx="692">
                  <c:v>0.28161791706235578</c:v>
                </c:pt>
                <c:pt idx="693">
                  <c:v>0.10925815131370389</c:v>
                </c:pt>
                <c:pt idx="694">
                  <c:v>-0.13987796771130168</c:v>
                </c:pt>
                <c:pt idx="695">
                  <c:v>-0.28933760683761106</c:v>
                </c:pt>
                <c:pt idx="696">
                  <c:v>-0.17036308958531918</c:v>
                </c:pt>
                <c:pt idx="697">
                  <c:v>-0.2799916112693881</c:v>
                </c:pt>
                <c:pt idx="698">
                  <c:v>-0.34373694207027183</c:v>
                </c:pt>
                <c:pt idx="699">
                  <c:v>-0.43508689458689231</c:v>
                </c:pt>
                <c:pt idx="700">
                  <c:v>-0.4875153529597861</c:v>
                </c:pt>
                <c:pt idx="701">
                  <c:v>-0.48509639126305426</c:v>
                </c:pt>
                <c:pt idx="702">
                  <c:v>-0.50018233618233443</c:v>
                </c:pt>
                <c:pt idx="703">
                  <c:v>-0.44583301677745346</c:v>
                </c:pt>
                <c:pt idx="704">
                  <c:v>-0.32789474517251416</c:v>
                </c:pt>
                <c:pt idx="705">
                  <c:v>-0.25939411206075913</c:v>
                </c:pt>
                <c:pt idx="706">
                  <c:v>-3.5227761949974165E-2</c:v>
                </c:pt>
                <c:pt idx="707">
                  <c:v>4.8544159544167076E-2</c:v>
                </c:pt>
                <c:pt idx="708">
                  <c:v>0.25641468819247215</c:v>
                </c:pt>
                <c:pt idx="709">
                  <c:v>0.33852105096550472</c:v>
                </c:pt>
                <c:pt idx="710">
                  <c:v>0.34676559037670246</c:v>
                </c:pt>
                <c:pt idx="711">
                  <c:v>0.42700696422917628</c:v>
                </c:pt>
                <c:pt idx="712">
                  <c:v>0.39219784742006264</c:v>
                </c:pt>
                <c:pt idx="713">
                  <c:v>0.38587828426717391</c:v>
                </c:pt>
                <c:pt idx="714">
                  <c:v>0.35695821462487126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157792"/>
        <c:axId val="541151520"/>
      </c:lineChart>
      <c:dateAx>
        <c:axId val="54115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1520"/>
        <c:crosses val="autoZero"/>
        <c:auto val="1"/>
        <c:lblOffset val="100"/>
        <c:baseTimeUnit val="days"/>
      </c:dateAx>
      <c:valAx>
        <c:axId val="5411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t!$L$651:$L$677</c:f>
              <c:numCache>
                <c:formatCode>0.00</c:formatCode>
                <c:ptCount val="27"/>
                <c:pt idx="0">
                  <c:v>-0.68708452041787726</c:v>
                </c:pt>
                <c:pt idx="1">
                  <c:v>-0.62023615068060023</c:v>
                </c:pt>
                <c:pt idx="2">
                  <c:v>-0.53028426717318733</c:v>
                </c:pt>
                <c:pt idx="3">
                  <c:v>-0.42542070275406629</c:v>
                </c:pt>
                <c:pt idx="4">
                  <c:v>-0.53674770496993962</c:v>
                </c:pt>
                <c:pt idx="5">
                  <c:v>-0.4263380816714491</c:v>
                </c:pt>
                <c:pt idx="6">
                  <c:v>-0.51956125356124783</c:v>
                </c:pt>
                <c:pt idx="7">
                  <c:v>-0.68266160177272472</c:v>
                </c:pt>
                <c:pt idx="8">
                  <c:v>-0.80950047483379928</c:v>
                </c:pt>
                <c:pt idx="9">
                  <c:v>-1.0730003165558679</c:v>
                </c:pt>
                <c:pt idx="10">
                  <c:v>-0.8886565368787338</c:v>
                </c:pt>
                <c:pt idx="11">
                  <c:v>-0.85689268755934589</c:v>
                </c:pt>
                <c:pt idx="12">
                  <c:v>-0.51686293130737027</c:v>
                </c:pt>
                <c:pt idx="13">
                  <c:v>-0.14574675530231307</c:v>
                </c:pt>
                <c:pt idx="14">
                  <c:v>-7.1202912314028088E-2</c:v>
                </c:pt>
                <c:pt idx="15">
                  <c:v>-7.4647673314327978E-2</c:v>
                </c:pt>
                <c:pt idx="16">
                  <c:v>-3.2399493510605781E-2</c:v>
                </c:pt>
                <c:pt idx="17">
                  <c:v>1.8533080088640297E-2</c:v>
                </c:pt>
                <c:pt idx="18">
                  <c:v>-3.5484647040183059E-2</c:v>
                </c:pt>
                <c:pt idx="19">
                  <c:v>-0.16397404241846658</c:v>
                </c:pt>
                <c:pt idx="20">
                  <c:v>-3.4491294713537624E-2</c:v>
                </c:pt>
                <c:pt idx="21">
                  <c:v>6.7754352643247362E-2</c:v>
                </c:pt>
                <c:pt idx="22">
                  <c:v>0.26977651155427784</c:v>
                </c:pt>
                <c:pt idx="23">
                  <c:v>0.42293004115226962</c:v>
                </c:pt>
                <c:pt idx="24">
                  <c:v>0.28857803102249702</c:v>
                </c:pt>
                <c:pt idx="25">
                  <c:v>-4.5431465653690717E-2</c:v>
                </c:pt>
                <c:pt idx="26">
                  <c:v>-0.14214688192468095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158576"/>
        <c:axId val="541157400"/>
      </c:lineChart>
      <c:catAx>
        <c:axId val="541158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7400"/>
        <c:crosses val="autoZero"/>
        <c:auto val="1"/>
        <c:lblAlgn val="ctr"/>
        <c:lblOffset val="100"/>
        <c:noMultiLvlLbl val="0"/>
      </c:catAx>
      <c:valAx>
        <c:axId val="5411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plus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t!$A$3:$A$220</c:f>
              <c:numCache>
                <c:formatCode>m/d/yyyy</c:formatCode>
                <c:ptCount val="218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</c:numCache>
            </c:numRef>
          </c:cat>
          <c:val>
            <c:numRef>
              <c:f>t!$P$3:$P$220</c:f>
              <c:numCache>
                <c:formatCode>0.00</c:formatCode>
                <c:ptCount val="218"/>
                <c:pt idx="0">
                  <c:v>0.36079814515686337</c:v>
                </c:pt>
                <c:pt idx="1">
                  <c:v>0.36600719709743373</c:v>
                </c:pt>
                <c:pt idx="2">
                  <c:v>0.32013861243171227</c:v>
                </c:pt>
                <c:pt idx="3">
                  <c:v>0.27936145369208659</c:v>
                </c:pt>
                <c:pt idx="4">
                  <c:v>0.37240468300786078</c:v>
                </c:pt>
                <c:pt idx="5">
                  <c:v>0.3859233094376513</c:v>
                </c:pt>
                <c:pt idx="6">
                  <c:v>0.36953570938429947</c:v>
                </c:pt>
                <c:pt idx="7">
                  <c:v>0.31743715684023255</c:v>
                </c:pt>
                <c:pt idx="8">
                  <c:v>0.2608335428423621</c:v>
                </c:pt>
                <c:pt idx="9">
                  <c:v>0.2608335428423621</c:v>
                </c:pt>
                <c:pt idx="10">
                  <c:v>0.35120918784198019</c:v>
                </c:pt>
                <c:pt idx="11">
                  <c:v>0.3127873424928711</c:v>
                </c:pt>
                <c:pt idx="12">
                  <c:v>0.31977101302794358</c:v>
                </c:pt>
                <c:pt idx="13">
                  <c:v>0.31977101302794358</c:v>
                </c:pt>
                <c:pt idx="14">
                  <c:v>0.49345311539467368</c:v>
                </c:pt>
                <c:pt idx="15">
                  <c:v>0.36853149047304873</c:v>
                </c:pt>
                <c:pt idx="16">
                  <c:v>0.24595286789442622</c:v>
                </c:pt>
                <c:pt idx="17">
                  <c:v>0.34392105186040517</c:v>
                </c:pt>
                <c:pt idx="18">
                  <c:v>0.35828062404047134</c:v>
                </c:pt>
                <c:pt idx="19">
                  <c:v>0.22183513078655004</c:v>
                </c:pt>
                <c:pt idx="20">
                  <c:v>0.29098681272643478</c:v>
                </c:pt>
                <c:pt idx="21">
                  <c:v>0.20622998539534912</c:v>
                </c:pt>
                <c:pt idx="22">
                  <c:v>0.30325968836564665</c:v>
                </c:pt>
                <c:pt idx="23">
                  <c:v>0.24535209653178136</c:v>
                </c:pt>
                <c:pt idx="24">
                  <c:v>0.17114016776649563</c:v>
                </c:pt>
                <c:pt idx="25">
                  <c:v>0.20293746423247294</c:v>
                </c:pt>
                <c:pt idx="26">
                  <c:v>0.31420243284520832</c:v>
                </c:pt>
                <c:pt idx="27">
                  <c:v>0.21659006106484868</c:v>
                </c:pt>
                <c:pt idx="28">
                  <c:v>0.23695006915491831</c:v>
                </c:pt>
                <c:pt idx="29">
                  <c:v>0.26042742374708144</c:v>
                </c:pt>
                <c:pt idx="30">
                  <c:v>0.38864491072745411</c:v>
                </c:pt>
                <c:pt idx="31">
                  <c:v>0.36453851419837902</c:v>
                </c:pt>
                <c:pt idx="32">
                  <c:v>0.37604492474325013</c:v>
                </c:pt>
                <c:pt idx="33">
                  <c:v>0.34131660361383109</c:v>
                </c:pt>
                <c:pt idx="34">
                  <c:v>0.34131660361383109</c:v>
                </c:pt>
                <c:pt idx="35">
                  <c:v>0.39066348314938987</c:v>
                </c:pt>
                <c:pt idx="36">
                  <c:v>0.31854112075126551</c:v>
                </c:pt>
                <c:pt idx="37">
                  <c:v>0.43535100259874132</c:v>
                </c:pt>
                <c:pt idx="38">
                  <c:v>0.36099690633181181</c:v>
                </c:pt>
                <c:pt idx="39">
                  <c:v>0.22015131124892903</c:v>
                </c:pt>
                <c:pt idx="40">
                  <c:v>0.26426466211074656</c:v>
                </c:pt>
                <c:pt idx="41">
                  <c:v>0.25065890477521291</c:v>
                </c:pt>
                <c:pt idx="42">
                  <c:v>0.30228486783207631</c:v>
                </c:pt>
                <c:pt idx="43">
                  <c:v>0.16594019398740276</c:v>
                </c:pt>
                <c:pt idx="44">
                  <c:v>0.25177912357633264</c:v>
                </c:pt>
                <c:pt idx="45">
                  <c:v>0.21028353125656396</c:v>
                </c:pt>
                <c:pt idx="46">
                  <c:v>5.4883527125356546E-2</c:v>
                </c:pt>
                <c:pt idx="47">
                  <c:v>5.4883527125356546E-2</c:v>
                </c:pt>
                <c:pt idx="48">
                  <c:v>5.4883527125356546E-2</c:v>
                </c:pt>
                <c:pt idx="49">
                  <c:v>9.1113508747829849E-2</c:v>
                </c:pt>
                <c:pt idx="50">
                  <c:v>9.1113508747829849E-2</c:v>
                </c:pt>
                <c:pt idx="51">
                  <c:v>9.1113508747829849E-2</c:v>
                </c:pt>
                <c:pt idx="52">
                  <c:v>9.1113508747829849E-2</c:v>
                </c:pt>
                <c:pt idx="53">
                  <c:v>0.14843762792761922</c:v>
                </c:pt>
                <c:pt idx="54">
                  <c:v>0.18259480045467455</c:v>
                </c:pt>
                <c:pt idx="55">
                  <c:v>0.2219023776631264</c:v>
                </c:pt>
                <c:pt idx="56">
                  <c:v>0.14843880419955233</c:v>
                </c:pt>
                <c:pt idx="57">
                  <c:v>0.14843880419955233</c:v>
                </c:pt>
                <c:pt idx="58">
                  <c:v>0.20959168640506617</c:v>
                </c:pt>
                <c:pt idx="59">
                  <c:v>0.12359976471632302</c:v>
                </c:pt>
                <c:pt idx="60">
                  <c:v>0.12359976471632302</c:v>
                </c:pt>
                <c:pt idx="61">
                  <c:v>0.20209805823168187</c:v>
                </c:pt>
                <c:pt idx="62">
                  <c:v>8.7369783093849698E-2</c:v>
                </c:pt>
                <c:pt idx="63">
                  <c:v>8.7369783093849698E-2</c:v>
                </c:pt>
                <c:pt idx="64">
                  <c:v>8.7369783093849698E-2</c:v>
                </c:pt>
                <c:pt idx="65">
                  <c:v>0.21157204131672669</c:v>
                </c:pt>
                <c:pt idx="66">
                  <c:v>8.7809639069340653E-2</c:v>
                </c:pt>
                <c:pt idx="67">
                  <c:v>3.1776904976880904E-2</c:v>
                </c:pt>
                <c:pt idx="68">
                  <c:v>6.0472905332800003E-2</c:v>
                </c:pt>
                <c:pt idx="69">
                  <c:v>0.11133058423925941</c:v>
                </c:pt>
                <c:pt idx="70">
                  <c:v>0.15762471563977395</c:v>
                </c:pt>
                <c:pt idx="71">
                  <c:v>0.16495967896495761</c:v>
                </c:pt>
                <c:pt idx="72">
                  <c:v>0.15423934795122765</c:v>
                </c:pt>
                <c:pt idx="73">
                  <c:v>0.15423934795122765</c:v>
                </c:pt>
                <c:pt idx="74">
                  <c:v>0.15423934795122765</c:v>
                </c:pt>
                <c:pt idx="75">
                  <c:v>0.15423934795122765</c:v>
                </c:pt>
                <c:pt idx="76">
                  <c:v>0.15423934795122765</c:v>
                </c:pt>
                <c:pt idx="77">
                  <c:v>0.17227911165573107</c:v>
                </c:pt>
                <c:pt idx="78">
                  <c:v>0.18235711655238887</c:v>
                </c:pt>
                <c:pt idx="79">
                  <c:v>0.24387211401044717</c:v>
                </c:pt>
                <c:pt idx="80">
                  <c:v>0.21614024670187898</c:v>
                </c:pt>
                <c:pt idx="81">
                  <c:v>0.23546121653879717</c:v>
                </c:pt>
                <c:pt idx="82">
                  <c:v>0.17493563158923728</c:v>
                </c:pt>
                <c:pt idx="83">
                  <c:v>3.9461394300615092E-2</c:v>
                </c:pt>
                <c:pt idx="84">
                  <c:v>3.9461394300615092E-2</c:v>
                </c:pt>
                <c:pt idx="85">
                  <c:v>3.9461394300615092E-2</c:v>
                </c:pt>
                <c:pt idx="86">
                  <c:v>3.9461394300615092E-2</c:v>
                </c:pt>
                <c:pt idx="87">
                  <c:v>3.9461394300615092E-2</c:v>
                </c:pt>
                <c:pt idx="88">
                  <c:v>3.9461394300615092E-2</c:v>
                </c:pt>
                <c:pt idx="89">
                  <c:v>7.8547548993705876E-2</c:v>
                </c:pt>
                <c:pt idx="90">
                  <c:v>4.3257307872203485E-2</c:v>
                </c:pt>
                <c:pt idx="91">
                  <c:v>3.5112959813615729E-2</c:v>
                </c:pt>
                <c:pt idx="92">
                  <c:v>4.9894148398330534E-2</c:v>
                </c:pt>
                <c:pt idx="93">
                  <c:v>9.9695410965550527E-2</c:v>
                </c:pt>
                <c:pt idx="94">
                  <c:v>0.10931097691774984</c:v>
                </c:pt>
                <c:pt idx="95">
                  <c:v>0.13271667142773982</c:v>
                </c:pt>
                <c:pt idx="96">
                  <c:v>9.7491160742105926E-2</c:v>
                </c:pt>
                <c:pt idx="97">
                  <c:v>0.14988254746632615</c:v>
                </c:pt>
                <c:pt idx="98">
                  <c:v>0.1669571063735544</c:v>
                </c:pt>
                <c:pt idx="99">
                  <c:v>0.1669571063735544</c:v>
                </c:pt>
                <c:pt idx="100">
                  <c:v>0.16920253895954457</c:v>
                </c:pt>
                <c:pt idx="101">
                  <c:v>0.16920253895954457</c:v>
                </c:pt>
                <c:pt idx="102">
                  <c:v>0.16920253895954457</c:v>
                </c:pt>
                <c:pt idx="103">
                  <c:v>0.22070276287356189</c:v>
                </c:pt>
                <c:pt idx="104">
                  <c:v>0.17745911344559817</c:v>
                </c:pt>
                <c:pt idx="105">
                  <c:v>0.23855475182297786</c:v>
                </c:pt>
                <c:pt idx="106">
                  <c:v>0.10065273389146796</c:v>
                </c:pt>
                <c:pt idx="107">
                  <c:v>7.1711378217438643E-2</c:v>
                </c:pt>
                <c:pt idx="108">
                  <c:v>9.7185903691964295E-2</c:v>
                </c:pt>
                <c:pt idx="109">
                  <c:v>0.26135191034732197</c:v>
                </c:pt>
                <c:pt idx="110">
                  <c:v>0.16860844579898521</c:v>
                </c:pt>
                <c:pt idx="111">
                  <c:v>0.11453900925942907</c:v>
                </c:pt>
                <c:pt idx="112">
                  <c:v>0.11940411319574105</c:v>
                </c:pt>
                <c:pt idx="113">
                  <c:v>0.11229357667343894</c:v>
                </c:pt>
                <c:pt idx="114">
                  <c:v>0.11229357667343894</c:v>
                </c:pt>
                <c:pt idx="115">
                  <c:v>0.11229357667343894</c:v>
                </c:pt>
                <c:pt idx="116">
                  <c:v>0.12712874150860382</c:v>
                </c:pt>
                <c:pt idx="117">
                  <c:v>0.14977093448046722</c:v>
                </c:pt>
                <c:pt idx="118">
                  <c:v>0.14977093448046722</c:v>
                </c:pt>
                <c:pt idx="119">
                  <c:v>0.21164751943397525</c:v>
                </c:pt>
                <c:pt idx="120">
                  <c:v>0.30674338298002368</c:v>
                </c:pt>
                <c:pt idx="121">
                  <c:v>0.335818612386378</c:v>
                </c:pt>
                <c:pt idx="122">
                  <c:v>0.25856757914369249</c:v>
                </c:pt>
                <c:pt idx="123">
                  <c:v>0.17282291013604401</c:v>
                </c:pt>
                <c:pt idx="124">
                  <c:v>0.21368166528051349</c:v>
                </c:pt>
                <c:pt idx="125">
                  <c:v>0.21368166528051349</c:v>
                </c:pt>
                <c:pt idx="126">
                  <c:v>0.24124892560639458</c:v>
                </c:pt>
                <c:pt idx="127">
                  <c:v>0.24124892560639458</c:v>
                </c:pt>
                <c:pt idx="128">
                  <c:v>0.28413022996978377</c:v>
                </c:pt>
                <c:pt idx="129">
                  <c:v>0.28621029276413223</c:v>
                </c:pt>
                <c:pt idx="130">
                  <c:v>0.21451001501989819</c:v>
                </c:pt>
                <c:pt idx="131">
                  <c:v>0.39065631769681297</c:v>
                </c:pt>
                <c:pt idx="132">
                  <c:v>0.28116609177173035</c:v>
                </c:pt>
                <c:pt idx="133">
                  <c:v>0.15481274032612802</c:v>
                </c:pt>
                <c:pt idx="134">
                  <c:v>0.16517260946462303</c:v>
                </c:pt>
                <c:pt idx="135">
                  <c:v>0.21240186267628605</c:v>
                </c:pt>
                <c:pt idx="136">
                  <c:v>0.24077795548897363</c:v>
                </c:pt>
                <c:pt idx="137">
                  <c:v>0.11139189753148696</c:v>
                </c:pt>
                <c:pt idx="138">
                  <c:v>0.17112096157089593</c:v>
                </c:pt>
                <c:pt idx="139">
                  <c:v>0.14741153574396079</c:v>
                </c:pt>
                <c:pt idx="140">
                  <c:v>0.17067817138844665</c:v>
                </c:pt>
                <c:pt idx="141">
                  <c:v>0.16790501449219708</c:v>
                </c:pt>
                <c:pt idx="142">
                  <c:v>0.19691600350318608</c:v>
                </c:pt>
                <c:pt idx="143">
                  <c:v>0.28809013549364426</c:v>
                </c:pt>
                <c:pt idx="144">
                  <c:v>0.15483563489220536</c:v>
                </c:pt>
                <c:pt idx="145">
                  <c:v>0.20703343709000754</c:v>
                </c:pt>
                <c:pt idx="146">
                  <c:v>0.24391530522187591</c:v>
                </c:pt>
                <c:pt idx="147">
                  <c:v>0.24391530522187591</c:v>
                </c:pt>
                <c:pt idx="148">
                  <c:v>0.32778781529943296</c:v>
                </c:pt>
                <c:pt idx="149">
                  <c:v>0.27198889952479932</c:v>
                </c:pt>
                <c:pt idx="150">
                  <c:v>0.30986591612521996</c:v>
                </c:pt>
                <c:pt idx="151">
                  <c:v>0.48971337285690147</c:v>
                </c:pt>
                <c:pt idx="152">
                  <c:v>0.33322372996879701</c:v>
                </c:pt>
                <c:pt idx="153">
                  <c:v>0.40089290290112822</c:v>
                </c:pt>
                <c:pt idx="154">
                  <c:v>0.36484894685717156</c:v>
                </c:pt>
                <c:pt idx="155">
                  <c:v>0.28221158421980902</c:v>
                </c:pt>
                <c:pt idx="156">
                  <c:v>0.28221158421980902</c:v>
                </c:pt>
                <c:pt idx="157">
                  <c:v>0.3953068223150471</c:v>
                </c:pt>
                <c:pt idx="158">
                  <c:v>0.32080361718684286</c:v>
                </c:pt>
                <c:pt idx="159">
                  <c:v>0.2352207632071332</c:v>
                </c:pt>
                <c:pt idx="160">
                  <c:v>0.27138942914679121</c:v>
                </c:pt>
                <c:pt idx="161">
                  <c:v>0.32008403098647842</c:v>
                </c:pt>
                <c:pt idx="162">
                  <c:v>0.31279841452225227</c:v>
                </c:pt>
                <c:pt idx="163">
                  <c:v>0.31341277458786865</c:v>
                </c:pt>
                <c:pt idx="164">
                  <c:v>0.28972147826211092</c:v>
                </c:pt>
                <c:pt idx="165">
                  <c:v>0.14763672595371649</c:v>
                </c:pt>
                <c:pt idx="166">
                  <c:v>0.19664395344505137</c:v>
                </c:pt>
                <c:pt idx="167">
                  <c:v>0.24912971585782126</c:v>
                </c:pt>
                <c:pt idx="168">
                  <c:v>0.21989894662705192</c:v>
                </c:pt>
                <c:pt idx="169">
                  <c:v>0.21989894662705192</c:v>
                </c:pt>
                <c:pt idx="170">
                  <c:v>0.24347037519848139</c:v>
                </c:pt>
                <c:pt idx="171">
                  <c:v>0.2766409040299897</c:v>
                </c:pt>
                <c:pt idx="172">
                  <c:v>0.17781009731005717</c:v>
                </c:pt>
                <c:pt idx="173">
                  <c:v>0.19886958493489437</c:v>
                </c:pt>
                <c:pt idx="174">
                  <c:v>0.26530960783038343</c:v>
                </c:pt>
                <c:pt idx="175">
                  <c:v>0.18690672404185377</c:v>
                </c:pt>
                <c:pt idx="176">
                  <c:v>0.14276662076344684</c:v>
                </c:pt>
                <c:pt idx="177">
                  <c:v>0.10371215005429914</c:v>
                </c:pt>
                <c:pt idx="178">
                  <c:v>0.23080039963047252</c:v>
                </c:pt>
                <c:pt idx="179">
                  <c:v>0.14599666446891324</c:v>
                </c:pt>
                <c:pt idx="180">
                  <c:v>7.4348472652110656E-2</c:v>
                </c:pt>
                <c:pt idx="181">
                  <c:v>0.13152670689271917</c:v>
                </c:pt>
                <c:pt idx="182">
                  <c:v>0.13152670689271917</c:v>
                </c:pt>
                <c:pt idx="183">
                  <c:v>0.1878922925265975</c:v>
                </c:pt>
                <c:pt idx="184">
                  <c:v>0.1878922925265975</c:v>
                </c:pt>
                <c:pt idx="185">
                  <c:v>0.1878922925265975</c:v>
                </c:pt>
                <c:pt idx="186">
                  <c:v>0.1878922925265975</c:v>
                </c:pt>
                <c:pt idx="187">
                  <c:v>0.22703356362663141</c:v>
                </c:pt>
                <c:pt idx="188">
                  <c:v>0.31884789930872348</c:v>
                </c:pt>
                <c:pt idx="189">
                  <c:v>0.24848722549977448</c:v>
                </c:pt>
                <c:pt idx="190">
                  <c:v>0.35555183161332976</c:v>
                </c:pt>
                <c:pt idx="191">
                  <c:v>0.31743824444582158</c:v>
                </c:pt>
                <c:pt idx="192">
                  <c:v>0.38508892095258657</c:v>
                </c:pt>
                <c:pt idx="193">
                  <c:v>0.44330913763924257</c:v>
                </c:pt>
                <c:pt idx="194">
                  <c:v>0.26224472921064879</c:v>
                </c:pt>
                <c:pt idx="195">
                  <c:v>0.42786680189284054</c:v>
                </c:pt>
                <c:pt idx="196">
                  <c:v>0.24937578071889252</c:v>
                </c:pt>
                <c:pt idx="197">
                  <c:v>0.24937578071889252</c:v>
                </c:pt>
                <c:pt idx="198">
                  <c:v>0.24937578071889252</c:v>
                </c:pt>
                <c:pt idx="199">
                  <c:v>0.33418186810229933</c:v>
                </c:pt>
                <c:pt idx="200">
                  <c:v>0.30485895733608981</c:v>
                </c:pt>
                <c:pt idx="201">
                  <c:v>0.16656168759552109</c:v>
                </c:pt>
                <c:pt idx="202">
                  <c:v>0.30039330513888607</c:v>
                </c:pt>
                <c:pt idx="203">
                  <c:v>0.16565167281647636</c:v>
                </c:pt>
                <c:pt idx="204">
                  <c:v>7.6704745304526256E-2</c:v>
                </c:pt>
                <c:pt idx="205">
                  <c:v>0.14865564632306882</c:v>
                </c:pt>
                <c:pt idx="206">
                  <c:v>4.3496637142121992E-2</c:v>
                </c:pt>
                <c:pt idx="207">
                  <c:v>0.13773935095005296</c:v>
                </c:pt>
                <c:pt idx="208">
                  <c:v>0</c:v>
                </c:pt>
                <c:pt idx="209">
                  <c:v>3.8532895675752882E-2</c:v>
                </c:pt>
                <c:pt idx="210">
                  <c:v>4.3368060510917683E-2</c:v>
                </c:pt>
                <c:pt idx="211">
                  <c:v>4.3368060510917683E-2</c:v>
                </c:pt>
                <c:pt idx="212">
                  <c:v>4.3368060510917683E-2</c:v>
                </c:pt>
                <c:pt idx="213">
                  <c:v>4.3368060510917683E-2</c:v>
                </c:pt>
                <c:pt idx="214">
                  <c:v>4.3368060510917683E-2</c:v>
                </c:pt>
                <c:pt idx="215">
                  <c:v>8.3822521304361533E-2</c:v>
                </c:pt>
                <c:pt idx="216">
                  <c:v>0.12243418286684275</c:v>
                </c:pt>
                <c:pt idx="217">
                  <c:v>0.12243418286684275</c:v>
                </c:pt>
              </c:numCache>
            </c:numRef>
          </c:val>
          <c:smooth val="0"/>
        </c:ser>
        <c:ser>
          <c:idx val="1"/>
          <c:order val="1"/>
          <c:tx>
            <c:v>minus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t!$A$3:$A$220</c:f>
              <c:numCache>
                <c:formatCode>m/d/yyyy</c:formatCode>
                <c:ptCount val="218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</c:numCache>
            </c:numRef>
          </c:cat>
          <c:val>
            <c:numRef>
              <c:f>t!$Q$3:$Q$220</c:f>
              <c:numCache>
                <c:formatCode>0.00</c:formatCode>
                <c:ptCount val="218"/>
                <c:pt idx="0">
                  <c:v>0.10297396752086806</c:v>
                </c:pt>
                <c:pt idx="1">
                  <c:v>0.10297396752086806</c:v>
                </c:pt>
                <c:pt idx="2">
                  <c:v>0.10297396752086806</c:v>
                </c:pt>
                <c:pt idx="3">
                  <c:v>0.14228736729938379</c:v>
                </c:pt>
                <c:pt idx="4">
                  <c:v>0.10659762949709538</c:v>
                </c:pt>
                <c:pt idx="5">
                  <c:v>0.10659762949709538</c:v>
                </c:pt>
                <c:pt idx="6">
                  <c:v>0.10659762949709538</c:v>
                </c:pt>
                <c:pt idx="7">
                  <c:v>0.10659762949709538</c:v>
                </c:pt>
                <c:pt idx="8">
                  <c:v>0.10659762949709538</c:v>
                </c:pt>
                <c:pt idx="9">
                  <c:v>0.17057916924955985</c:v>
                </c:pt>
                <c:pt idx="10">
                  <c:v>7.7067688072881002E-2</c:v>
                </c:pt>
                <c:pt idx="11">
                  <c:v>9.7085094513264095E-2</c:v>
                </c:pt>
                <c:pt idx="12">
                  <c:v>0.16762680209091396</c:v>
                </c:pt>
                <c:pt idx="13">
                  <c:v>2.1768308027849965E-2</c:v>
                </c:pt>
                <c:pt idx="14">
                  <c:v>2.1768308027849965E-2</c:v>
                </c:pt>
                <c:pt idx="15">
                  <c:v>5.4347493548212132E-2</c:v>
                </c:pt>
                <c:pt idx="16">
                  <c:v>0.13361371094319829</c:v>
                </c:pt>
                <c:pt idx="17">
                  <c:v>8.2995753836691721E-2</c:v>
                </c:pt>
                <c:pt idx="18">
                  <c:v>8.2995753836691721E-2</c:v>
                </c:pt>
                <c:pt idx="19">
                  <c:v>8.2995753836691721E-2</c:v>
                </c:pt>
                <c:pt idx="20">
                  <c:v>8.2995753836691721E-2</c:v>
                </c:pt>
                <c:pt idx="21">
                  <c:v>8.2995753836691721E-2</c:v>
                </c:pt>
                <c:pt idx="22">
                  <c:v>8.2995753836691721E-2</c:v>
                </c:pt>
                <c:pt idx="23">
                  <c:v>8.2995753836691721E-2</c:v>
                </c:pt>
                <c:pt idx="24">
                  <c:v>9.7953018793956695E-2</c:v>
                </c:pt>
                <c:pt idx="25">
                  <c:v>9.7953018793956695E-2</c:v>
                </c:pt>
                <c:pt idx="26">
                  <c:v>9.7953018793956695E-2</c:v>
                </c:pt>
                <c:pt idx="27">
                  <c:v>0.17460006014688062</c:v>
                </c:pt>
                <c:pt idx="28">
                  <c:v>0.14098599766857478</c:v>
                </c:pt>
                <c:pt idx="29">
                  <c:v>7.9013629013628905E-2</c:v>
                </c:pt>
                <c:pt idx="30">
                  <c:v>2.1016071016070906E-2</c:v>
                </c:pt>
                <c:pt idx="31">
                  <c:v>2.1016071016070906E-2</c:v>
                </c:pt>
                <c:pt idx="32">
                  <c:v>2.1016071016070906E-2</c:v>
                </c:pt>
                <c:pt idx="33">
                  <c:v>2.1016071016070906E-2</c:v>
                </c:pt>
                <c:pt idx="34">
                  <c:v>4.4656903867430209E-2</c:v>
                </c:pt>
                <c:pt idx="35">
                  <c:v>4.8389020807093619E-2</c:v>
                </c:pt>
                <c:pt idx="36">
                  <c:v>8.0796428214501059E-2</c:v>
                </c:pt>
                <c:pt idx="37">
                  <c:v>8.9643974632935913E-2</c:v>
                </c:pt>
                <c:pt idx="38">
                  <c:v>0.13285246682101978</c:v>
                </c:pt>
                <c:pt idx="39">
                  <c:v>0.20217756827047298</c:v>
                </c:pt>
                <c:pt idx="40">
                  <c:v>0.18299134908425418</c:v>
                </c:pt>
                <c:pt idx="41">
                  <c:v>0.18781579293308845</c:v>
                </c:pt>
                <c:pt idx="42">
                  <c:v>0.18781579293308845</c:v>
                </c:pt>
                <c:pt idx="43">
                  <c:v>0.18781579293308845</c:v>
                </c:pt>
                <c:pt idx="44">
                  <c:v>0.20201697636504121</c:v>
                </c:pt>
                <c:pt idx="45">
                  <c:v>0.24561565411006039</c:v>
                </c:pt>
                <c:pt idx="46">
                  <c:v>0.29683745862133887</c:v>
                </c:pt>
                <c:pt idx="47">
                  <c:v>0.23383854715544386</c:v>
                </c:pt>
                <c:pt idx="48">
                  <c:v>0.24098751088233711</c:v>
                </c:pt>
                <c:pt idx="49">
                  <c:v>0.36278065157906952</c:v>
                </c:pt>
                <c:pt idx="50">
                  <c:v>0.28874697492063384</c:v>
                </c:pt>
                <c:pt idx="51">
                  <c:v>0.2953353641524265</c:v>
                </c:pt>
                <c:pt idx="52">
                  <c:v>0.16107944081306683</c:v>
                </c:pt>
                <c:pt idx="53">
                  <c:v>0.17153240248554108</c:v>
                </c:pt>
                <c:pt idx="54">
                  <c:v>0.15625499696423253</c:v>
                </c:pt>
                <c:pt idx="55">
                  <c:v>0.17436875134172325</c:v>
                </c:pt>
                <c:pt idx="56">
                  <c:v>0.24031563244895457</c:v>
                </c:pt>
                <c:pt idx="57">
                  <c:v>0.29585801690333047</c:v>
                </c:pt>
                <c:pt idx="58">
                  <c:v>0.18230704892064806</c:v>
                </c:pt>
                <c:pt idx="59">
                  <c:v>0.19049157273017081</c:v>
                </c:pt>
                <c:pt idx="60">
                  <c:v>0.24685138271945894</c:v>
                </c:pt>
                <c:pt idx="61">
                  <c:v>0.23591353971975321</c:v>
                </c:pt>
                <c:pt idx="62">
                  <c:v>0.2583456530609573</c:v>
                </c:pt>
                <c:pt idx="63">
                  <c:v>0.27247644008674538</c:v>
                </c:pt>
                <c:pt idx="64">
                  <c:v>0.36420232751344167</c:v>
                </c:pt>
                <c:pt idx="65">
                  <c:v>0.2258081546365098</c:v>
                </c:pt>
                <c:pt idx="66">
                  <c:v>0.24060668943504443</c:v>
                </c:pt>
                <c:pt idx="67">
                  <c:v>0.27985315725294097</c:v>
                </c:pt>
                <c:pt idx="68">
                  <c:v>0.29871117745655457</c:v>
                </c:pt>
                <c:pt idx="69">
                  <c:v>0.20042144461470349</c:v>
                </c:pt>
                <c:pt idx="70">
                  <c:v>0.23437456285516073</c:v>
                </c:pt>
                <c:pt idx="71">
                  <c:v>0.17954218719105111</c:v>
                </c:pt>
                <c:pt idx="72">
                  <c:v>0.24005994472570402</c:v>
                </c:pt>
                <c:pt idx="73">
                  <c:v>0.30668577206953107</c:v>
                </c:pt>
                <c:pt idx="74">
                  <c:v>0.18677145413387347</c:v>
                </c:pt>
                <c:pt idx="75">
                  <c:v>0.20222475083717001</c:v>
                </c:pt>
                <c:pt idx="76">
                  <c:v>0.38568086786265121</c:v>
                </c:pt>
                <c:pt idx="77">
                  <c:v>0.17793187808371139</c:v>
                </c:pt>
                <c:pt idx="78">
                  <c:v>0.20999537014720315</c:v>
                </c:pt>
                <c:pt idx="79">
                  <c:v>0.19758695333560364</c:v>
                </c:pt>
                <c:pt idx="80">
                  <c:v>0.20095584721544679</c:v>
                </c:pt>
                <c:pt idx="81">
                  <c:v>0.23006959061490448</c:v>
                </c:pt>
                <c:pt idx="82">
                  <c:v>0.23006959061490448</c:v>
                </c:pt>
                <c:pt idx="83">
                  <c:v>0.27944231420859156</c:v>
                </c:pt>
                <c:pt idx="84">
                  <c:v>0.21059343800365585</c:v>
                </c:pt>
                <c:pt idx="85">
                  <c:v>0.33826155806838998</c:v>
                </c:pt>
                <c:pt idx="86">
                  <c:v>0.33567084229389771</c:v>
                </c:pt>
                <c:pt idx="87">
                  <c:v>0.26177613198112348</c:v>
                </c:pt>
                <c:pt idx="88">
                  <c:v>0.30235018042641282</c:v>
                </c:pt>
                <c:pt idx="89">
                  <c:v>0.18969658445686327</c:v>
                </c:pt>
                <c:pt idx="90">
                  <c:v>0.19969781917719895</c:v>
                </c:pt>
                <c:pt idx="91">
                  <c:v>0.27434730761979059</c:v>
                </c:pt>
                <c:pt idx="92">
                  <c:v>0.17254347919976545</c:v>
                </c:pt>
                <c:pt idx="93">
                  <c:v>0.22495509261242058</c:v>
                </c:pt>
                <c:pt idx="94">
                  <c:v>0.1327615718474712</c:v>
                </c:pt>
                <c:pt idx="95">
                  <c:v>0.16429525555506788</c:v>
                </c:pt>
                <c:pt idx="96">
                  <c:v>0.16429525555506788</c:v>
                </c:pt>
                <c:pt idx="97">
                  <c:v>0.23355932481913769</c:v>
                </c:pt>
                <c:pt idx="98">
                  <c:v>0.27773538685234189</c:v>
                </c:pt>
                <c:pt idx="99">
                  <c:v>7.7160340780401238E-2</c:v>
                </c:pt>
                <c:pt idx="100">
                  <c:v>5.9702881851370439E-2</c:v>
                </c:pt>
                <c:pt idx="101">
                  <c:v>0.14238997157977204</c:v>
                </c:pt>
                <c:pt idx="102">
                  <c:v>0.11267672042299681</c:v>
                </c:pt>
                <c:pt idx="103">
                  <c:v>0.10227519733571816</c:v>
                </c:pt>
                <c:pt idx="104">
                  <c:v>0.10227519733571816</c:v>
                </c:pt>
                <c:pt idx="105">
                  <c:v>0.11019860440075621</c:v>
                </c:pt>
                <c:pt idx="106">
                  <c:v>0.13843190955713802</c:v>
                </c:pt>
                <c:pt idx="107">
                  <c:v>0.21146446706174526</c:v>
                </c:pt>
                <c:pt idx="108">
                  <c:v>0.11160780198768906</c:v>
                </c:pt>
                <c:pt idx="109">
                  <c:v>0.11160780198768906</c:v>
                </c:pt>
                <c:pt idx="110">
                  <c:v>0.11160780198768906</c:v>
                </c:pt>
                <c:pt idx="111">
                  <c:v>0.11160780198768906</c:v>
                </c:pt>
                <c:pt idx="112">
                  <c:v>0.29864224405568796</c:v>
                </c:pt>
                <c:pt idx="113">
                  <c:v>0.44025992051460117</c:v>
                </c:pt>
                <c:pt idx="114">
                  <c:v>0.33299753596260595</c:v>
                </c:pt>
                <c:pt idx="115">
                  <c:v>0.37697429205672894</c:v>
                </c:pt>
                <c:pt idx="116">
                  <c:v>0.30962228922085633</c:v>
                </c:pt>
                <c:pt idx="117">
                  <c:v>0.32678967119510544</c:v>
                </c:pt>
                <c:pt idx="118">
                  <c:v>0.3863544092770983</c:v>
                </c:pt>
                <c:pt idx="119">
                  <c:v>0.3071530245812093</c:v>
                </c:pt>
                <c:pt idx="120">
                  <c:v>0.29223936681040819</c:v>
                </c:pt>
                <c:pt idx="121">
                  <c:v>0.29223936681040819</c:v>
                </c:pt>
                <c:pt idx="122">
                  <c:v>0.29223936681040819</c:v>
                </c:pt>
                <c:pt idx="123">
                  <c:v>0.29223936681040819</c:v>
                </c:pt>
                <c:pt idx="124">
                  <c:v>0.69748065795773895</c:v>
                </c:pt>
                <c:pt idx="125">
                  <c:v>0.3265264270122108</c:v>
                </c:pt>
                <c:pt idx="126">
                  <c:v>0.21129126489332584</c:v>
                </c:pt>
                <c:pt idx="127">
                  <c:v>0.22532089918113377</c:v>
                </c:pt>
                <c:pt idx="128">
                  <c:v>0.170326786151306</c:v>
                </c:pt>
                <c:pt idx="129">
                  <c:v>0.22988013602723678</c:v>
                </c:pt>
                <c:pt idx="130">
                  <c:v>0.28076076225032887</c:v>
                </c:pt>
                <c:pt idx="131">
                  <c:v>0.20639677007811735</c:v>
                </c:pt>
                <c:pt idx="132">
                  <c:v>0.2595281047628501</c:v>
                </c:pt>
                <c:pt idx="133">
                  <c:v>0.32977073342132052</c:v>
                </c:pt>
                <c:pt idx="134">
                  <c:v>0.34423727953343614</c:v>
                </c:pt>
                <c:pt idx="135">
                  <c:v>0.36461425355279437</c:v>
                </c:pt>
                <c:pt idx="136">
                  <c:v>0.36461425355279437</c:v>
                </c:pt>
                <c:pt idx="137">
                  <c:v>0.61998064881556469</c:v>
                </c:pt>
                <c:pt idx="138">
                  <c:v>0.2593329530700233</c:v>
                </c:pt>
                <c:pt idx="139">
                  <c:v>0.32212730157865715</c:v>
                </c:pt>
                <c:pt idx="140">
                  <c:v>0.23035094606603843</c:v>
                </c:pt>
                <c:pt idx="141">
                  <c:v>0.35938320413055513</c:v>
                </c:pt>
                <c:pt idx="142">
                  <c:v>0.17079759619010762</c:v>
                </c:pt>
                <c:pt idx="143">
                  <c:v>0.17079759619010762</c:v>
                </c:pt>
                <c:pt idx="144">
                  <c:v>0.33106598967926948</c:v>
                </c:pt>
                <c:pt idx="145">
                  <c:v>0.31500912527096842</c:v>
                </c:pt>
                <c:pt idx="146">
                  <c:v>0.12391831776206252</c:v>
                </c:pt>
                <c:pt idx="147">
                  <c:v>0.12225769878230591</c:v>
                </c:pt>
                <c:pt idx="148">
                  <c:v>5.7730614387671603E-2</c:v>
                </c:pt>
                <c:pt idx="149">
                  <c:v>5.7730614387671603E-2</c:v>
                </c:pt>
                <c:pt idx="150">
                  <c:v>8.4987525271104689E-2</c:v>
                </c:pt>
                <c:pt idx="151">
                  <c:v>4.5150501672240939E-2</c:v>
                </c:pt>
                <c:pt idx="152">
                  <c:v>4.5150501672240939E-2</c:v>
                </c:pt>
                <c:pt idx="153">
                  <c:v>8.9245208227515596E-2</c:v>
                </c:pt>
                <c:pt idx="154">
                  <c:v>8.9245208227515596E-2</c:v>
                </c:pt>
                <c:pt idx="155">
                  <c:v>8.9245208227515596E-2</c:v>
                </c:pt>
                <c:pt idx="156">
                  <c:v>0.23177235683425201</c:v>
                </c:pt>
                <c:pt idx="157">
                  <c:v>0.11008697699669796</c:v>
                </c:pt>
                <c:pt idx="158">
                  <c:v>0.11008697699669796</c:v>
                </c:pt>
                <c:pt idx="159">
                  <c:v>0.11008697699669796</c:v>
                </c:pt>
                <c:pt idx="160">
                  <c:v>0.20221402802785907</c:v>
                </c:pt>
                <c:pt idx="161">
                  <c:v>0.20221402802785907</c:v>
                </c:pt>
                <c:pt idx="162">
                  <c:v>0.20221402802785907</c:v>
                </c:pt>
                <c:pt idx="163">
                  <c:v>0.20221402802785907</c:v>
                </c:pt>
                <c:pt idx="164">
                  <c:v>0.20221402802785907</c:v>
                </c:pt>
                <c:pt idx="165">
                  <c:v>0.3532759828420976</c:v>
                </c:pt>
                <c:pt idx="166">
                  <c:v>0.21364274541706124</c:v>
                </c:pt>
                <c:pt idx="167">
                  <c:v>0.21364274541706124</c:v>
                </c:pt>
                <c:pt idx="168">
                  <c:v>0.35828212096920342</c:v>
                </c:pt>
                <c:pt idx="169">
                  <c:v>0.27381491010531667</c:v>
                </c:pt>
                <c:pt idx="170">
                  <c:v>0.20639274893315515</c:v>
                </c:pt>
                <c:pt idx="171">
                  <c:v>0.20639274893315515</c:v>
                </c:pt>
                <c:pt idx="172">
                  <c:v>0.46069233326678927</c:v>
                </c:pt>
                <c:pt idx="173">
                  <c:v>0.16895667166811251</c:v>
                </c:pt>
                <c:pt idx="174">
                  <c:v>0.21549836526862948</c:v>
                </c:pt>
                <c:pt idx="175">
                  <c:v>0.21549836526862948</c:v>
                </c:pt>
                <c:pt idx="176">
                  <c:v>0.21549836526862948</c:v>
                </c:pt>
                <c:pt idx="177">
                  <c:v>0.35444935210472073</c:v>
                </c:pt>
                <c:pt idx="178">
                  <c:v>0.17862517628054414</c:v>
                </c:pt>
                <c:pt idx="179">
                  <c:v>0.17862517628054414</c:v>
                </c:pt>
                <c:pt idx="180">
                  <c:v>0.28216383945223478</c:v>
                </c:pt>
                <c:pt idx="181">
                  <c:v>0.15457436470679647</c:v>
                </c:pt>
                <c:pt idx="182">
                  <c:v>0.12854949346384473</c:v>
                </c:pt>
                <c:pt idx="183">
                  <c:v>0.12854949346384473</c:v>
                </c:pt>
                <c:pt idx="184">
                  <c:v>0.26091772515594647</c:v>
                </c:pt>
                <c:pt idx="185">
                  <c:v>0.12488352290068393</c:v>
                </c:pt>
                <c:pt idx="186">
                  <c:v>0.22572385903513731</c:v>
                </c:pt>
                <c:pt idx="187">
                  <c:v>7.8341829300166962E-2</c:v>
                </c:pt>
                <c:pt idx="188">
                  <c:v>7.8341829300166962E-2</c:v>
                </c:pt>
                <c:pt idx="189">
                  <c:v>0.24408759892940129</c:v>
                </c:pt>
                <c:pt idx="190">
                  <c:v>0.18502852156749491</c:v>
                </c:pt>
                <c:pt idx="191">
                  <c:v>0.18502852156749491</c:v>
                </c:pt>
                <c:pt idx="192">
                  <c:v>0.20500381254870312</c:v>
                </c:pt>
                <c:pt idx="193">
                  <c:v>0.20500381254870312</c:v>
                </c:pt>
                <c:pt idx="194">
                  <c:v>0.25630220540081383</c:v>
                </c:pt>
                <c:pt idx="195">
                  <c:v>0.22885800012155744</c:v>
                </c:pt>
                <c:pt idx="196">
                  <c:v>0.32075025933499457</c:v>
                </c:pt>
                <c:pt idx="197">
                  <c:v>0.35732511632534003</c:v>
                </c:pt>
                <c:pt idx="198">
                  <c:v>0.30371987685300261</c:v>
                </c:pt>
                <c:pt idx="199">
                  <c:v>0.3933467335128264</c:v>
                </c:pt>
                <c:pt idx="200">
                  <c:v>0.40201934252270355</c:v>
                </c:pt>
                <c:pt idx="201">
                  <c:v>0.67358268484076234</c:v>
                </c:pt>
                <c:pt idx="202">
                  <c:v>0.27668241529898407</c:v>
                </c:pt>
                <c:pt idx="203">
                  <c:v>0.29692673408699216</c:v>
                </c:pt>
                <c:pt idx="204">
                  <c:v>0.43407581981907406</c:v>
                </c:pt>
                <c:pt idx="205">
                  <c:v>0.41088067177185478</c:v>
                </c:pt>
                <c:pt idx="206">
                  <c:v>0.53609876138069856</c:v>
                </c:pt>
                <c:pt idx="207">
                  <c:v>0.51804623540259764</c:v>
                </c:pt>
                <c:pt idx="208">
                  <c:v>0.6639336812900426</c:v>
                </c:pt>
                <c:pt idx="209">
                  <c:v>0.46811283546919746</c:v>
                </c:pt>
                <c:pt idx="210">
                  <c:v>0.60688505801105341</c:v>
                </c:pt>
                <c:pt idx="211">
                  <c:v>0.6382329042511028</c:v>
                </c:pt>
                <c:pt idx="212">
                  <c:v>0.37320517768306116</c:v>
                </c:pt>
                <c:pt idx="213">
                  <c:v>0.38450938443001703</c:v>
                </c:pt>
                <c:pt idx="214">
                  <c:v>0.39954175612153087</c:v>
                </c:pt>
                <c:pt idx="215">
                  <c:v>0.44340444682888175</c:v>
                </c:pt>
                <c:pt idx="216">
                  <c:v>0.5826808959801395</c:v>
                </c:pt>
                <c:pt idx="217">
                  <c:v>0.40593255069246792</c:v>
                </c:pt>
              </c:numCache>
            </c:numRef>
          </c:val>
          <c:smooth val="0"/>
        </c:ser>
        <c:ser>
          <c:idx val="2"/>
          <c:order val="2"/>
          <c:tx>
            <c:v>adx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t!$A$3:$A$220</c:f>
              <c:numCache>
                <c:formatCode>m/d/yyyy</c:formatCode>
                <c:ptCount val="218"/>
                <c:pt idx="0">
                  <c:v>44207</c:v>
                </c:pt>
                <c:pt idx="1">
                  <c:v>44204</c:v>
                </c:pt>
                <c:pt idx="2">
                  <c:v>44202</c:v>
                </c:pt>
                <c:pt idx="3">
                  <c:v>44201</c:v>
                </c:pt>
                <c:pt idx="4">
                  <c:v>44200</c:v>
                </c:pt>
                <c:pt idx="5">
                  <c:v>44195</c:v>
                </c:pt>
                <c:pt idx="6">
                  <c:v>44194</c:v>
                </c:pt>
                <c:pt idx="7">
                  <c:v>44193</c:v>
                </c:pt>
                <c:pt idx="8">
                  <c:v>44190</c:v>
                </c:pt>
                <c:pt idx="9">
                  <c:v>44189</c:v>
                </c:pt>
                <c:pt idx="10">
                  <c:v>44188</c:v>
                </c:pt>
                <c:pt idx="11">
                  <c:v>44187</c:v>
                </c:pt>
                <c:pt idx="12">
                  <c:v>44186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44176</c:v>
                </c:pt>
                <c:pt idx="19">
                  <c:v>44175</c:v>
                </c:pt>
                <c:pt idx="20">
                  <c:v>44174</c:v>
                </c:pt>
                <c:pt idx="21">
                  <c:v>44173</c:v>
                </c:pt>
                <c:pt idx="22">
                  <c:v>44172</c:v>
                </c:pt>
                <c:pt idx="23">
                  <c:v>44169</c:v>
                </c:pt>
                <c:pt idx="24">
                  <c:v>44168</c:v>
                </c:pt>
                <c:pt idx="25">
                  <c:v>44167</c:v>
                </c:pt>
                <c:pt idx="26">
                  <c:v>44166</c:v>
                </c:pt>
                <c:pt idx="27">
                  <c:v>44165</c:v>
                </c:pt>
                <c:pt idx="28">
                  <c:v>44162</c:v>
                </c:pt>
                <c:pt idx="29">
                  <c:v>44161</c:v>
                </c:pt>
                <c:pt idx="30">
                  <c:v>44160</c:v>
                </c:pt>
                <c:pt idx="31">
                  <c:v>44159</c:v>
                </c:pt>
                <c:pt idx="32">
                  <c:v>44158</c:v>
                </c:pt>
                <c:pt idx="33">
                  <c:v>44155</c:v>
                </c:pt>
                <c:pt idx="34">
                  <c:v>44154</c:v>
                </c:pt>
                <c:pt idx="35">
                  <c:v>44153</c:v>
                </c:pt>
                <c:pt idx="36">
                  <c:v>44152</c:v>
                </c:pt>
                <c:pt idx="37">
                  <c:v>44151</c:v>
                </c:pt>
                <c:pt idx="38">
                  <c:v>44148</c:v>
                </c:pt>
                <c:pt idx="39">
                  <c:v>44147</c:v>
                </c:pt>
                <c:pt idx="40">
                  <c:v>44146</c:v>
                </c:pt>
                <c:pt idx="41">
                  <c:v>44145</c:v>
                </c:pt>
                <c:pt idx="42">
                  <c:v>44144</c:v>
                </c:pt>
                <c:pt idx="43">
                  <c:v>44141</c:v>
                </c:pt>
                <c:pt idx="44">
                  <c:v>44140</c:v>
                </c:pt>
                <c:pt idx="45">
                  <c:v>44138</c:v>
                </c:pt>
                <c:pt idx="46">
                  <c:v>44137</c:v>
                </c:pt>
                <c:pt idx="47">
                  <c:v>44134</c:v>
                </c:pt>
                <c:pt idx="48">
                  <c:v>44133</c:v>
                </c:pt>
                <c:pt idx="49">
                  <c:v>44132</c:v>
                </c:pt>
                <c:pt idx="50">
                  <c:v>44131</c:v>
                </c:pt>
                <c:pt idx="51">
                  <c:v>44130</c:v>
                </c:pt>
                <c:pt idx="52">
                  <c:v>44127</c:v>
                </c:pt>
                <c:pt idx="53">
                  <c:v>44126</c:v>
                </c:pt>
                <c:pt idx="54">
                  <c:v>44125</c:v>
                </c:pt>
                <c:pt idx="55">
                  <c:v>44124</c:v>
                </c:pt>
                <c:pt idx="56">
                  <c:v>44123</c:v>
                </c:pt>
                <c:pt idx="57">
                  <c:v>44120</c:v>
                </c:pt>
                <c:pt idx="58">
                  <c:v>44119</c:v>
                </c:pt>
                <c:pt idx="59">
                  <c:v>44118</c:v>
                </c:pt>
                <c:pt idx="60">
                  <c:v>44117</c:v>
                </c:pt>
                <c:pt idx="61">
                  <c:v>44116</c:v>
                </c:pt>
                <c:pt idx="62">
                  <c:v>44113</c:v>
                </c:pt>
                <c:pt idx="63">
                  <c:v>44112</c:v>
                </c:pt>
                <c:pt idx="64">
                  <c:v>44111</c:v>
                </c:pt>
                <c:pt idx="65">
                  <c:v>44110</c:v>
                </c:pt>
                <c:pt idx="66">
                  <c:v>44109</c:v>
                </c:pt>
                <c:pt idx="67">
                  <c:v>44106</c:v>
                </c:pt>
                <c:pt idx="68">
                  <c:v>44105</c:v>
                </c:pt>
                <c:pt idx="69">
                  <c:v>44104</c:v>
                </c:pt>
                <c:pt idx="70">
                  <c:v>44103</c:v>
                </c:pt>
                <c:pt idx="71">
                  <c:v>44102</c:v>
                </c:pt>
                <c:pt idx="72">
                  <c:v>44099</c:v>
                </c:pt>
                <c:pt idx="73">
                  <c:v>44098</c:v>
                </c:pt>
                <c:pt idx="74">
                  <c:v>44097</c:v>
                </c:pt>
                <c:pt idx="75">
                  <c:v>44096</c:v>
                </c:pt>
                <c:pt idx="76">
                  <c:v>44095</c:v>
                </c:pt>
                <c:pt idx="77">
                  <c:v>44092</c:v>
                </c:pt>
                <c:pt idx="78">
                  <c:v>44091</c:v>
                </c:pt>
                <c:pt idx="79">
                  <c:v>44090</c:v>
                </c:pt>
                <c:pt idx="80">
                  <c:v>44089</c:v>
                </c:pt>
                <c:pt idx="81">
                  <c:v>44088</c:v>
                </c:pt>
                <c:pt idx="82">
                  <c:v>44085</c:v>
                </c:pt>
                <c:pt idx="83">
                  <c:v>44084</c:v>
                </c:pt>
                <c:pt idx="84">
                  <c:v>44083</c:v>
                </c:pt>
                <c:pt idx="85">
                  <c:v>44082</c:v>
                </c:pt>
                <c:pt idx="86">
                  <c:v>44081</c:v>
                </c:pt>
                <c:pt idx="87">
                  <c:v>44078</c:v>
                </c:pt>
                <c:pt idx="88">
                  <c:v>44077</c:v>
                </c:pt>
                <c:pt idx="89">
                  <c:v>44076</c:v>
                </c:pt>
                <c:pt idx="90">
                  <c:v>44075</c:v>
                </c:pt>
                <c:pt idx="91">
                  <c:v>44074</c:v>
                </c:pt>
                <c:pt idx="92">
                  <c:v>44071</c:v>
                </c:pt>
                <c:pt idx="93">
                  <c:v>44070</c:v>
                </c:pt>
                <c:pt idx="94">
                  <c:v>44069</c:v>
                </c:pt>
                <c:pt idx="95">
                  <c:v>44068</c:v>
                </c:pt>
                <c:pt idx="96">
                  <c:v>44067</c:v>
                </c:pt>
                <c:pt idx="97">
                  <c:v>44064</c:v>
                </c:pt>
                <c:pt idx="98">
                  <c:v>44063</c:v>
                </c:pt>
                <c:pt idx="99">
                  <c:v>44062</c:v>
                </c:pt>
                <c:pt idx="100">
                  <c:v>44061</c:v>
                </c:pt>
                <c:pt idx="101">
                  <c:v>44060</c:v>
                </c:pt>
                <c:pt idx="102">
                  <c:v>44057</c:v>
                </c:pt>
                <c:pt idx="103">
                  <c:v>44056</c:v>
                </c:pt>
                <c:pt idx="104">
                  <c:v>44055</c:v>
                </c:pt>
                <c:pt idx="105">
                  <c:v>44054</c:v>
                </c:pt>
                <c:pt idx="106">
                  <c:v>44053</c:v>
                </c:pt>
                <c:pt idx="107">
                  <c:v>44050</c:v>
                </c:pt>
                <c:pt idx="108">
                  <c:v>44049</c:v>
                </c:pt>
                <c:pt idx="109">
                  <c:v>44048</c:v>
                </c:pt>
                <c:pt idx="110">
                  <c:v>44047</c:v>
                </c:pt>
                <c:pt idx="111">
                  <c:v>44046</c:v>
                </c:pt>
                <c:pt idx="112">
                  <c:v>44043</c:v>
                </c:pt>
                <c:pt idx="113">
                  <c:v>44042</c:v>
                </c:pt>
                <c:pt idx="114">
                  <c:v>44041</c:v>
                </c:pt>
                <c:pt idx="115">
                  <c:v>44040</c:v>
                </c:pt>
                <c:pt idx="116">
                  <c:v>44039</c:v>
                </c:pt>
                <c:pt idx="117">
                  <c:v>44036</c:v>
                </c:pt>
                <c:pt idx="118">
                  <c:v>44035</c:v>
                </c:pt>
                <c:pt idx="119">
                  <c:v>44034</c:v>
                </c:pt>
                <c:pt idx="120">
                  <c:v>44033</c:v>
                </c:pt>
                <c:pt idx="121">
                  <c:v>44032</c:v>
                </c:pt>
                <c:pt idx="122">
                  <c:v>44029</c:v>
                </c:pt>
                <c:pt idx="123">
                  <c:v>44028</c:v>
                </c:pt>
                <c:pt idx="124">
                  <c:v>44027</c:v>
                </c:pt>
                <c:pt idx="125">
                  <c:v>44026</c:v>
                </c:pt>
                <c:pt idx="126">
                  <c:v>44025</c:v>
                </c:pt>
                <c:pt idx="127">
                  <c:v>44022</c:v>
                </c:pt>
                <c:pt idx="128">
                  <c:v>44021</c:v>
                </c:pt>
                <c:pt idx="129">
                  <c:v>44020</c:v>
                </c:pt>
                <c:pt idx="130">
                  <c:v>44019</c:v>
                </c:pt>
                <c:pt idx="131">
                  <c:v>44018</c:v>
                </c:pt>
                <c:pt idx="132">
                  <c:v>44015</c:v>
                </c:pt>
                <c:pt idx="133">
                  <c:v>44014</c:v>
                </c:pt>
                <c:pt idx="134">
                  <c:v>44012</c:v>
                </c:pt>
                <c:pt idx="135">
                  <c:v>44011</c:v>
                </c:pt>
                <c:pt idx="136">
                  <c:v>44008</c:v>
                </c:pt>
                <c:pt idx="137">
                  <c:v>44007</c:v>
                </c:pt>
                <c:pt idx="138">
                  <c:v>44005</c:v>
                </c:pt>
                <c:pt idx="139">
                  <c:v>44004</c:v>
                </c:pt>
                <c:pt idx="140">
                  <c:v>44001</c:v>
                </c:pt>
                <c:pt idx="141">
                  <c:v>44000</c:v>
                </c:pt>
                <c:pt idx="142">
                  <c:v>43999</c:v>
                </c:pt>
                <c:pt idx="143">
                  <c:v>43998</c:v>
                </c:pt>
                <c:pt idx="144">
                  <c:v>43997</c:v>
                </c:pt>
                <c:pt idx="145">
                  <c:v>43993</c:v>
                </c:pt>
                <c:pt idx="146">
                  <c:v>43992</c:v>
                </c:pt>
                <c:pt idx="147">
                  <c:v>43991</c:v>
                </c:pt>
                <c:pt idx="148">
                  <c:v>43990</c:v>
                </c:pt>
                <c:pt idx="149">
                  <c:v>43987</c:v>
                </c:pt>
                <c:pt idx="150">
                  <c:v>43986</c:v>
                </c:pt>
                <c:pt idx="151">
                  <c:v>43985</c:v>
                </c:pt>
                <c:pt idx="152">
                  <c:v>43984</c:v>
                </c:pt>
                <c:pt idx="153">
                  <c:v>43983</c:v>
                </c:pt>
                <c:pt idx="154">
                  <c:v>43980</c:v>
                </c:pt>
                <c:pt idx="155">
                  <c:v>43979</c:v>
                </c:pt>
                <c:pt idx="156">
                  <c:v>43978</c:v>
                </c:pt>
                <c:pt idx="157">
                  <c:v>43977</c:v>
                </c:pt>
                <c:pt idx="158">
                  <c:v>43976</c:v>
                </c:pt>
                <c:pt idx="159">
                  <c:v>43973</c:v>
                </c:pt>
                <c:pt idx="160">
                  <c:v>43972</c:v>
                </c:pt>
                <c:pt idx="161">
                  <c:v>43971</c:v>
                </c:pt>
                <c:pt idx="162">
                  <c:v>43970</c:v>
                </c:pt>
                <c:pt idx="163">
                  <c:v>43969</c:v>
                </c:pt>
                <c:pt idx="164">
                  <c:v>43966</c:v>
                </c:pt>
                <c:pt idx="165">
                  <c:v>43965</c:v>
                </c:pt>
                <c:pt idx="166">
                  <c:v>43964</c:v>
                </c:pt>
                <c:pt idx="167">
                  <c:v>43963</c:v>
                </c:pt>
                <c:pt idx="168">
                  <c:v>43959</c:v>
                </c:pt>
                <c:pt idx="169">
                  <c:v>43958</c:v>
                </c:pt>
                <c:pt idx="170">
                  <c:v>43957</c:v>
                </c:pt>
                <c:pt idx="171">
                  <c:v>43956</c:v>
                </c:pt>
                <c:pt idx="172">
                  <c:v>43955</c:v>
                </c:pt>
                <c:pt idx="173">
                  <c:v>43951</c:v>
                </c:pt>
                <c:pt idx="174">
                  <c:v>43950</c:v>
                </c:pt>
                <c:pt idx="175">
                  <c:v>43949</c:v>
                </c:pt>
                <c:pt idx="176">
                  <c:v>43948</c:v>
                </c:pt>
                <c:pt idx="177">
                  <c:v>43945</c:v>
                </c:pt>
                <c:pt idx="178">
                  <c:v>43944</c:v>
                </c:pt>
                <c:pt idx="179">
                  <c:v>43943</c:v>
                </c:pt>
                <c:pt idx="180">
                  <c:v>43942</c:v>
                </c:pt>
                <c:pt idx="181">
                  <c:v>43941</c:v>
                </c:pt>
                <c:pt idx="182">
                  <c:v>43938</c:v>
                </c:pt>
                <c:pt idx="183">
                  <c:v>43937</c:v>
                </c:pt>
                <c:pt idx="184">
                  <c:v>43936</c:v>
                </c:pt>
                <c:pt idx="185">
                  <c:v>43935</c:v>
                </c:pt>
                <c:pt idx="186">
                  <c:v>43934</c:v>
                </c:pt>
                <c:pt idx="187">
                  <c:v>43931</c:v>
                </c:pt>
                <c:pt idx="188">
                  <c:v>43930</c:v>
                </c:pt>
                <c:pt idx="189">
                  <c:v>43929</c:v>
                </c:pt>
                <c:pt idx="190">
                  <c:v>43928</c:v>
                </c:pt>
                <c:pt idx="191">
                  <c:v>43927</c:v>
                </c:pt>
                <c:pt idx="192">
                  <c:v>43924</c:v>
                </c:pt>
                <c:pt idx="193">
                  <c:v>43923</c:v>
                </c:pt>
                <c:pt idx="194">
                  <c:v>43922</c:v>
                </c:pt>
                <c:pt idx="195">
                  <c:v>43921</c:v>
                </c:pt>
                <c:pt idx="196">
                  <c:v>43920</c:v>
                </c:pt>
                <c:pt idx="197">
                  <c:v>43917</c:v>
                </c:pt>
                <c:pt idx="198">
                  <c:v>43916</c:v>
                </c:pt>
                <c:pt idx="199">
                  <c:v>43915</c:v>
                </c:pt>
                <c:pt idx="200">
                  <c:v>43914</c:v>
                </c:pt>
                <c:pt idx="201">
                  <c:v>43913</c:v>
                </c:pt>
                <c:pt idx="202">
                  <c:v>43910</c:v>
                </c:pt>
                <c:pt idx="203">
                  <c:v>43909</c:v>
                </c:pt>
                <c:pt idx="204">
                  <c:v>43908</c:v>
                </c:pt>
                <c:pt idx="205">
                  <c:v>43907</c:v>
                </c:pt>
                <c:pt idx="206">
                  <c:v>43906</c:v>
                </c:pt>
                <c:pt idx="207">
                  <c:v>43903</c:v>
                </c:pt>
                <c:pt idx="208">
                  <c:v>43902</c:v>
                </c:pt>
                <c:pt idx="209">
                  <c:v>43901</c:v>
                </c:pt>
                <c:pt idx="210">
                  <c:v>43900</c:v>
                </c:pt>
                <c:pt idx="211">
                  <c:v>43896</c:v>
                </c:pt>
                <c:pt idx="212">
                  <c:v>43895</c:v>
                </c:pt>
                <c:pt idx="213">
                  <c:v>43894</c:v>
                </c:pt>
                <c:pt idx="214">
                  <c:v>43893</c:v>
                </c:pt>
                <c:pt idx="215">
                  <c:v>43892</c:v>
                </c:pt>
                <c:pt idx="216">
                  <c:v>43889</c:v>
                </c:pt>
                <c:pt idx="217">
                  <c:v>43888</c:v>
                </c:pt>
              </c:numCache>
            </c:numRef>
          </c:cat>
          <c:val>
            <c:numRef>
              <c:f>t!$S$3:$S$220</c:f>
              <c:numCache>
                <c:formatCode>0.00</c:formatCode>
                <c:ptCount val="218"/>
                <c:pt idx="0">
                  <c:v>0.49046106142010865</c:v>
                </c:pt>
                <c:pt idx="1">
                  <c:v>0.51204038894547554</c:v>
                </c:pt>
                <c:pt idx="2">
                  <c:v>0.5286222771551411</c:v>
                </c:pt>
                <c:pt idx="3">
                  <c:v>0.51688732535605442</c:v>
                </c:pt>
                <c:pt idx="4">
                  <c:v>0.54779957480635355</c:v>
                </c:pt>
                <c:pt idx="5">
                  <c:v>0.55325472174885559</c:v>
                </c:pt>
                <c:pt idx="6">
                  <c:v>0.55486504744344756</c:v>
                </c:pt>
                <c:pt idx="7">
                  <c:v>0.54062529451524832</c:v>
                </c:pt>
                <c:pt idx="8">
                  <c:v>0.53344589004565346</c:v>
                </c:pt>
                <c:pt idx="9">
                  <c:v>0.50378203628630291</c:v>
                </c:pt>
                <c:pt idx="10">
                  <c:v>0.58914409470679618</c:v>
                </c:pt>
                <c:pt idx="11">
                  <c:v>0.56327914561765613</c:v>
                </c:pt>
                <c:pt idx="12">
                  <c:v>0.51592554708505212</c:v>
                </c:pt>
                <c:pt idx="13">
                  <c:v>0.59840220445780323</c:v>
                </c:pt>
                <c:pt idx="14">
                  <c:v>0.58160581527923449</c:v>
                </c:pt>
                <c:pt idx="15">
                  <c:v>0.50367269231346912</c:v>
                </c:pt>
                <c:pt idx="16">
                  <c:v>0.40757098875617442</c:v>
                </c:pt>
                <c:pt idx="17">
                  <c:v>0.46832625683503132</c:v>
                </c:pt>
                <c:pt idx="18">
                  <c:v>0.48900489130742342</c:v>
                </c:pt>
                <c:pt idx="19">
                  <c:v>0.4825653889899475</c:v>
                </c:pt>
                <c:pt idx="20">
                  <c:v>0.52587324783623857</c:v>
                </c:pt>
                <c:pt idx="21">
                  <c:v>0.52890811366029911</c:v>
                </c:pt>
                <c:pt idx="22">
                  <c:v>0.57208762689351822</c:v>
                </c:pt>
                <c:pt idx="23">
                  <c:v>0.57506182958151653</c:v>
                </c:pt>
                <c:pt idx="24">
                  <c:v>0.54992954443711384</c:v>
                </c:pt>
                <c:pt idx="25">
                  <c:v>0.58640509549034681</c:v>
                </c:pt>
                <c:pt idx="26">
                  <c:v>0.61896908852674148</c:v>
                </c:pt>
                <c:pt idx="27">
                  <c:v>0.52756089660456074</c:v>
                </c:pt>
                <c:pt idx="28">
                  <c:v>0.55340440553127968</c:v>
                </c:pt>
                <c:pt idx="29">
                  <c:v>0.58618855349358578</c:v>
                </c:pt>
                <c:pt idx="30">
                  <c:v>0.61819977912995416</c:v>
                </c:pt>
                <c:pt idx="31">
                  <c:v>0.55403701708848119</c:v>
                </c:pt>
                <c:pt idx="32">
                  <c:v>0.50297238932378308</c:v>
                </c:pt>
                <c:pt idx="33">
                  <c:v>0.43745865302686143</c:v>
                </c:pt>
                <c:pt idx="34">
                  <c:v>0.31733129608824007</c:v>
                </c:pt>
                <c:pt idx="35">
                  <c:v>0.22735492117468367</c:v>
                </c:pt>
                <c:pt idx="36">
                  <c:v>0.10816336297860077</c:v>
                </c:pt>
                <c:pt idx="37">
                  <c:v>3.846762874730339E-2</c:v>
                </c:pt>
                <c:pt idx="38">
                  <c:v>-6.7328678517156515E-2</c:v>
                </c:pt>
                <c:pt idx="39">
                  <c:v>-0.19254786473529345</c:v>
                </c:pt>
                <c:pt idx="40">
                  <c:v>-0.19376648822309075</c:v>
                </c:pt>
                <c:pt idx="41">
                  <c:v>-0.21599146956195178</c:v>
                </c:pt>
                <c:pt idx="42">
                  <c:v>-0.20742455784688871</c:v>
                </c:pt>
                <c:pt idx="43">
                  <c:v>-0.25711540164033164</c:v>
                </c:pt>
                <c:pt idx="44">
                  <c:v>-0.24412141240574978</c:v>
                </c:pt>
                <c:pt idx="45">
                  <c:v>-0.29996549328629007</c:v>
                </c:pt>
                <c:pt idx="46">
                  <c:v>-0.37746725127408004</c:v>
                </c:pt>
                <c:pt idx="47">
                  <c:v>-0.33642407264619367</c:v>
                </c:pt>
                <c:pt idx="48">
                  <c:v>-0.31880599583026453</c:v>
                </c:pt>
                <c:pt idx="49">
                  <c:v>-0.2780694226371524</c:v>
                </c:pt>
                <c:pt idx="50">
                  <c:v>-0.26003631496902657</c:v>
                </c:pt>
                <c:pt idx="51">
                  <c:v>-0.26081736825887958</c:v>
                </c:pt>
                <c:pt idx="52">
                  <c:v>-0.23053327525190356</c:v>
                </c:pt>
                <c:pt idx="53">
                  <c:v>-0.18506548985010779</c:v>
                </c:pt>
                <c:pt idx="54">
                  <c:v>-0.18956675745486609</c:v>
                </c:pt>
                <c:pt idx="55">
                  <c:v>-0.24114815715361315</c:v>
                </c:pt>
                <c:pt idx="56">
                  <c:v>-0.3436879836851538</c:v>
                </c:pt>
                <c:pt idx="57">
                  <c:v>-0.3605858016092513</c:v>
                </c:pt>
                <c:pt idx="58">
                  <c:v>-0.2942714930503636</c:v>
                </c:pt>
                <c:pt idx="59">
                  <c:v>-0.34202300582754536</c:v>
                </c:pt>
                <c:pt idx="60">
                  <c:v>-0.35943721092722763</c:v>
                </c:pt>
                <c:pt idx="61">
                  <c:v>-0.32280688791275353</c:v>
                </c:pt>
                <c:pt idx="62">
                  <c:v>-0.38362873453803376</c:v>
                </c:pt>
                <c:pt idx="63">
                  <c:v>-0.36273177757665503</c:v>
                </c:pt>
                <c:pt idx="64">
                  <c:v>-0.37116916128813371</c:v>
                </c:pt>
                <c:pt idx="65">
                  <c:v>-0.24888548294317367</c:v>
                </c:pt>
                <c:pt idx="66">
                  <c:v>-0.31319905007140503</c:v>
                </c:pt>
                <c:pt idx="67">
                  <c:v>-0.32286803363917937</c:v>
                </c:pt>
                <c:pt idx="68">
                  <c:v>-0.24901110528284487</c:v>
                </c:pt>
                <c:pt idx="69">
                  <c:v>-0.15058619340067089</c:v>
                </c:pt>
                <c:pt idx="70">
                  <c:v>-0.12786475057654334</c:v>
                </c:pt>
                <c:pt idx="71">
                  <c:v>-0.14264899246219245</c:v>
                </c:pt>
                <c:pt idx="72">
                  <c:v>-0.21002819277456955</c:v>
                </c:pt>
                <c:pt idx="73">
                  <c:v>-0.26399022087871282</c:v>
                </c:pt>
                <c:pt idx="74">
                  <c:v>-0.26062545267038673</c:v>
                </c:pt>
                <c:pt idx="75">
                  <c:v>-0.30859733606295853</c:v>
                </c:pt>
                <c:pt idx="76">
                  <c:v>-0.3924380576024768</c:v>
                </c:pt>
                <c:pt idx="77">
                  <c:v>-0.33256403366958376</c:v>
                </c:pt>
                <c:pt idx="78">
                  <c:v>-0.38171253708217762</c:v>
                </c:pt>
                <c:pt idx="79">
                  <c:v>-0.40299842690479337</c:v>
                </c:pt>
                <c:pt idx="80">
                  <c:v>-0.45604382412727462</c:v>
                </c:pt>
                <c:pt idx="81">
                  <c:v>-0.48742964690922264</c:v>
                </c:pt>
                <c:pt idx="82">
                  <c:v>-0.51568246513288507</c:v>
                </c:pt>
                <c:pt idx="83">
                  <c:v>-0.6017722143904235</c:v>
                </c:pt>
                <c:pt idx="84">
                  <c:v>-0.55924669324734033</c:v>
                </c:pt>
                <c:pt idx="85">
                  <c:v>-0.54375111917027907</c:v>
                </c:pt>
                <c:pt idx="86">
                  <c:v>-0.50781238510320303</c:v>
                </c:pt>
                <c:pt idx="87">
                  <c:v>-0.42412395080896492</c:v>
                </c:pt>
                <c:pt idx="88">
                  <c:v>-0.3483667432386689</c:v>
                </c:pt>
                <c:pt idx="89">
                  <c:v>-0.24130483696316074</c:v>
                </c:pt>
                <c:pt idx="90">
                  <c:v>-0.23355540666395597</c:v>
                </c:pt>
                <c:pt idx="91">
                  <c:v>-0.18537551036342195</c:v>
                </c:pt>
                <c:pt idx="92">
                  <c:v>-8.5013969693232022E-2</c:v>
                </c:pt>
                <c:pt idx="93">
                  <c:v>-7.4102199081621523E-4</c:v>
                </c:pt>
                <c:pt idx="94">
                  <c:v>5.555893872378085E-2</c:v>
                </c:pt>
                <c:pt idx="95">
                  <c:v>2.8056910691386799E-2</c:v>
                </c:pt>
                <c:pt idx="96">
                  <c:v>9.2464869140746614E-3</c:v>
                </c:pt>
                <c:pt idx="97">
                  <c:v>5.7824574686305634E-2</c:v>
                </c:pt>
                <c:pt idx="98">
                  <c:v>8.1212773914338399E-2</c:v>
                </c:pt>
                <c:pt idx="99">
                  <c:v>0.18662872098108074</c:v>
                </c:pt>
                <c:pt idx="100">
                  <c:v>0.14989452635396161</c:v>
                </c:pt>
                <c:pt idx="101">
                  <c:v>2.3174663965534647E-2</c:v>
                </c:pt>
                <c:pt idx="102">
                  <c:v>1.1760496542943984E-3</c:v>
                </c:pt>
                <c:pt idx="103">
                  <c:v>-2.3979849094038261E-2</c:v>
                </c:pt>
                <c:pt idx="104">
                  <c:v>-8.9692663260806049E-2</c:v>
                </c:pt>
                <c:pt idx="105">
                  <c:v>-0.11772298475571685</c:v>
                </c:pt>
                <c:pt idx="106">
                  <c:v>-0.24623641841882549</c:v>
                </c:pt>
                <c:pt idx="107">
                  <c:v>-0.2958847581070147</c:v>
                </c:pt>
                <c:pt idx="108">
                  <c:v>-0.20111295519336267</c:v>
                </c:pt>
                <c:pt idx="109">
                  <c:v>-0.12475879964134982</c:v>
                </c:pt>
                <c:pt idx="110">
                  <c:v>-0.18356005497680727</c:v>
                </c:pt>
                <c:pt idx="111">
                  <c:v>-0.24111024466719669</c:v>
                </c:pt>
                <c:pt idx="112">
                  <c:v>-0.34007570326850578</c:v>
                </c:pt>
                <c:pt idx="113">
                  <c:v>-0.34912154278086266</c:v>
                </c:pt>
                <c:pt idx="114">
                  <c:v>-0.29163510603415654</c:v>
                </c:pt>
                <c:pt idx="115">
                  <c:v>-0.26318085618838988</c:v>
                </c:pt>
                <c:pt idx="116">
                  <c:v>-0.19341139940928909</c:v>
                </c:pt>
                <c:pt idx="117">
                  <c:v>-0.15203717959782315</c:v>
                </c:pt>
                <c:pt idx="118">
                  <c:v>-0.14634189255518151</c:v>
                </c:pt>
                <c:pt idx="119">
                  <c:v>-6.0155891269060097E-2</c:v>
                </c:pt>
                <c:pt idx="120">
                  <c:v>-1.5621902868328277E-2</c:v>
                </c:pt>
                <c:pt idx="121">
                  <c:v>-3.457056470570289E-2</c:v>
                </c:pt>
                <c:pt idx="122">
                  <c:v>-8.0967870598308955E-2</c:v>
                </c:pt>
                <c:pt idx="123">
                  <c:v>-0.12227916801416669</c:v>
                </c:pt>
                <c:pt idx="124">
                  <c:v>-0.15800666105142519</c:v>
                </c:pt>
                <c:pt idx="125">
                  <c:v>-0.12283645701928748</c:v>
                </c:pt>
                <c:pt idx="126">
                  <c:v>-8.3276534189522772E-2</c:v>
                </c:pt>
                <c:pt idx="127">
                  <c:v>-0.11675546017338378</c:v>
                </c:pt>
                <c:pt idx="128">
                  <c:v>-9.7920466599916822E-2</c:v>
                </c:pt>
                <c:pt idx="129">
                  <c:v>-0.15855577925995543</c:v>
                </c:pt>
                <c:pt idx="130">
                  <c:v>-0.19577117581259157</c:v>
                </c:pt>
                <c:pt idx="131">
                  <c:v>-0.10690113419339257</c:v>
                </c:pt>
                <c:pt idx="132">
                  <c:v>-0.18953369973205586</c:v>
                </c:pt>
                <c:pt idx="133">
                  <c:v>-0.26310495726318828</c:v>
                </c:pt>
                <c:pt idx="134">
                  <c:v>-0.21642811758687042</c:v>
                </c:pt>
                <c:pt idx="135">
                  <c:v>-0.15881372414047179</c:v>
                </c:pt>
                <c:pt idx="136">
                  <c:v>-8.6771352991893244E-2</c:v>
                </c:pt>
                <c:pt idx="137">
                  <c:v>-0.10055805049055273</c:v>
                </c:pt>
                <c:pt idx="138">
                  <c:v>5.2908759884624748E-2</c:v>
                </c:pt>
                <c:pt idx="139">
                  <c:v>9.7341063379750431E-2</c:v>
                </c:pt>
                <c:pt idx="140">
                  <c:v>0.20397397272393661</c:v>
                </c:pt>
                <c:pt idx="141">
                  <c:v>0.22508839996007612</c:v>
                </c:pt>
                <c:pt idx="142">
                  <c:v>0.35107279007102909</c:v>
                </c:pt>
                <c:pt idx="143">
                  <c:v>0.40700884450753738</c:v>
                </c:pt>
                <c:pt idx="144">
                  <c:v>0.30829932254263492</c:v>
                </c:pt>
                <c:pt idx="145">
                  <c:v>0.39168765918884557</c:v>
                </c:pt>
                <c:pt idx="146">
                  <c:v>0.51371980919083016</c:v>
                </c:pt>
                <c:pt idx="147">
                  <c:v>0.5169630128832694</c:v>
                </c:pt>
                <c:pt idx="148">
                  <c:v>0.55729650946747267</c:v>
                </c:pt>
                <c:pt idx="149">
                  <c:v>0.518748559714305</c:v>
                </c:pt>
                <c:pt idx="150">
                  <c:v>0.47858989528382456</c:v>
                </c:pt>
                <c:pt idx="151">
                  <c:v>0.49263611391828482</c:v>
                </c:pt>
                <c:pt idx="152">
                  <c:v>0.43958724761886486</c:v>
                </c:pt>
                <c:pt idx="153">
                  <c:v>0.34439108988091438</c:v>
                </c:pt>
                <c:pt idx="154">
                  <c:v>0.29560667724521389</c:v>
                </c:pt>
                <c:pt idx="155">
                  <c:v>0.24815310467161328</c:v>
                </c:pt>
                <c:pt idx="156">
                  <c:v>0.13792743559399678</c:v>
                </c:pt>
                <c:pt idx="157">
                  <c:v>0.19085929690394171</c:v>
                </c:pt>
                <c:pt idx="158">
                  <c:v>0.14832273338470214</c:v>
                </c:pt>
                <c:pt idx="159">
                  <c:v>0.10757635799510999</c:v>
                </c:pt>
                <c:pt idx="160">
                  <c:v>2.3568432838820354E-2</c:v>
                </c:pt>
                <c:pt idx="161">
                  <c:v>3.0673380888319168E-2</c:v>
                </c:pt>
                <c:pt idx="162">
                  <c:v>2.1059514695367345E-2</c:v>
                </c:pt>
                <c:pt idx="163">
                  <c:v>2.3509586425832021E-3</c:v>
                </c:pt>
                <c:pt idx="164">
                  <c:v>-3.0649759337687831E-2</c:v>
                </c:pt>
                <c:pt idx="165">
                  <c:v>-0.16252100545624254</c:v>
                </c:pt>
                <c:pt idx="166">
                  <c:v>-7.4322598297081932E-2</c:v>
                </c:pt>
                <c:pt idx="167">
                  <c:v>-6.1344482647375603E-2</c:v>
                </c:pt>
                <c:pt idx="168">
                  <c:v>-0.14998082836569157</c:v>
                </c:pt>
                <c:pt idx="169">
                  <c:v>-0.12092046188763719</c:v>
                </c:pt>
                <c:pt idx="170">
                  <c:v>-8.5590408230086776E-2</c:v>
                </c:pt>
                <c:pt idx="171">
                  <c:v>-6.9658340109680431E-2</c:v>
                </c:pt>
                <c:pt idx="172">
                  <c:v>-0.1740426140600923</c:v>
                </c:pt>
                <c:pt idx="173">
                  <c:v>-5.6639642387125412E-2</c:v>
                </c:pt>
                <c:pt idx="174">
                  <c:v>-6.4850094616030293E-2</c:v>
                </c:pt>
                <c:pt idx="175">
                  <c:v>-6.4526673568803261E-2</c:v>
                </c:pt>
                <c:pt idx="176">
                  <c:v>-3.8768886663923557E-2</c:v>
                </c:pt>
                <c:pt idx="177">
                  <c:v>-7.3974217414877919E-2</c:v>
                </c:pt>
                <c:pt idx="178">
                  <c:v>7.9294153518836119E-2</c:v>
                </c:pt>
                <c:pt idx="179">
                  <c:v>5.5702800145191737E-2</c:v>
                </c:pt>
                <c:pt idx="180">
                  <c:v>1.353755868053419E-2</c:v>
                </c:pt>
                <c:pt idx="181">
                  <c:v>0.14797213284657865</c:v>
                </c:pt>
                <c:pt idx="182">
                  <c:v>0.16718283587686253</c:v>
                </c:pt>
                <c:pt idx="183">
                  <c:v>0.21156306733540078</c:v>
                </c:pt>
                <c:pt idx="184">
                  <c:v>0.14090966532925214</c:v>
                </c:pt>
                <c:pt idx="185">
                  <c:v>0.19192893986817133</c:v>
                </c:pt>
                <c:pt idx="186">
                  <c:v>0.13032309697355512</c:v>
                </c:pt>
                <c:pt idx="187">
                  <c:v>0.21361753425819083</c:v>
                </c:pt>
                <c:pt idx="188">
                  <c:v>0.18939418009929687</c:v>
                </c:pt>
                <c:pt idx="189">
                  <c:v>2.4452318508842656E-2</c:v>
                </c:pt>
                <c:pt idx="190">
                  <c:v>7.0360072289404302E-2</c:v>
                </c:pt>
                <c:pt idx="191">
                  <c:v>2.3432156572079772E-2</c:v>
                </c:pt>
                <c:pt idx="192">
                  <c:v>-3.4122294888563942E-2</c:v>
                </c:pt>
                <c:pt idx="193">
                  <c:v>-7.6230127106547696E-2</c:v>
                </c:pt>
                <c:pt idx="194">
                  <c:v>-0.207377781607852</c:v>
                </c:pt>
                <c:pt idx="195">
                  <c:v>-0.20471705238502466</c:v>
                </c:pt>
                <c:pt idx="196">
                  <c:v>-0.35180597630553956</c:v>
                </c:pt>
                <c:pt idx="197">
                  <c:v>-0.40699045205408058</c:v>
                </c:pt>
                <c:pt idx="198">
                  <c:v>-0.44101614416616314</c:v>
                </c:pt>
                <c:pt idx="199">
                  <c:v>-0.4896627905373353</c:v>
                </c:pt>
                <c:pt idx="200">
                  <c:v>-0.54452466485989737</c:v>
                </c:pt>
                <c:pt idx="201">
                  <c:v>-0.65460797166084939</c:v>
                </c:pt>
                <c:pt idx="202">
                  <c:v>-0.57575632130695276</c:v>
                </c:pt>
                <c:pt idx="203">
                  <c:v>-0.66984521938904285</c:v>
                </c:pt>
                <c:pt idx="204">
                  <c:v>-0.75358021445170642</c:v>
                </c:pt>
                <c:pt idx="205">
                  <c:v>-0.70982492973649203</c:v>
                </c:pt>
                <c:pt idx="206">
                  <c:v>-0.77007125642695706</c:v>
                </c:pt>
                <c:pt idx="207">
                  <c:v>-0.71214228510143562</c:v>
                </c:pt>
                <c:pt idx="208">
                  <c:v>-0.73881062103267769</c:v>
                </c:pt>
                <c:pt idx="209">
                  <c:v>-0.63418096737641583</c:v>
                </c:pt>
                <c:pt idx="210">
                  <c:v>-0.58679791718870222</c:v>
                </c:pt>
                <c:pt idx="211">
                  <c:v>-0.55412171926446696</c:v>
                </c:pt>
                <c:pt idx="212">
                  <c:v>-0.49836938917099577</c:v>
                </c:pt>
                <c:pt idx="213">
                  <c:v>-0.47029909602831083</c:v>
                </c:pt>
                <c:pt idx="214">
                  <c:v>-0.42757033477922801</c:v>
                </c:pt>
                <c:pt idx="215">
                  <c:v>-0.35414725063041902</c:v>
                </c:pt>
                <c:pt idx="216">
                  <c:v>-0.31275695666678449</c:v>
                </c:pt>
                <c:pt idx="217">
                  <c:v>-0.2969359497504292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155832"/>
        <c:axId val="541158184"/>
      </c:lineChart>
      <c:dateAx>
        <c:axId val="541155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8184"/>
        <c:crosses val="autoZero"/>
        <c:auto val="1"/>
        <c:lblOffset val="100"/>
        <c:baseTimeUnit val="days"/>
      </c:dateAx>
      <c:valAx>
        <c:axId val="5411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Rsi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rsi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t!$T$3:$T$468</c:f>
              <c:numCache>
                <c:formatCode>0.00</c:formatCode>
                <c:ptCount val="466"/>
                <c:pt idx="0">
                  <c:v>75.214434114465462</c:v>
                </c:pt>
                <c:pt idx="1">
                  <c:v>62.833304914832695</c:v>
                </c:pt>
                <c:pt idx="2">
                  <c:v>50.142728007992766</c:v>
                </c:pt>
                <c:pt idx="3">
                  <c:v>50.344823468297143</c:v>
                </c:pt>
                <c:pt idx="4">
                  <c:v>50.138801450969808</c:v>
                </c:pt>
                <c:pt idx="5">
                  <c:v>50.418425177860847</c:v>
                </c:pt>
                <c:pt idx="6">
                  <c:v>37.584046408693183</c:v>
                </c:pt>
                <c:pt idx="7">
                  <c:v>37.800466323734433</c:v>
                </c:pt>
                <c:pt idx="8">
                  <c:v>37.803830137546043</c:v>
                </c:pt>
                <c:pt idx="9">
                  <c:v>50.003011794186037</c:v>
                </c:pt>
                <c:pt idx="10">
                  <c:v>50.194399598502848</c:v>
                </c:pt>
                <c:pt idx="11">
                  <c:v>62.61045834142552</c:v>
                </c:pt>
                <c:pt idx="12">
                  <c:v>62.256544727152423</c:v>
                </c:pt>
                <c:pt idx="13">
                  <c:v>62.799421550935655</c:v>
                </c:pt>
                <c:pt idx="14">
                  <c:v>63.692546836902906</c:v>
                </c:pt>
                <c:pt idx="15">
                  <c:v>63.143662473674503</c:v>
                </c:pt>
                <c:pt idx="16">
                  <c:v>62.730817237785189</c:v>
                </c:pt>
                <c:pt idx="17">
                  <c:v>50.312666571328279</c:v>
                </c:pt>
                <c:pt idx="18">
                  <c:v>63.002313707240653</c:v>
                </c:pt>
                <c:pt idx="19">
                  <c:v>62.606241677873243</c:v>
                </c:pt>
                <c:pt idx="20">
                  <c:v>50.191862366280269</c:v>
                </c:pt>
                <c:pt idx="21">
                  <c:v>62.742304450776572</c:v>
                </c:pt>
                <c:pt idx="22">
                  <c:v>62.930884109114814</c:v>
                </c:pt>
                <c:pt idx="23">
                  <c:v>62.862865554069401</c:v>
                </c:pt>
                <c:pt idx="24">
                  <c:v>62.812125617520763</c:v>
                </c:pt>
                <c:pt idx="25">
                  <c:v>75.255419885372532</c:v>
                </c:pt>
                <c:pt idx="26">
                  <c:v>62.816045380875195</c:v>
                </c:pt>
                <c:pt idx="27">
                  <c:v>50.339952149876318</c:v>
                </c:pt>
                <c:pt idx="28">
                  <c:v>62.71135000977926</c:v>
                </c:pt>
                <c:pt idx="29">
                  <c:v>50.275388077554695</c:v>
                </c:pt>
                <c:pt idx="30">
                  <c:v>62.807783552885041</c:v>
                </c:pt>
                <c:pt idx="31">
                  <c:v>62.61244734338905</c:v>
                </c:pt>
                <c:pt idx="32">
                  <c:v>62.257279056209057</c:v>
                </c:pt>
                <c:pt idx="33">
                  <c:v>50.094507487900955</c:v>
                </c:pt>
                <c:pt idx="34">
                  <c:v>62.512203285821876</c:v>
                </c:pt>
                <c:pt idx="35">
                  <c:v>75.110738656770025</c:v>
                </c:pt>
                <c:pt idx="36">
                  <c:v>74.753737686884335</c:v>
                </c:pt>
                <c:pt idx="37">
                  <c:v>87.649286971384697</c:v>
                </c:pt>
                <c:pt idx="38">
                  <c:v>87.428676741614453</c:v>
                </c:pt>
                <c:pt idx="39">
                  <c:v>87.216066689656202</c:v>
                </c:pt>
                <c:pt idx="40">
                  <c:v>75.305441302810749</c:v>
                </c:pt>
                <c:pt idx="41">
                  <c:v>88.146167557932259</c:v>
                </c:pt>
                <c:pt idx="42">
                  <c:v>75.946683295658275</c:v>
                </c:pt>
                <c:pt idx="43">
                  <c:v>63.223478356577935</c:v>
                </c:pt>
                <c:pt idx="44">
                  <c:v>50.366757798035032</c:v>
                </c:pt>
                <c:pt idx="45">
                  <c:v>37.432014419633369</c:v>
                </c:pt>
                <c:pt idx="46">
                  <c:v>37.637192371358864</c:v>
                </c:pt>
                <c:pt idx="47">
                  <c:v>25.131507063139011</c:v>
                </c:pt>
                <c:pt idx="48">
                  <c:v>37.767384329944726</c:v>
                </c:pt>
                <c:pt idx="49">
                  <c:v>25.515029875193207</c:v>
                </c:pt>
                <c:pt idx="50">
                  <c:v>25.326504285965086</c:v>
                </c:pt>
                <c:pt idx="51">
                  <c:v>25.173742830263123</c:v>
                </c:pt>
                <c:pt idx="52">
                  <c:v>37.717196604968599</c:v>
                </c:pt>
                <c:pt idx="53">
                  <c:v>37.677045269229609</c:v>
                </c:pt>
                <c:pt idx="54">
                  <c:v>37.854400361364142</c:v>
                </c:pt>
                <c:pt idx="55">
                  <c:v>37.780449320009019</c:v>
                </c:pt>
                <c:pt idx="56">
                  <c:v>25.250788406667667</c:v>
                </c:pt>
                <c:pt idx="57">
                  <c:v>25.163308216666792</c:v>
                </c:pt>
                <c:pt idx="58">
                  <c:v>37.776454829587735</c:v>
                </c:pt>
                <c:pt idx="59">
                  <c:v>50.344397601092567</c:v>
                </c:pt>
                <c:pt idx="60">
                  <c:v>50.426451082244668</c:v>
                </c:pt>
                <c:pt idx="61">
                  <c:v>50.350711040738709</c:v>
                </c:pt>
                <c:pt idx="62">
                  <c:v>37.817014920958854</c:v>
                </c:pt>
                <c:pt idx="63">
                  <c:v>37.692438077129992</c:v>
                </c:pt>
                <c:pt idx="64">
                  <c:v>37.545513272257459</c:v>
                </c:pt>
                <c:pt idx="65">
                  <c:v>37.393440465571949</c:v>
                </c:pt>
                <c:pt idx="66">
                  <c:v>24.813593451330021</c:v>
                </c:pt>
                <c:pt idx="67">
                  <c:v>12.307010791419145</c:v>
                </c:pt>
                <c:pt idx="68">
                  <c:v>12.909740002163645</c:v>
                </c:pt>
                <c:pt idx="69">
                  <c:v>12.82859845770146</c:v>
                </c:pt>
                <c:pt idx="70">
                  <c:v>12.723279336399244</c:v>
                </c:pt>
                <c:pt idx="71">
                  <c:v>25.568401992489413</c:v>
                </c:pt>
                <c:pt idx="72">
                  <c:v>38.197013672762871</c:v>
                </c:pt>
                <c:pt idx="73">
                  <c:v>50.641729819926297</c:v>
                </c:pt>
                <c:pt idx="74">
                  <c:v>62.857598491256773</c:v>
                </c:pt>
                <c:pt idx="75">
                  <c:v>75.148097082400881</c:v>
                </c:pt>
                <c:pt idx="76">
                  <c:v>75.058236157178527</c:v>
                </c:pt>
                <c:pt idx="77">
                  <c:v>87.34726026919833</c:v>
                </c:pt>
                <c:pt idx="78">
                  <c:v>87.872179291193916</c:v>
                </c:pt>
                <c:pt idx="79">
                  <c:v>75.33892333709133</c:v>
                </c:pt>
                <c:pt idx="80">
                  <c:v>75.274286642788013</c:v>
                </c:pt>
                <c:pt idx="81">
                  <c:v>62.53752478051544</c:v>
                </c:pt>
                <c:pt idx="82">
                  <c:v>49.788865664896619</c:v>
                </c:pt>
                <c:pt idx="83">
                  <c:v>50.006679181343287</c:v>
                </c:pt>
                <c:pt idx="84">
                  <c:v>37.596709431005777</c:v>
                </c:pt>
                <c:pt idx="85">
                  <c:v>25.283753258036498</c:v>
                </c:pt>
                <c:pt idx="86">
                  <c:v>25.081013251699545</c:v>
                </c:pt>
                <c:pt idx="87">
                  <c:v>37.735655316876823</c:v>
                </c:pt>
                <c:pt idx="88">
                  <c:v>25.328445268207588</c:v>
                </c:pt>
                <c:pt idx="89">
                  <c:v>37.87216450128431</c:v>
                </c:pt>
                <c:pt idx="90">
                  <c:v>37.806569466526845</c:v>
                </c:pt>
                <c:pt idx="91">
                  <c:v>25.296127716473748</c:v>
                </c:pt>
                <c:pt idx="92">
                  <c:v>25.155974023357487</c:v>
                </c:pt>
                <c:pt idx="93">
                  <c:v>25.031575148854273</c:v>
                </c:pt>
                <c:pt idx="94">
                  <c:v>24.933436285212196</c:v>
                </c:pt>
                <c:pt idx="95">
                  <c:v>12.409877493085347</c:v>
                </c:pt>
                <c:pt idx="96">
                  <c:v>25.13628743779617</c:v>
                </c:pt>
                <c:pt idx="97">
                  <c:v>25.416863920887906</c:v>
                </c:pt>
                <c:pt idx="98">
                  <c:v>37.761046347808424</c:v>
                </c:pt>
                <c:pt idx="99">
                  <c:v>50.036022582884691</c:v>
                </c:pt>
                <c:pt idx="100">
                  <c:v>50.102637084450969</c:v>
                </c:pt>
                <c:pt idx="101">
                  <c:v>50.143085930321099</c:v>
                </c:pt>
                <c:pt idx="102">
                  <c:v>62.612334454488121</c:v>
                </c:pt>
                <c:pt idx="103">
                  <c:v>63.006372626791475</c:v>
                </c:pt>
                <c:pt idx="104">
                  <c:v>62.756229368544346</c:v>
                </c:pt>
                <c:pt idx="105">
                  <c:v>62.501423928703048</c:v>
                </c:pt>
                <c:pt idx="106">
                  <c:v>50.030636223462629</c:v>
                </c:pt>
                <c:pt idx="107">
                  <c:v>49.929157445889778</c:v>
                </c:pt>
                <c:pt idx="108">
                  <c:v>50.028055136794144</c:v>
                </c:pt>
                <c:pt idx="109">
                  <c:v>50.165063483347907</c:v>
                </c:pt>
                <c:pt idx="110">
                  <c:v>50.039755621852677</c:v>
                </c:pt>
                <c:pt idx="111">
                  <c:v>49.992871061261347</c:v>
                </c:pt>
                <c:pt idx="112">
                  <c:v>50.113111445252713</c:v>
                </c:pt>
                <c:pt idx="113">
                  <c:v>37.639216268970223</c:v>
                </c:pt>
                <c:pt idx="114">
                  <c:v>50.163140367990856</c:v>
                </c:pt>
                <c:pt idx="115">
                  <c:v>50.161799234396973</c:v>
                </c:pt>
                <c:pt idx="116">
                  <c:v>62.53610065772201</c:v>
                </c:pt>
                <c:pt idx="117">
                  <c:v>62.652934590533235</c:v>
                </c:pt>
                <c:pt idx="118">
                  <c:v>49.870875564290557</c:v>
                </c:pt>
                <c:pt idx="119">
                  <c:v>49.505266942776103</c:v>
                </c:pt>
                <c:pt idx="120">
                  <c:v>49.96470068157376</c:v>
                </c:pt>
                <c:pt idx="121">
                  <c:v>49.550799269762543</c:v>
                </c:pt>
                <c:pt idx="122">
                  <c:v>49.970150803332729</c:v>
                </c:pt>
                <c:pt idx="123">
                  <c:v>37.663006066688546</c:v>
                </c:pt>
                <c:pt idx="124">
                  <c:v>38.324443369444829</c:v>
                </c:pt>
                <c:pt idx="125">
                  <c:v>50.397225725094579</c:v>
                </c:pt>
                <c:pt idx="126">
                  <c:v>62.643605764385775</c:v>
                </c:pt>
                <c:pt idx="127">
                  <c:v>62.69849775261774</c:v>
                </c:pt>
                <c:pt idx="128">
                  <c:v>62.627819287685767</c:v>
                </c:pt>
                <c:pt idx="129">
                  <c:v>75.123188635570926</c:v>
                </c:pt>
                <c:pt idx="130">
                  <c:v>62.720274502050479</c:v>
                </c:pt>
                <c:pt idx="131">
                  <c:v>75.296523517382411</c:v>
                </c:pt>
                <c:pt idx="132">
                  <c:v>62.744129663718404</c:v>
                </c:pt>
                <c:pt idx="133">
                  <c:v>62.710885139819737</c:v>
                </c:pt>
                <c:pt idx="134">
                  <c:v>50.248161291981695</c:v>
                </c:pt>
                <c:pt idx="135">
                  <c:v>50.1981387163694</c:v>
                </c:pt>
                <c:pt idx="136">
                  <c:v>50.154920161476944</c:v>
                </c:pt>
                <c:pt idx="137">
                  <c:v>37.719354590067056</c:v>
                </c:pt>
                <c:pt idx="138">
                  <c:v>37.610883029212275</c:v>
                </c:pt>
                <c:pt idx="139">
                  <c:v>25.021520803443323</c:v>
                </c:pt>
                <c:pt idx="140">
                  <c:v>24.854477162890575</c:v>
                </c:pt>
                <c:pt idx="141">
                  <c:v>25.285126803493952</c:v>
                </c:pt>
                <c:pt idx="142">
                  <c:v>37.833085097062465</c:v>
                </c:pt>
                <c:pt idx="143">
                  <c:v>37.700961622410418</c:v>
                </c:pt>
                <c:pt idx="144">
                  <c:v>38.141118920090406</c:v>
                </c:pt>
                <c:pt idx="145">
                  <c:v>50.404875764149082</c:v>
                </c:pt>
                <c:pt idx="146">
                  <c:v>50.343448021173138</c:v>
                </c:pt>
                <c:pt idx="147">
                  <c:v>62.71982253989772</c:v>
                </c:pt>
                <c:pt idx="148">
                  <c:v>75.219825130656631</c:v>
                </c:pt>
                <c:pt idx="149">
                  <c:v>62.927950945324476</c:v>
                </c:pt>
                <c:pt idx="150">
                  <c:v>50.469487973475964</c:v>
                </c:pt>
                <c:pt idx="151">
                  <c:v>62.981613404906433</c:v>
                </c:pt>
                <c:pt idx="152">
                  <c:v>50.369072543153337</c:v>
                </c:pt>
                <c:pt idx="153">
                  <c:v>37.766876779178531</c:v>
                </c:pt>
                <c:pt idx="154">
                  <c:v>50.331471325503571</c:v>
                </c:pt>
                <c:pt idx="155">
                  <c:v>50.149103146172159</c:v>
                </c:pt>
                <c:pt idx="156">
                  <c:v>50.009925272304649</c:v>
                </c:pt>
                <c:pt idx="157">
                  <c:v>50.360783858549503</c:v>
                </c:pt>
                <c:pt idx="158">
                  <c:v>50.784867086302867</c:v>
                </c:pt>
                <c:pt idx="159">
                  <c:v>38.27115953532001</c:v>
                </c:pt>
                <c:pt idx="160">
                  <c:v>50.7554523811094</c:v>
                </c:pt>
                <c:pt idx="161">
                  <c:v>51.072061370619345</c:v>
                </c:pt>
                <c:pt idx="162">
                  <c:v>38.29293726019705</c:v>
                </c:pt>
                <c:pt idx="163">
                  <c:v>25.433382363806103</c:v>
                </c:pt>
                <c:pt idx="164">
                  <c:v>25.307965042351498</c:v>
                </c:pt>
                <c:pt idx="165">
                  <c:v>25.27650481783607</c:v>
                </c:pt>
                <c:pt idx="166">
                  <c:v>25.173491444211706</c:v>
                </c:pt>
                <c:pt idx="167">
                  <c:v>37.902099761964919</c:v>
                </c:pt>
                <c:pt idx="168">
                  <c:v>37.998154430362938</c:v>
                </c:pt>
                <c:pt idx="169">
                  <c:v>50.333718137547599</c:v>
                </c:pt>
                <c:pt idx="170">
                  <c:v>50.338393757630449</c:v>
                </c:pt>
                <c:pt idx="171">
                  <c:v>62.790959703075288</c:v>
                </c:pt>
                <c:pt idx="172">
                  <c:v>62.750471084689082</c:v>
                </c:pt>
                <c:pt idx="173">
                  <c:v>62.908246750655188</c:v>
                </c:pt>
                <c:pt idx="174">
                  <c:v>75.473183489115286</c:v>
                </c:pt>
                <c:pt idx="175">
                  <c:v>75.321876887964024</c:v>
                </c:pt>
                <c:pt idx="176">
                  <c:v>75.252103668798384</c:v>
                </c:pt>
                <c:pt idx="177">
                  <c:v>62.797783560055549</c:v>
                </c:pt>
                <c:pt idx="178">
                  <c:v>75.389485569878886</c:v>
                </c:pt>
                <c:pt idx="179">
                  <c:v>62.732651963421191</c:v>
                </c:pt>
                <c:pt idx="180">
                  <c:v>49.944997451101393</c:v>
                </c:pt>
                <c:pt idx="181">
                  <c:v>49.548170723592278</c:v>
                </c:pt>
                <c:pt idx="182">
                  <c:v>49.835249904061193</c:v>
                </c:pt>
                <c:pt idx="183">
                  <c:v>50.051386107304729</c:v>
                </c:pt>
                <c:pt idx="184">
                  <c:v>50.27414869615405</c:v>
                </c:pt>
                <c:pt idx="185">
                  <c:v>62.494118569636136</c:v>
                </c:pt>
                <c:pt idx="186">
                  <c:v>62.418722211672566</c:v>
                </c:pt>
                <c:pt idx="187">
                  <c:v>62.747834329497877</c:v>
                </c:pt>
                <c:pt idx="188">
                  <c:v>75.213612891678878</c:v>
                </c:pt>
                <c:pt idx="189">
                  <c:v>87.924756060758469</c:v>
                </c:pt>
                <c:pt idx="190">
                  <c:v>75.905513951370665</c:v>
                </c:pt>
                <c:pt idx="191">
                  <c:v>75.745303799373389</c:v>
                </c:pt>
                <c:pt idx="192">
                  <c:v>75.563091004328285</c:v>
                </c:pt>
                <c:pt idx="193">
                  <c:v>75.362379264818287</c:v>
                </c:pt>
                <c:pt idx="194">
                  <c:v>63.185981512380224</c:v>
                </c:pt>
                <c:pt idx="195">
                  <c:v>75.797855443629516</c:v>
                </c:pt>
                <c:pt idx="196">
                  <c:v>75.680257632504819</c:v>
                </c:pt>
                <c:pt idx="197">
                  <c:v>63.620450680879642</c:v>
                </c:pt>
                <c:pt idx="198">
                  <c:v>63.963193885760255</c:v>
                </c:pt>
                <c:pt idx="199">
                  <c:v>63.61216481834731</c:v>
                </c:pt>
                <c:pt idx="200">
                  <c:v>63.236188563933084</c:v>
                </c:pt>
                <c:pt idx="201">
                  <c:v>50.724594752704732</c:v>
                </c:pt>
                <c:pt idx="202">
                  <c:v>63.291214025655599</c:v>
                </c:pt>
                <c:pt idx="203">
                  <c:v>50.470407686661765</c:v>
                </c:pt>
                <c:pt idx="204">
                  <c:v>37.151202900465307</c:v>
                </c:pt>
                <c:pt idx="205">
                  <c:v>36.307559890976897</c:v>
                </c:pt>
                <c:pt idx="206">
                  <c:v>35.468049327354251</c:v>
                </c:pt>
                <c:pt idx="207">
                  <c:v>36.944153470125492</c:v>
                </c:pt>
                <c:pt idx="208">
                  <c:v>25.012556167924515</c:v>
                </c:pt>
                <c:pt idx="209">
                  <c:v>24.377206779749514</c:v>
                </c:pt>
                <c:pt idx="210">
                  <c:v>12.77065057552862</c:v>
                </c:pt>
                <c:pt idx="211">
                  <c:v>26.126612072770072</c:v>
                </c:pt>
                <c:pt idx="212">
                  <c:v>25.556255058908178</c:v>
                </c:pt>
                <c:pt idx="213">
                  <c:v>25.045685577459821</c:v>
                </c:pt>
                <c:pt idx="214">
                  <c:v>38.056955282328886</c:v>
                </c:pt>
                <c:pt idx="215">
                  <c:v>39.123421643923997</c:v>
                </c:pt>
                <c:pt idx="216">
                  <c:v>38.433439527629972</c:v>
                </c:pt>
                <c:pt idx="217">
                  <c:v>50.555558591892606</c:v>
                </c:pt>
                <c:pt idx="218">
                  <c:v>50.144468718321235</c:v>
                </c:pt>
                <c:pt idx="219">
                  <c:v>37.780283574681143</c:v>
                </c:pt>
                <c:pt idx="220">
                  <c:v>50.260602197307733</c:v>
                </c:pt>
                <c:pt idx="221">
                  <c:v>62.726022485859389</c:v>
                </c:pt>
                <c:pt idx="222">
                  <c:v>50.425690974705951</c:v>
                </c:pt>
                <c:pt idx="223">
                  <c:v>38.010492636840567</c:v>
                </c:pt>
                <c:pt idx="224">
                  <c:v>37.99248419851191</c:v>
                </c:pt>
                <c:pt idx="225">
                  <c:v>37.952732150649439</c:v>
                </c:pt>
                <c:pt idx="226">
                  <c:v>50.42470459435993</c:v>
                </c:pt>
                <c:pt idx="227">
                  <c:v>62.90198666897507</c:v>
                </c:pt>
                <c:pt idx="228">
                  <c:v>50.33233713847109</c:v>
                </c:pt>
                <c:pt idx="229">
                  <c:v>37.648123317090189</c:v>
                </c:pt>
                <c:pt idx="230">
                  <c:v>37.509096240944487</c:v>
                </c:pt>
                <c:pt idx="231">
                  <c:v>50.110701506514879</c:v>
                </c:pt>
                <c:pt idx="232">
                  <c:v>50.122097147095928</c:v>
                </c:pt>
                <c:pt idx="233">
                  <c:v>37.420908286004284</c:v>
                </c:pt>
                <c:pt idx="234">
                  <c:v>24.858684204870301</c:v>
                </c:pt>
                <c:pt idx="235">
                  <c:v>12.489769018995077</c:v>
                </c:pt>
                <c:pt idx="236">
                  <c:v>12.317659330233823</c:v>
                </c:pt>
                <c:pt idx="237">
                  <c:v>12.177427712716337</c:v>
                </c:pt>
                <c:pt idx="238">
                  <c:v>25.107132434632575</c:v>
                </c:pt>
                <c:pt idx="239">
                  <c:v>25.838424294658921</c:v>
                </c:pt>
                <c:pt idx="240">
                  <c:v>38.185157492761405</c:v>
                </c:pt>
                <c:pt idx="241">
                  <c:v>37.955647333453044</c:v>
                </c:pt>
                <c:pt idx="242">
                  <c:v>37.726073850791266</c:v>
                </c:pt>
                <c:pt idx="243">
                  <c:v>37.655133508837913</c:v>
                </c:pt>
                <c:pt idx="244">
                  <c:v>37.635020178839916</c:v>
                </c:pt>
                <c:pt idx="245">
                  <c:v>37.592443471774168</c:v>
                </c:pt>
                <c:pt idx="246">
                  <c:v>24.961365083910593</c:v>
                </c:pt>
                <c:pt idx="247">
                  <c:v>25.136568954391635</c:v>
                </c:pt>
                <c:pt idx="248">
                  <c:v>12.725959483296563</c:v>
                </c:pt>
                <c:pt idx="249">
                  <c:v>25.270770496298326</c:v>
                </c:pt>
                <c:pt idx="250">
                  <c:v>37.664554114586387</c:v>
                </c:pt>
                <c:pt idx="251">
                  <c:v>37.63970541521892</c:v>
                </c:pt>
                <c:pt idx="252">
                  <c:v>37.624995725598055</c:v>
                </c:pt>
                <c:pt idx="253">
                  <c:v>37.63952147311219</c:v>
                </c:pt>
                <c:pt idx="254">
                  <c:v>50.151327723532326</c:v>
                </c:pt>
                <c:pt idx="255">
                  <c:v>49.965400980550932</c:v>
                </c:pt>
                <c:pt idx="256">
                  <c:v>50.091020014563199</c:v>
                </c:pt>
                <c:pt idx="257">
                  <c:v>49.966460497371095</c:v>
                </c:pt>
                <c:pt idx="258">
                  <c:v>49.884395348147855</c:v>
                </c:pt>
                <c:pt idx="259">
                  <c:v>49.976984641579101</c:v>
                </c:pt>
                <c:pt idx="260">
                  <c:v>62.510416666666664</c:v>
                </c:pt>
                <c:pt idx="261">
                  <c:v>75.064481113755647</c:v>
                </c:pt>
                <c:pt idx="262">
                  <c:v>62.610639383119803</c:v>
                </c:pt>
                <c:pt idx="263">
                  <c:v>62.5600889316188</c:v>
                </c:pt>
                <c:pt idx="264">
                  <c:v>75.100071228643955</c:v>
                </c:pt>
                <c:pt idx="265">
                  <c:v>62.635759523917329</c:v>
                </c:pt>
                <c:pt idx="266">
                  <c:v>62.600954663551583</c:v>
                </c:pt>
                <c:pt idx="267">
                  <c:v>62.650480984847341</c:v>
                </c:pt>
                <c:pt idx="268">
                  <c:v>49.93863302549245</c:v>
                </c:pt>
                <c:pt idx="269">
                  <c:v>50.194170870365923</c:v>
                </c:pt>
                <c:pt idx="270">
                  <c:v>62.682637358253466</c:v>
                </c:pt>
                <c:pt idx="271">
                  <c:v>50.15095522076269</c:v>
                </c:pt>
                <c:pt idx="272">
                  <c:v>37.708632915158425</c:v>
                </c:pt>
                <c:pt idx="273">
                  <c:v>50.143171697423888</c:v>
                </c:pt>
                <c:pt idx="274">
                  <c:v>37.796509908311144</c:v>
                </c:pt>
                <c:pt idx="275">
                  <c:v>50.175919646981356</c:v>
                </c:pt>
                <c:pt idx="276">
                  <c:v>50.325534630871822</c:v>
                </c:pt>
                <c:pt idx="277">
                  <c:v>50.091114368339746</c:v>
                </c:pt>
                <c:pt idx="278">
                  <c:v>37.659761681058256</c:v>
                </c:pt>
                <c:pt idx="279">
                  <c:v>37.770166175568747</c:v>
                </c:pt>
                <c:pt idx="280">
                  <c:v>37.877053073673153</c:v>
                </c:pt>
                <c:pt idx="281">
                  <c:v>25.160143239926882</c:v>
                </c:pt>
                <c:pt idx="282">
                  <c:v>25.094035196387452</c:v>
                </c:pt>
                <c:pt idx="283">
                  <c:v>12.351341660192432</c:v>
                </c:pt>
                <c:pt idx="284">
                  <c:v>12.241603980335256</c:v>
                </c:pt>
                <c:pt idx="285">
                  <c:v>13.215274150798805</c:v>
                </c:pt>
                <c:pt idx="286">
                  <c:v>25.982836599791256</c:v>
                </c:pt>
                <c:pt idx="287">
                  <c:v>25.795990424608192</c:v>
                </c:pt>
                <c:pt idx="288">
                  <c:v>38.167869864187892</c:v>
                </c:pt>
                <c:pt idx="289">
                  <c:v>38.019410291438973</c:v>
                </c:pt>
                <c:pt idx="290">
                  <c:v>50.324495505346725</c:v>
                </c:pt>
                <c:pt idx="291">
                  <c:v>62.521553669230144</c:v>
                </c:pt>
                <c:pt idx="292">
                  <c:v>63.169691065026562</c:v>
                </c:pt>
                <c:pt idx="293">
                  <c:v>62.739976111634412</c:v>
                </c:pt>
                <c:pt idx="294">
                  <c:v>62.318442063499859</c:v>
                </c:pt>
                <c:pt idx="295">
                  <c:v>74.90222615860759</c:v>
                </c:pt>
                <c:pt idx="296">
                  <c:v>74.542095886055179</c:v>
                </c:pt>
                <c:pt idx="297">
                  <c:v>87.465702489935126</c:v>
                </c:pt>
                <c:pt idx="298">
                  <c:v>75.347684279191128</c:v>
                </c:pt>
                <c:pt idx="299">
                  <c:v>75.020490177934064</c:v>
                </c:pt>
                <c:pt idx="300">
                  <c:v>87.83643202005922</c:v>
                </c:pt>
                <c:pt idx="301">
                  <c:v>75.508971053114237</c:v>
                </c:pt>
                <c:pt idx="302">
                  <c:v>62.958927987798234</c:v>
                </c:pt>
                <c:pt idx="303">
                  <c:v>62.779903337219544</c:v>
                </c:pt>
                <c:pt idx="304">
                  <c:v>62.557334082186649</c:v>
                </c:pt>
                <c:pt idx="305">
                  <c:v>50.12122048874776</c:v>
                </c:pt>
                <c:pt idx="306">
                  <c:v>50.254436723054347</c:v>
                </c:pt>
                <c:pt idx="307">
                  <c:v>50.209221253553999</c:v>
                </c:pt>
                <c:pt idx="308">
                  <c:v>37.715693416450257</c:v>
                </c:pt>
                <c:pt idx="309">
                  <c:v>37.776614291204602</c:v>
                </c:pt>
                <c:pt idx="310">
                  <c:v>37.827180599786942</c:v>
                </c:pt>
                <c:pt idx="311">
                  <c:v>37.796650837848539</c:v>
                </c:pt>
                <c:pt idx="312">
                  <c:v>25.249652911362759</c:v>
                </c:pt>
                <c:pt idx="313">
                  <c:v>25.167841184447454</c:v>
                </c:pt>
                <c:pt idx="314">
                  <c:v>37.875327002527527</c:v>
                </c:pt>
                <c:pt idx="315">
                  <c:v>37.946369381712117</c:v>
                </c:pt>
                <c:pt idx="316">
                  <c:v>37.820173989648723</c:v>
                </c:pt>
                <c:pt idx="317">
                  <c:v>37.669595165235322</c:v>
                </c:pt>
                <c:pt idx="318">
                  <c:v>37.529435547760713</c:v>
                </c:pt>
                <c:pt idx="319">
                  <c:v>25.099492994602841</c:v>
                </c:pt>
                <c:pt idx="320">
                  <c:v>24.996470958704776</c:v>
                </c:pt>
                <c:pt idx="321">
                  <c:v>24.934603532221644</c:v>
                </c:pt>
                <c:pt idx="322">
                  <c:v>25.052721511458145</c:v>
                </c:pt>
                <c:pt idx="323">
                  <c:v>12.67285705807133</c:v>
                </c:pt>
                <c:pt idx="324">
                  <c:v>12.637537057661987</c:v>
                </c:pt>
                <c:pt idx="325">
                  <c:v>25.221381420061192</c:v>
                </c:pt>
                <c:pt idx="326">
                  <c:v>25.186372186999236</c:v>
                </c:pt>
                <c:pt idx="327">
                  <c:v>37.68540599501663</c:v>
                </c:pt>
                <c:pt idx="328">
                  <c:v>37.664662658650627</c:v>
                </c:pt>
                <c:pt idx="329">
                  <c:v>50.216399391626858</c:v>
                </c:pt>
                <c:pt idx="330">
                  <c:v>50.185295939509153</c:v>
                </c:pt>
                <c:pt idx="331">
                  <c:v>50.224989311671656</c:v>
                </c:pt>
                <c:pt idx="332">
                  <c:v>62.686232298249458</c:v>
                </c:pt>
                <c:pt idx="333">
                  <c:v>50.207322358178125</c:v>
                </c:pt>
                <c:pt idx="334">
                  <c:v>62.677408828045166</c:v>
                </c:pt>
                <c:pt idx="335">
                  <c:v>62.549787965000803</c:v>
                </c:pt>
                <c:pt idx="336">
                  <c:v>62.802291676772249</c:v>
                </c:pt>
                <c:pt idx="337">
                  <c:v>50.270273195067446</c:v>
                </c:pt>
                <c:pt idx="338">
                  <c:v>37.713489209608575</c:v>
                </c:pt>
                <c:pt idx="339">
                  <c:v>50.2713016516606</c:v>
                </c:pt>
                <c:pt idx="340">
                  <c:v>37.654964284938877</c:v>
                </c:pt>
                <c:pt idx="341">
                  <c:v>50.239174697977475</c:v>
                </c:pt>
                <c:pt idx="342">
                  <c:v>50.065655052169888</c:v>
                </c:pt>
                <c:pt idx="343">
                  <c:v>37.69423121021196</c:v>
                </c:pt>
                <c:pt idx="344">
                  <c:v>50.091989539943114</c:v>
                </c:pt>
                <c:pt idx="345">
                  <c:v>50.141262234074532</c:v>
                </c:pt>
                <c:pt idx="346">
                  <c:v>50.12701794640661</c:v>
                </c:pt>
                <c:pt idx="347">
                  <c:v>50.077380333911179</c:v>
                </c:pt>
                <c:pt idx="348">
                  <c:v>50.111909465516021</c:v>
                </c:pt>
                <c:pt idx="349">
                  <c:v>50.102898677642528</c:v>
                </c:pt>
                <c:pt idx="350">
                  <c:v>50.126647373229524</c:v>
                </c:pt>
                <c:pt idx="351">
                  <c:v>62.462021027782022</c:v>
                </c:pt>
                <c:pt idx="352">
                  <c:v>50.146187623876216</c:v>
                </c:pt>
                <c:pt idx="353">
                  <c:v>50.123958122403856</c:v>
                </c:pt>
                <c:pt idx="354">
                  <c:v>50.003275752877201</c:v>
                </c:pt>
                <c:pt idx="355">
                  <c:v>37.297503127889897</c:v>
                </c:pt>
                <c:pt idx="356">
                  <c:v>50.001083752384261</c:v>
                </c:pt>
                <c:pt idx="357">
                  <c:v>50.150192332627391</c:v>
                </c:pt>
                <c:pt idx="358">
                  <c:v>50.326241440199837</c:v>
                </c:pt>
                <c:pt idx="359">
                  <c:v>50.117853126892136</c:v>
                </c:pt>
                <c:pt idx="360">
                  <c:v>50.434404156352855</c:v>
                </c:pt>
                <c:pt idx="361">
                  <c:v>62.619348555232733</c:v>
                </c:pt>
                <c:pt idx="362">
                  <c:v>75.205333421708175</c:v>
                </c:pt>
                <c:pt idx="363">
                  <c:v>76.083640204071372</c:v>
                </c:pt>
                <c:pt idx="364">
                  <c:v>63.501753474477205</c:v>
                </c:pt>
                <c:pt idx="365">
                  <c:v>50.605678844849315</c:v>
                </c:pt>
                <c:pt idx="366">
                  <c:v>37.173281153121991</c:v>
                </c:pt>
                <c:pt idx="367">
                  <c:v>24.42014039150007</c:v>
                </c:pt>
                <c:pt idx="368">
                  <c:v>23.968866014640241</c:v>
                </c:pt>
                <c:pt idx="369">
                  <c:v>11.783221716903114</c:v>
                </c:pt>
                <c:pt idx="370">
                  <c:v>13.339482116105359</c:v>
                </c:pt>
                <c:pt idx="371">
                  <c:v>26.199551804301848</c:v>
                </c:pt>
                <c:pt idx="372">
                  <c:v>25.79158698823251</c:v>
                </c:pt>
                <c:pt idx="373">
                  <c:v>25.389818296216248</c:v>
                </c:pt>
                <c:pt idx="374">
                  <c:v>38.012101824327388</c:v>
                </c:pt>
                <c:pt idx="375">
                  <c:v>50.380858544685239</c:v>
                </c:pt>
                <c:pt idx="376">
                  <c:v>62.680822561457177</c:v>
                </c:pt>
                <c:pt idx="377">
                  <c:v>75.016008965020404</c:v>
                </c:pt>
                <c:pt idx="378">
                  <c:v>74.796871057279844</c:v>
                </c:pt>
                <c:pt idx="379">
                  <c:v>62.727795797202546</c:v>
                </c:pt>
                <c:pt idx="380">
                  <c:v>75.186808449489874</c:v>
                </c:pt>
                <c:pt idx="381">
                  <c:v>75.919304355035962</c:v>
                </c:pt>
                <c:pt idx="382">
                  <c:v>75.62921200996459</c:v>
                </c:pt>
                <c:pt idx="383">
                  <c:v>63.179849700675078</c:v>
                </c:pt>
                <c:pt idx="384">
                  <c:v>62.901647496671316</c:v>
                </c:pt>
                <c:pt idx="385">
                  <c:v>62.641149768183212</c:v>
                </c:pt>
                <c:pt idx="386">
                  <c:v>62.627062492929753</c:v>
                </c:pt>
                <c:pt idx="387">
                  <c:v>62.721328456284596</c:v>
                </c:pt>
                <c:pt idx="388">
                  <c:v>50.18871592179223</c:v>
                </c:pt>
                <c:pt idx="389">
                  <c:v>50.125111899651628</c:v>
                </c:pt>
                <c:pt idx="390">
                  <c:v>50.191725638457143</c:v>
                </c:pt>
                <c:pt idx="391">
                  <c:v>62.590129205357485</c:v>
                </c:pt>
                <c:pt idx="392">
                  <c:v>50.142371932544229</c:v>
                </c:pt>
                <c:pt idx="393">
                  <c:v>50.115252046531673</c:v>
                </c:pt>
                <c:pt idx="394">
                  <c:v>37.656630793452237</c:v>
                </c:pt>
                <c:pt idx="395">
                  <c:v>37.649525883678436</c:v>
                </c:pt>
                <c:pt idx="396">
                  <c:v>50.236951528485292</c:v>
                </c:pt>
                <c:pt idx="397">
                  <c:v>62.457261821285108</c:v>
                </c:pt>
                <c:pt idx="398">
                  <c:v>62.007888092500806</c:v>
                </c:pt>
                <c:pt idx="399">
                  <c:v>61.478998533160066</c:v>
                </c:pt>
                <c:pt idx="400">
                  <c:v>62.432034435885825</c:v>
                </c:pt>
                <c:pt idx="401">
                  <c:v>61.886976757548766</c:v>
                </c:pt>
                <c:pt idx="402">
                  <c:v>62.807608873131024</c:v>
                </c:pt>
                <c:pt idx="403">
                  <c:v>75.930299845294471</c:v>
                </c:pt>
                <c:pt idx="404">
                  <c:v>75.534322051700642</c:v>
                </c:pt>
                <c:pt idx="405">
                  <c:v>75.426656137156911</c:v>
                </c:pt>
                <c:pt idx="406">
                  <c:v>75.243086976854357</c:v>
                </c:pt>
                <c:pt idx="407">
                  <c:v>62.978245476963643</c:v>
                </c:pt>
                <c:pt idx="408">
                  <c:v>75.370760448148488</c:v>
                </c:pt>
                <c:pt idx="409">
                  <c:v>75.210476506520166</c:v>
                </c:pt>
                <c:pt idx="410">
                  <c:v>87.665200969964587</c:v>
                </c:pt>
                <c:pt idx="411">
                  <c:v>76.899212930159521</c:v>
                </c:pt>
                <c:pt idx="412">
                  <c:v>76.223982970671713</c:v>
                </c:pt>
                <c:pt idx="413">
                  <c:v>64.444294075853435</c:v>
                </c:pt>
                <c:pt idx="414">
                  <c:v>52.148120394654669</c:v>
                </c:pt>
                <c:pt idx="415">
                  <c:v>53.386796607520843</c:v>
                </c:pt>
                <c:pt idx="416">
                  <c:v>52.149945677139918</c:v>
                </c:pt>
                <c:pt idx="417">
                  <c:v>51.083464402585101</c:v>
                </c:pt>
                <c:pt idx="418">
                  <c:v>50.127298014150981</c:v>
                </c:pt>
                <c:pt idx="419">
                  <c:v>62.541579962634998</c:v>
                </c:pt>
                <c:pt idx="420">
                  <c:v>62.467183611971421</c:v>
                </c:pt>
                <c:pt idx="421">
                  <c:v>62.670341331582527</c:v>
                </c:pt>
                <c:pt idx="422">
                  <c:v>62.844981358566258</c:v>
                </c:pt>
                <c:pt idx="423">
                  <c:v>62.991098833640272</c:v>
                </c:pt>
                <c:pt idx="424">
                  <c:v>62.911126662001401</c:v>
                </c:pt>
                <c:pt idx="425">
                  <c:v>62.821352861823087</c:v>
                </c:pt>
                <c:pt idx="426">
                  <c:v>50.26677682632095</c:v>
                </c:pt>
                <c:pt idx="427">
                  <c:v>50.269464776552709</c:v>
                </c:pt>
                <c:pt idx="428">
                  <c:v>50.317031780314728</c:v>
                </c:pt>
                <c:pt idx="429">
                  <c:v>50.355097188556606</c:v>
                </c:pt>
                <c:pt idx="430">
                  <c:v>62.708563567934348</c:v>
                </c:pt>
                <c:pt idx="431">
                  <c:v>62.921548709279698</c:v>
                </c:pt>
                <c:pt idx="432">
                  <c:v>62.903713818009727</c:v>
                </c:pt>
                <c:pt idx="433">
                  <c:v>62.907454813435734</c:v>
                </c:pt>
                <c:pt idx="434">
                  <c:v>75.433487859233892</c:v>
                </c:pt>
                <c:pt idx="435">
                  <c:v>62.962703035690609</c:v>
                </c:pt>
                <c:pt idx="436">
                  <c:v>62.865698247150249</c:v>
                </c:pt>
                <c:pt idx="437">
                  <c:v>75.218357699652501</c:v>
                </c:pt>
                <c:pt idx="438">
                  <c:v>75.138190954773876</c:v>
                </c:pt>
                <c:pt idx="439">
                  <c:v>87.512695950680666</c:v>
                </c:pt>
                <c:pt idx="440">
                  <c:v>75.476997501631104</c:v>
                </c:pt>
                <c:pt idx="441">
                  <c:v>75.226267984888679</c:v>
                </c:pt>
                <c:pt idx="442">
                  <c:v>62.881865881646917</c:v>
                </c:pt>
                <c:pt idx="443">
                  <c:v>63.265639151116588</c:v>
                </c:pt>
                <c:pt idx="444">
                  <c:v>50.573826301671033</c:v>
                </c:pt>
                <c:pt idx="445">
                  <c:v>37.841243175136498</c:v>
                </c:pt>
                <c:pt idx="446">
                  <c:v>25.06997958242772</c:v>
                </c:pt>
                <c:pt idx="447">
                  <c:v>25.166091103436926</c:v>
                </c:pt>
                <c:pt idx="448">
                  <c:v>25.044800301123487</c:v>
                </c:pt>
                <c:pt idx="449">
                  <c:v>25.402500101795667</c:v>
                </c:pt>
                <c:pt idx="450">
                  <c:v>37.833125172341077</c:v>
                </c:pt>
                <c:pt idx="451">
                  <c:v>37.785319703866911</c:v>
                </c:pt>
                <c:pt idx="452">
                  <c:v>50.16146132616808</c:v>
                </c:pt>
                <c:pt idx="453">
                  <c:v>62.467002445462938</c:v>
                </c:pt>
                <c:pt idx="454">
                  <c:v>62.656248730923245</c:v>
                </c:pt>
                <c:pt idx="455">
                  <c:v>50.149141823279166</c:v>
                </c:pt>
                <c:pt idx="456">
                  <c:v>62.7826909897856</c:v>
                </c:pt>
                <c:pt idx="457">
                  <c:v>50.176603329299802</c:v>
                </c:pt>
                <c:pt idx="458">
                  <c:v>37.544565466261076</c:v>
                </c:pt>
                <c:pt idx="459">
                  <c:v>37.421247809609191</c:v>
                </c:pt>
                <c:pt idx="460">
                  <c:v>37.710118120456904</c:v>
                </c:pt>
                <c:pt idx="461">
                  <c:v>37.949733311782765</c:v>
                </c:pt>
                <c:pt idx="462">
                  <c:v>50.35208998034097</c:v>
                </c:pt>
                <c:pt idx="463">
                  <c:v>50.242792597237624</c:v>
                </c:pt>
                <c:pt idx="464">
                  <c:v>50.260387366390738</c:v>
                </c:pt>
                <c:pt idx="465">
                  <c:v>50.248272537361395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152696"/>
        <c:axId val="541152304"/>
      </c:lineChart>
      <c:catAx>
        <c:axId val="541152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2304"/>
        <c:crosses val="autoZero"/>
        <c:auto val="1"/>
        <c:lblAlgn val="ctr"/>
        <c:lblOffset val="100"/>
        <c:noMultiLvlLbl val="0"/>
      </c:catAx>
      <c:valAx>
        <c:axId val="54115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3670166229222"/>
          <c:y val="0.19721055701370663"/>
          <c:w val="0.85341885389326333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[1]Лист1!$B$3:$M$3</c:f>
              <c:numCache>
                <c:formatCode>General</c:formatCode>
                <c:ptCount val="12"/>
                <c:pt idx="0">
                  <c:v>0.53334481176890547</c:v>
                </c:pt>
                <c:pt idx="1">
                  <c:v>9.9436308071111701E-2</c:v>
                </c:pt>
                <c:pt idx="2">
                  <c:v>-0.2531021550049708</c:v>
                </c:pt>
                <c:pt idx="3">
                  <c:v>-0.20440404920957675</c:v>
                </c:pt>
                <c:pt idx="4">
                  <c:v>-5.4871777013430829E-2</c:v>
                </c:pt>
                <c:pt idx="5">
                  <c:v>0.1563436076063425</c:v>
                </c:pt>
                <c:pt idx="6">
                  <c:v>1.7881873725599171E-2</c:v>
                </c:pt>
                <c:pt idx="7">
                  <c:v>0.36926502380512022</c:v>
                </c:pt>
                <c:pt idx="8">
                  <c:v>1.294411046206192</c:v>
                </c:pt>
                <c:pt idx="9">
                  <c:v>5.2035563956431302E-2</c:v>
                </c:pt>
                <c:pt idx="10">
                  <c:v>0.26555951211739987</c:v>
                </c:pt>
                <c:pt idx="11">
                  <c:v>0.51469803583552987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4-4EAF-9304-AF358915F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53872"/>
        <c:axId val="541158968"/>
      </c:lineChart>
      <c:catAx>
        <c:axId val="54115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8968"/>
        <c:crosses val="autoZero"/>
        <c:auto val="1"/>
        <c:lblAlgn val="ctr"/>
        <c:lblOffset val="100"/>
        <c:noMultiLvlLbl val="0"/>
      </c:catAx>
      <c:valAx>
        <c:axId val="5411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'$-Ru'!$V$3:$V$10</c:f>
              <c:numCache>
                <c:formatCode>General</c:formatCode>
                <c:ptCount val="8"/>
                <c:pt idx="0">
                  <c:v>77.34</c:v>
                </c:pt>
                <c:pt idx="1">
                  <c:v>78.02</c:v>
                </c:pt>
                <c:pt idx="2">
                  <c:v>77.709999999999994</c:v>
                </c:pt>
                <c:pt idx="3">
                  <c:v>78.45</c:v>
                </c:pt>
                <c:pt idx="4">
                  <c:v>79.150000000000006</c:v>
                </c:pt>
                <c:pt idx="5">
                  <c:v>79.91</c:v>
                </c:pt>
                <c:pt idx="6">
                  <c:v>79.63</c:v>
                </c:pt>
                <c:pt idx="7">
                  <c:v>79.989999999999995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153480"/>
        <c:axId val="541154264"/>
      </c:lineChart>
      <c:catAx>
        <c:axId val="541153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4264"/>
        <c:crosses val="autoZero"/>
        <c:auto val="1"/>
        <c:lblAlgn val="ctr"/>
        <c:lblOffset val="100"/>
        <c:noMultiLvlLbl val="0"/>
      </c:catAx>
      <c:valAx>
        <c:axId val="54115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5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40819</xdr:colOff>
      <xdr:row>0</xdr:row>
      <xdr:rowOff>24778</xdr:rowOff>
    </xdr:from>
    <xdr:to>
      <xdr:col>12</xdr:col>
      <xdr:colOff>549087</xdr:colOff>
      <xdr:row>21</xdr:row>
      <xdr:rowOff>33617</xdr:rowOff>
    </xdr:to>
    <xdr:graphicFrame macro="">
      <xdr:nvGraphicFramePr>
        <xdr:cNvPr id="5" name="Диаграмма 5">
          <a:extLst>
            <a:ext uri="{FF2B5EF4-FFF2-40B4-BE49-F238E27FC236}">
              <a16:creationId xmlns:a16="http://schemas.microsoft.com/office/drawing/2014/main" xmlns="" id="{D5673B51-C0E5-476C-AE04-6FC7C0702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44823</xdr:colOff>
      <xdr:row>21</xdr:row>
      <xdr:rowOff>80122</xdr:rowOff>
    </xdr:from>
    <xdr:to>
      <xdr:col>12</xdr:col>
      <xdr:colOff>553091</xdr:colOff>
      <xdr:row>42</xdr:row>
      <xdr:rowOff>178608</xdr:rowOff>
    </xdr:to>
    <xdr:graphicFrame macro="">
      <xdr:nvGraphicFramePr>
        <xdr:cNvPr id="7" name="Диаграмма 5">
          <a:extLst>
            <a:ext uri="{FF2B5EF4-FFF2-40B4-BE49-F238E27FC236}">
              <a16:creationId xmlns:a16="http://schemas.microsoft.com/office/drawing/2014/main" xmlns="" id="{D5673B51-C0E5-476C-AE04-6FC7C0702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43</xdr:row>
      <xdr:rowOff>33618</xdr:rowOff>
    </xdr:from>
    <xdr:to>
      <xdr:col>12</xdr:col>
      <xdr:colOff>541886</xdr:colOff>
      <xdr:row>64</xdr:row>
      <xdr:rowOff>129181</xdr:rowOff>
    </xdr:to>
    <xdr:graphicFrame macro="">
      <xdr:nvGraphicFramePr>
        <xdr:cNvPr id="4" name="Диаграмма 5">
          <a:extLst>
            <a:ext uri="{FF2B5EF4-FFF2-40B4-BE49-F238E27FC236}">
              <a16:creationId xmlns:a16="http://schemas.microsoft.com/office/drawing/2014/main" xmlns="" id="{D5673B51-C0E5-476C-AE04-6FC7C0702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12</xdr:col>
      <xdr:colOff>508268</xdr:colOff>
      <xdr:row>86</xdr:row>
      <xdr:rowOff>109169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D5673B51-C0E5-476C-AE04-6FC7C0702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87</xdr:row>
      <xdr:rowOff>0</xdr:rowOff>
    </xdr:from>
    <xdr:to>
      <xdr:col>12</xdr:col>
      <xdr:colOff>536843</xdr:colOff>
      <xdr:row>108</xdr:row>
      <xdr:rowOff>109169</xdr:rowOff>
    </xdr:to>
    <xdr:graphicFrame macro="">
      <xdr:nvGraphicFramePr>
        <xdr:cNvPr id="8" name="Диаграмма 5">
          <a:extLst>
            <a:ext uri="{FF2B5EF4-FFF2-40B4-BE49-F238E27FC236}">
              <a16:creationId xmlns:a16="http://schemas.microsoft.com/office/drawing/2014/main" xmlns="" id="{D5673B51-C0E5-476C-AE04-6FC7C0702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493059</xdr:colOff>
      <xdr:row>32</xdr:row>
      <xdr:rowOff>67235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27214</xdr:colOff>
      <xdr:row>3</xdr:row>
      <xdr:rowOff>76038</xdr:rowOff>
    </xdr:from>
    <xdr:to>
      <xdr:col>40</xdr:col>
      <xdr:colOff>31217</xdr:colOff>
      <xdr:row>19</xdr:row>
      <xdr:rowOff>184897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30254</xdr:colOff>
      <xdr:row>20</xdr:row>
      <xdr:rowOff>20520</xdr:rowOff>
    </xdr:from>
    <xdr:to>
      <xdr:col>39</xdr:col>
      <xdr:colOff>336177</xdr:colOff>
      <xdr:row>35</xdr:row>
      <xdr:rowOff>62434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352425</xdr:colOff>
      <xdr:row>659</xdr:row>
      <xdr:rowOff>157162</xdr:rowOff>
    </xdr:from>
    <xdr:to>
      <xdr:col>22</xdr:col>
      <xdr:colOff>466725</xdr:colOff>
      <xdr:row>674</xdr:row>
      <xdr:rowOff>42862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56029</xdr:colOff>
      <xdr:row>35</xdr:row>
      <xdr:rowOff>112058</xdr:rowOff>
    </xdr:from>
    <xdr:to>
      <xdr:col>39</xdr:col>
      <xdr:colOff>310317</xdr:colOff>
      <xdr:row>50</xdr:row>
      <xdr:rowOff>153972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56029</xdr:colOff>
      <xdr:row>51</xdr:row>
      <xdr:rowOff>11206</xdr:rowOff>
    </xdr:from>
    <xdr:to>
      <xdr:col>39</xdr:col>
      <xdr:colOff>305143</xdr:colOff>
      <xdr:row>66</xdr:row>
      <xdr:rowOff>53120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22663</xdr:colOff>
      <xdr:row>43</xdr:row>
      <xdr:rowOff>65360</xdr:rowOff>
    </xdr:from>
    <xdr:to>
      <xdr:col>18</xdr:col>
      <xdr:colOff>361950</xdr:colOff>
      <xdr:row>51</xdr:row>
      <xdr:rowOff>74229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1</xdr:row>
      <xdr:rowOff>190500</xdr:rowOff>
    </xdr:from>
    <xdr:to>
      <xdr:col>29</xdr:col>
      <xdr:colOff>381000</xdr:colOff>
      <xdr:row>15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w.boeing.ru\dfs\avk\index\vba\birzh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3">
          <cell r="B3">
            <v>0.53334481176890547</v>
          </cell>
          <cell r="C3">
            <v>9.9436308071111701E-2</v>
          </cell>
          <cell r="D3">
            <v>-0.2531021550049708</v>
          </cell>
          <cell r="E3">
            <v>-0.20440404920957675</v>
          </cell>
          <cell r="F3">
            <v>-5.4871777013430829E-2</v>
          </cell>
          <cell r="G3">
            <v>0.1563436076063425</v>
          </cell>
          <cell r="H3">
            <v>1.7881873725599171E-2</v>
          </cell>
          <cell r="I3">
            <v>0.36926502380512022</v>
          </cell>
          <cell r="J3">
            <v>1.294411046206192</v>
          </cell>
          <cell r="K3">
            <v>5.2035563956431302E-2</v>
          </cell>
          <cell r="L3">
            <v>0.26555951211739987</v>
          </cell>
          <cell r="M3">
            <v>0.51469803583552987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data_t_78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a_t_7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a_t_7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a_t_64" connectionId="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a_t_72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a_t_65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a_t_66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a_t_40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a_t_70" connectionId="8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a_t_71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a_t_73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a_t_74" connectionId="8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a_t_67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a_t_69" connectionId="8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a_t_68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a_t_77" connectionId="8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u.investing.com/equities/gazprom_rts-historical-data" TargetMode="External"/><Relationship Id="rId3" Type="http://schemas.openxmlformats.org/officeDocument/2006/relationships/hyperlink" Target="https://lukoil.ru/InvestorAndShareholderCenter/ReportsAndPresentations/FinancialReports" TargetMode="External"/><Relationship Id="rId7" Type="http://schemas.openxmlformats.org/officeDocument/2006/relationships/hyperlink" Target="https://www.gazprom.ru/investors/disclosure/reports/2020/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s://ru.investing.com/equities/at-t-historical-data" TargetMode="External"/><Relationship Id="rId1" Type="http://schemas.openxmlformats.org/officeDocument/2006/relationships/hyperlink" Target="https://investors.att.com/financial-reports/annual-reports/2019" TargetMode="External"/><Relationship Id="rId6" Type="http://schemas.openxmlformats.org/officeDocument/2006/relationships/hyperlink" Target="https://ru.investing.com/equities/coca-cola-co-historical-data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investors.coca-colacompany.com/financial-information/financial-results" TargetMode="External"/><Relationship Id="rId10" Type="http://schemas.openxmlformats.org/officeDocument/2006/relationships/hyperlink" Target="https://ru.investing.com/equities/macys-historical-data" TargetMode="External"/><Relationship Id="rId4" Type="http://schemas.openxmlformats.org/officeDocument/2006/relationships/hyperlink" Target="https://ru.investing.com/equities/lukoil_rts-historical-data" TargetMode="External"/><Relationship Id="rId9" Type="http://schemas.openxmlformats.org/officeDocument/2006/relationships/hyperlink" Target="https://www.macysinc.com/investors/financial-information/financial-result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10" Type="http://schemas.openxmlformats.org/officeDocument/2006/relationships/queryTable" Target="../queryTables/queryTable8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03"/>
  <sheetViews>
    <sheetView topLeftCell="A37" zoomScale="70" zoomScaleNormal="70" workbookViewId="0">
      <selection activeCell="N66" sqref="N66:S66"/>
    </sheetView>
  </sheetViews>
  <sheetFormatPr defaultColWidth="9.140625" defaultRowHeight="15" x14ac:dyDescent="0.25"/>
  <cols>
    <col min="1" max="1" width="5.85546875" style="60" bestFit="1" customWidth="1"/>
    <col min="2" max="2" width="7.5703125" style="60" customWidth="1"/>
    <col min="3" max="13" width="9.140625" style="60"/>
    <col min="14" max="21" width="8.7109375" style="60" customWidth="1"/>
    <col min="22" max="26" width="8.7109375" style="69" customWidth="1"/>
    <col min="27" max="27" width="9.140625" style="69"/>
    <col min="28" max="16384" width="9.140625" style="60"/>
  </cols>
  <sheetData>
    <row r="1" spans="1:26" ht="15.75" thickBot="1" x14ac:dyDescent="0.3">
      <c r="A1" s="69"/>
      <c r="B1" s="69"/>
      <c r="C1" s="69"/>
      <c r="D1" s="69"/>
      <c r="E1" s="69"/>
      <c r="F1" s="69"/>
      <c r="G1" s="69"/>
      <c r="H1" s="69"/>
      <c r="I1" s="69"/>
      <c r="J1" s="69"/>
      <c r="N1" s="133" t="s">
        <v>21</v>
      </c>
      <c r="O1" s="134"/>
      <c r="P1" s="134"/>
      <c r="Q1" s="134"/>
      <c r="R1" s="134"/>
      <c r="S1" s="135"/>
      <c r="T1" s="139" t="s">
        <v>20</v>
      </c>
      <c r="U1" s="140"/>
      <c r="V1" s="140"/>
      <c r="W1" s="140"/>
      <c r="X1" s="140"/>
      <c r="Y1" s="140"/>
      <c r="Z1" s="141"/>
    </row>
    <row r="2" spans="1:26" ht="15.75" thickBot="1" x14ac:dyDescent="0.3">
      <c r="A2" s="69"/>
      <c r="B2" s="69"/>
      <c r="C2" s="69"/>
      <c r="D2" s="69"/>
      <c r="E2" s="69"/>
      <c r="F2" s="69"/>
      <c r="G2" s="69"/>
      <c r="H2" s="69"/>
      <c r="I2" s="69"/>
      <c r="J2" s="69"/>
      <c r="N2" s="69"/>
      <c r="O2" s="74" t="s">
        <v>40</v>
      </c>
      <c r="P2" s="74" t="s">
        <v>39</v>
      </c>
      <c r="Q2" s="74" t="s">
        <v>38</v>
      </c>
      <c r="R2" s="74" t="s">
        <v>37</v>
      </c>
      <c r="S2" s="74" t="s">
        <v>36</v>
      </c>
      <c r="T2" s="74" t="s">
        <v>35</v>
      </c>
      <c r="U2" s="74" t="s">
        <v>34</v>
      </c>
      <c r="V2" s="74" t="s">
        <v>33</v>
      </c>
      <c r="W2" s="74" t="s">
        <v>24</v>
      </c>
      <c r="X2" s="74" t="s">
        <v>25</v>
      </c>
      <c r="Y2" s="74" t="s">
        <v>26</v>
      </c>
      <c r="Z2" s="74" t="s">
        <v>23</v>
      </c>
    </row>
    <row r="3" spans="1:26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N3" s="61" t="s">
        <v>16</v>
      </c>
      <c r="O3" s="82">
        <v>39.29</v>
      </c>
      <c r="P3" s="82">
        <v>36.39</v>
      </c>
      <c r="Q3" s="82">
        <v>34.28</v>
      </c>
      <c r="R3" s="82">
        <v>34.299999999999997</v>
      </c>
      <c r="S3" s="82">
        <v>31.64</v>
      </c>
      <c r="T3" s="82">
        <v>33.549999999999997</v>
      </c>
      <c r="U3" s="80">
        <v>38.75</v>
      </c>
      <c r="V3" s="80">
        <v>39.700000000000003</v>
      </c>
      <c r="W3" s="80">
        <v>39.549999999999997</v>
      </c>
      <c r="X3" s="80">
        <v>33.24</v>
      </c>
      <c r="Y3" s="80">
        <v>30.76</v>
      </c>
      <c r="Z3" s="124">
        <v>29.16</v>
      </c>
    </row>
    <row r="4" spans="1:26" ht="15.75" thickBot="1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N4" s="62" t="s">
        <v>15</v>
      </c>
      <c r="O4" s="83">
        <v>34.44</v>
      </c>
      <c r="P4" s="83">
        <v>31.17</v>
      </c>
      <c r="Q4" s="83">
        <v>30.13</v>
      </c>
      <c r="R4" s="83">
        <v>26.8</v>
      </c>
      <c r="S4" s="83">
        <v>28.3</v>
      </c>
      <c r="T4" s="83">
        <v>30.05</v>
      </c>
      <c r="U4" s="81">
        <v>31.52</v>
      </c>
      <c r="V4" s="81">
        <v>36.4</v>
      </c>
      <c r="W4" s="81">
        <v>26.08</v>
      </c>
      <c r="X4" s="81">
        <v>27.25</v>
      </c>
      <c r="Y4" s="81">
        <v>27.75</v>
      </c>
      <c r="Z4" s="125">
        <v>26.35</v>
      </c>
    </row>
    <row r="5" spans="1:26" ht="15.75" thickBot="1" x14ac:dyDescent="0.3">
      <c r="N5" s="69" t="s">
        <v>17</v>
      </c>
      <c r="O5" s="69">
        <v>6.351</v>
      </c>
      <c r="P5" s="69">
        <v>6.351</v>
      </c>
      <c r="Q5" s="69">
        <v>7.2839999999999998</v>
      </c>
      <c r="R5" s="69">
        <v>7.2960000000000003</v>
      </c>
      <c r="S5" s="69">
        <v>7.3129999999999997</v>
      </c>
      <c r="T5" s="69">
        <v>7.3230000000000004</v>
      </c>
      <c r="U5" s="76">
        <v>7.327</v>
      </c>
      <c r="V5" s="76">
        <v>7.3120000000000003</v>
      </c>
      <c r="W5" s="76">
        <v>7.1870000000000003</v>
      </c>
      <c r="X5" s="76">
        <v>7.1449999999999996</v>
      </c>
      <c r="Y5" s="75">
        <v>7.1470000000000002</v>
      </c>
      <c r="Z5" s="126">
        <v>7.1470000000000002</v>
      </c>
    </row>
    <row r="6" spans="1:26" x14ac:dyDescent="0.25">
      <c r="N6" s="71" t="s">
        <v>19</v>
      </c>
      <c r="O6" s="77">
        <f>535.376-O12</f>
        <v>351.24599999999998</v>
      </c>
      <c r="P6" s="77">
        <f>535.376-P12</f>
        <v>351.24599999999998</v>
      </c>
      <c r="Q6" s="77">
        <f>534.87-Q12</f>
        <v>349.899</v>
      </c>
      <c r="R6" s="77">
        <f>531.864-R12</f>
        <v>337.98</v>
      </c>
      <c r="S6" s="77">
        <f>548.384-S12</f>
        <v>353.43299999999999</v>
      </c>
      <c r="T6" s="77">
        <f>546.914-T12</f>
        <v>352.83299999999997</v>
      </c>
      <c r="U6" s="77">
        <f>548.796-U12</f>
        <v>354.46900000000005</v>
      </c>
      <c r="V6" s="77">
        <f>551.669-V12</f>
        <v>349.73500000000001</v>
      </c>
      <c r="W6" s="77">
        <f>545.354-W12</f>
        <v>349.90500000000003</v>
      </c>
      <c r="X6" s="77">
        <f>547.9-X12</f>
        <v>354.45</v>
      </c>
      <c r="Y6" s="66">
        <f>538-Y12</f>
        <v>342.9</v>
      </c>
      <c r="Z6" s="127">
        <f>538-Z12</f>
        <v>342.9</v>
      </c>
    </row>
    <row r="7" spans="1:26" ht="15.75" thickBot="1" x14ac:dyDescent="0.3">
      <c r="N7" s="63" t="s">
        <v>22</v>
      </c>
      <c r="O7" s="78">
        <f t="shared" ref="O7:P7" si="0">O6/O5</f>
        <v>55.305621162021723</v>
      </c>
      <c r="P7" s="78">
        <f t="shared" si="0"/>
        <v>55.305621162021723</v>
      </c>
      <c r="Q7" s="78">
        <f t="shared" ref="Q7:R7" si="1">Q6/Q5</f>
        <v>48.036655683690284</v>
      </c>
      <c r="R7" s="78">
        <f t="shared" si="1"/>
        <v>46.32401315789474</v>
      </c>
      <c r="S7" s="78">
        <f t="shared" ref="S7:T7" si="2">S6/S5</f>
        <v>48.329413373444552</v>
      </c>
      <c r="T7" s="78">
        <f t="shared" si="2"/>
        <v>48.181482998770989</v>
      </c>
      <c r="U7" s="78">
        <f t="shared" ref="U7:Z7" si="3">U6/U5</f>
        <v>48.378463218233939</v>
      </c>
      <c r="V7" s="78">
        <f t="shared" si="3"/>
        <v>47.830278993435449</v>
      </c>
      <c r="W7" s="78">
        <f t="shared" si="3"/>
        <v>48.68582162237373</v>
      </c>
      <c r="X7" s="78">
        <f t="shared" si="3"/>
        <v>49.608117564730584</v>
      </c>
      <c r="Y7" s="67">
        <f t="shared" si="3"/>
        <v>47.978172659857279</v>
      </c>
      <c r="Z7" s="128">
        <f t="shared" si="3"/>
        <v>47.978172659857279</v>
      </c>
    </row>
    <row r="8" spans="1:26" x14ac:dyDescent="0.25">
      <c r="N8" s="71" t="s">
        <v>29</v>
      </c>
      <c r="O8" s="66">
        <v>68.593000000000004</v>
      </c>
      <c r="P8" s="66">
        <v>68.593000000000004</v>
      </c>
      <c r="Q8" s="66">
        <v>65.42</v>
      </c>
      <c r="R8" s="66">
        <v>64.42</v>
      </c>
      <c r="S8" s="66">
        <v>64.652000000000001</v>
      </c>
      <c r="T8" s="66">
        <v>66.228999999999999</v>
      </c>
      <c r="U8" s="66">
        <v>68.126000000000005</v>
      </c>
      <c r="V8" s="66">
        <v>68.911000000000001</v>
      </c>
      <c r="W8" s="66">
        <v>69.7</v>
      </c>
      <c r="X8" s="66">
        <v>69.47</v>
      </c>
      <c r="Y8" s="66">
        <v>59.6</v>
      </c>
      <c r="Z8" s="127">
        <f>59.6</f>
        <v>59.6</v>
      </c>
    </row>
    <row r="9" spans="1:26" ht="15.75" thickBot="1" x14ac:dyDescent="0.3">
      <c r="N9" s="63" t="s">
        <v>31</v>
      </c>
      <c r="O9" s="67">
        <f t="shared" ref="O9:Z9" si="4">O8/O5</f>
        <v>10.800346402141395</v>
      </c>
      <c r="P9" s="67">
        <f t="shared" si="4"/>
        <v>10.800346402141395</v>
      </c>
      <c r="Q9" s="67">
        <f t="shared" si="4"/>
        <v>8.9813289401427792</v>
      </c>
      <c r="R9" s="67">
        <f t="shared" si="4"/>
        <v>8.8294956140350873</v>
      </c>
      <c r="S9" s="67">
        <f t="shared" si="4"/>
        <v>8.8406946533570352</v>
      </c>
      <c r="T9" s="67">
        <f t="shared" si="4"/>
        <v>9.0439710501160722</v>
      </c>
      <c r="U9" s="67">
        <f t="shared" si="4"/>
        <v>9.2979391292479878</v>
      </c>
      <c r="V9" s="67">
        <f t="shared" si="4"/>
        <v>9.4243708971553612</v>
      </c>
      <c r="W9" s="67">
        <f t="shared" si="4"/>
        <v>9.6980659524140815</v>
      </c>
      <c r="X9" s="67">
        <f t="shared" si="4"/>
        <v>9.7228831350594831</v>
      </c>
      <c r="Y9" s="67">
        <f t="shared" si="4"/>
        <v>8.3391632852945285</v>
      </c>
      <c r="Z9" s="128">
        <f t="shared" si="4"/>
        <v>8.3391632852945285</v>
      </c>
    </row>
    <row r="10" spans="1:26" x14ac:dyDescent="0.25">
      <c r="N10" s="71" t="s">
        <v>30</v>
      </c>
      <c r="O10" s="66">
        <v>55.286000000000001</v>
      </c>
      <c r="P10" s="66">
        <v>55.286000000000001</v>
      </c>
      <c r="Q10" s="66">
        <v>53.106999999999999</v>
      </c>
      <c r="R10" s="66">
        <v>51.427</v>
      </c>
      <c r="S10" s="66">
        <v>46.472000000000001</v>
      </c>
      <c r="T10" s="66">
        <v>47.218000000000004</v>
      </c>
      <c r="U10" s="66">
        <v>50.695</v>
      </c>
      <c r="V10" s="66">
        <v>54.761000000000003</v>
      </c>
      <c r="W10" s="66">
        <v>52.7</v>
      </c>
      <c r="X10" s="66">
        <v>56.5</v>
      </c>
      <c r="Y10" s="66">
        <v>49.97</v>
      </c>
      <c r="Z10" s="127">
        <v>49.97</v>
      </c>
    </row>
    <row r="11" spans="1:26" ht="15.75" thickBot="1" x14ac:dyDescent="0.3">
      <c r="N11" s="63" t="s">
        <v>32</v>
      </c>
      <c r="O11" s="67">
        <f t="shared" ref="O11:Z11" si="5">O10/O5</f>
        <v>8.7050858132577549</v>
      </c>
      <c r="P11" s="67">
        <f t="shared" si="5"/>
        <v>8.7050858132577549</v>
      </c>
      <c r="Q11" s="67">
        <f t="shared" si="5"/>
        <v>7.290911587040088</v>
      </c>
      <c r="R11" s="67">
        <f t="shared" si="5"/>
        <v>7.0486567982456139</v>
      </c>
      <c r="S11" s="67">
        <f t="shared" si="5"/>
        <v>6.35471078900588</v>
      </c>
      <c r="T11" s="67">
        <f t="shared" si="5"/>
        <v>6.447903864536392</v>
      </c>
      <c r="U11" s="67">
        <f t="shared" si="5"/>
        <v>6.9189299849870345</v>
      </c>
      <c r="V11" s="67">
        <f t="shared" si="5"/>
        <v>7.4891958424507656</v>
      </c>
      <c r="W11" s="67">
        <f t="shared" si="5"/>
        <v>7.3326840128008905</v>
      </c>
      <c r="X11" s="67">
        <f t="shared" si="5"/>
        <v>7.9076277116864944</v>
      </c>
      <c r="Y11" s="67">
        <f t="shared" si="5"/>
        <v>6.9917447880229462</v>
      </c>
      <c r="Z11" s="128">
        <f t="shared" si="5"/>
        <v>6.9917447880229462</v>
      </c>
    </row>
    <row r="12" spans="1:26" x14ac:dyDescent="0.25">
      <c r="N12" s="71" t="s">
        <v>18</v>
      </c>
      <c r="O12" s="77">
        <v>184.13</v>
      </c>
      <c r="P12" s="77">
        <v>184.13</v>
      </c>
      <c r="Q12" s="77">
        <v>184.971</v>
      </c>
      <c r="R12" s="77">
        <v>193.88399999999999</v>
      </c>
      <c r="S12" s="77">
        <v>194.95099999999999</v>
      </c>
      <c r="T12" s="77">
        <v>194.08099999999999</v>
      </c>
      <c r="U12" s="77">
        <v>194.327</v>
      </c>
      <c r="V12" s="77">
        <v>201.934</v>
      </c>
      <c r="W12" s="77">
        <v>195.44900000000001</v>
      </c>
      <c r="X12" s="66">
        <v>193.45</v>
      </c>
      <c r="Y12" s="66">
        <v>195.1</v>
      </c>
      <c r="Z12" s="127">
        <v>195.1</v>
      </c>
    </row>
    <row r="13" spans="1:26" ht="15.75" thickBot="1" x14ac:dyDescent="0.3">
      <c r="N13" s="63" t="s">
        <v>27</v>
      </c>
      <c r="O13" s="78">
        <f t="shared" ref="O13:Z13" si="6">O12/O5</f>
        <v>28.99228467957802</v>
      </c>
      <c r="P13" s="78">
        <f t="shared" si="6"/>
        <v>28.99228467957802</v>
      </c>
      <c r="Q13" s="78">
        <f t="shared" si="6"/>
        <v>25.394151565074136</v>
      </c>
      <c r="R13" s="78">
        <f t="shared" si="6"/>
        <v>26.574013157894733</v>
      </c>
      <c r="S13" s="78">
        <f t="shared" si="6"/>
        <v>26.65814303295501</v>
      </c>
      <c r="T13" s="78">
        <f t="shared" si="6"/>
        <v>26.502935955209612</v>
      </c>
      <c r="U13" s="78">
        <f t="shared" si="6"/>
        <v>26.522041763341068</v>
      </c>
      <c r="V13" s="78">
        <f t="shared" si="6"/>
        <v>27.616794310722099</v>
      </c>
      <c r="W13" s="78">
        <f t="shared" si="6"/>
        <v>27.194796159732853</v>
      </c>
      <c r="X13" s="67">
        <f t="shared" si="6"/>
        <v>27.074877536738978</v>
      </c>
      <c r="Y13" s="67">
        <f t="shared" si="6"/>
        <v>27.298167063103399</v>
      </c>
      <c r="Z13" s="128">
        <f t="shared" si="6"/>
        <v>27.298167063103399</v>
      </c>
    </row>
    <row r="14" spans="1:26" x14ac:dyDescent="0.25">
      <c r="N14" s="71" t="s">
        <v>28</v>
      </c>
      <c r="O14" s="65">
        <f>5.248*$N$15</f>
        <v>104.96000000000001</v>
      </c>
      <c r="P14" s="65">
        <f>5.248*$N$15</f>
        <v>104.96000000000001</v>
      </c>
      <c r="Q14" s="65">
        <f>4.816*$N$15</f>
        <v>96.32</v>
      </c>
      <c r="R14" s="65">
        <f>5.13*$N$15</f>
        <v>102.6</v>
      </c>
      <c r="S14" s="65">
        <f>4.348*$N$15</f>
        <v>86.96</v>
      </c>
      <c r="T14" s="65">
        <f>3.974*$N$15</f>
        <v>79.48</v>
      </c>
      <c r="U14" s="65">
        <f>3.949*$N$15</f>
        <v>78.97999999999999</v>
      </c>
      <c r="V14" s="65">
        <f>2.704*$N$15</f>
        <v>54.080000000000005</v>
      </c>
      <c r="W14" s="65">
        <f>4.963*$N$15</f>
        <v>99.26</v>
      </c>
      <c r="X14" s="65">
        <f>1.563*$N$15</f>
        <v>31.259999999999998</v>
      </c>
      <c r="Y14" s="65">
        <f>3.168*$N$15</f>
        <v>63.36</v>
      </c>
      <c r="Z14" s="115">
        <f>3.168*$N$15</f>
        <v>63.36</v>
      </c>
    </row>
    <row r="15" spans="1:26" ht="15.75" thickBot="1" x14ac:dyDescent="0.3">
      <c r="N15" s="63">
        <v>20</v>
      </c>
      <c r="O15" s="79">
        <f t="shared" ref="O15:Z15" si="7">O14/O5</f>
        <v>16.526531254920485</v>
      </c>
      <c r="P15" s="79">
        <f t="shared" si="7"/>
        <v>16.526531254920485</v>
      </c>
      <c r="Q15" s="79">
        <f t="shared" si="7"/>
        <v>13.223503569467326</v>
      </c>
      <c r="R15" s="79">
        <f t="shared" si="7"/>
        <v>14.062499999999998</v>
      </c>
      <c r="S15" s="79">
        <f t="shared" si="7"/>
        <v>11.891152741692876</v>
      </c>
      <c r="T15" s="79">
        <f t="shared" si="7"/>
        <v>10.853475351631845</v>
      </c>
      <c r="U15" s="79">
        <f t="shared" si="7"/>
        <v>10.779309403575814</v>
      </c>
      <c r="V15" s="79">
        <f t="shared" si="7"/>
        <v>7.3960612691466086</v>
      </c>
      <c r="W15" s="79">
        <f t="shared" si="7"/>
        <v>13.811047725059135</v>
      </c>
      <c r="X15" s="64">
        <f t="shared" si="7"/>
        <v>4.3750874737578727</v>
      </c>
      <c r="Y15" s="64">
        <f t="shared" si="7"/>
        <v>8.865258150272842</v>
      </c>
      <c r="Z15" s="116">
        <f t="shared" si="7"/>
        <v>8.865258150272842</v>
      </c>
    </row>
    <row r="23" spans="14:26" ht="15.75" thickBot="1" x14ac:dyDescent="0.3"/>
    <row r="24" spans="14:26" ht="15.75" thickBot="1" x14ac:dyDescent="0.3">
      <c r="N24" s="133" t="s">
        <v>41</v>
      </c>
      <c r="O24" s="134"/>
      <c r="P24" s="134"/>
      <c r="Q24" s="134"/>
      <c r="R24" s="134"/>
      <c r="S24" s="135"/>
      <c r="T24" s="136" t="s">
        <v>42</v>
      </c>
      <c r="U24" s="137"/>
      <c r="V24" s="137"/>
      <c r="W24" s="137"/>
      <c r="X24" s="137"/>
      <c r="Y24" s="137"/>
      <c r="Z24" s="138"/>
    </row>
    <row r="25" spans="14:26" ht="15.75" thickBot="1" x14ac:dyDescent="0.3">
      <c r="N25" s="69"/>
      <c r="O25" s="74" t="s">
        <v>40</v>
      </c>
      <c r="P25" s="74" t="s">
        <v>39</v>
      </c>
      <c r="Q25" s="74" t="s">
        <v>38</v>
      </c>
      <c r="R25" s="74" t="s">
        <v>37</v>
      </c>
      <c r="S25" s="74" t="s">
        <v>36</v>
      </c>
      <c r="T25" s="74" t="s">
        <v>35</v>
      </c>
      <c r="U25" s="74" t="s">
        <v>34</v>
      </c>
      <c r="V25" s="74" t="s">
        <v>33</v>
      </c>
      <c r="W25" s="74" t="s">
        <v>24</v>
      </c>
      <c r="X25" s="74" t="s">
        <v>25</v>
      </c>
      <c r="Y25" s="74" t="s">
        <v>26</v>
      </c>
      <c r="Z25" s="74" t="s">
        <v>23</v>
      </c>
    </row>
    <row r="26" spans="14:26" x14ac:dyDescent="0.25">
      <c r="N26" s="61" t="s">
        <v>16</v>
      </c>
      <c r="O26" s="93">
        <v>4004</v>
      </c>
      <c r="P26" s="93">
        <v>4453.5</v>
      </c>
      <c r="Q26" s="93">
        <v>5042.5</v>
      </c>
      <c r="R26" s="93">
        <v>5342</v>
      </c>
      <c r="S26" s="93">
        <v>5895</v>
      </c>
      <c r="T26" s="93">
        <v>5996</v>
      </c>
      <c r="U26" s="93">
        <v>5600</v>
      </c>
      <c r="V26" s="93">
        <v>6258.5</v>
      </c>
      <c r="W26" s="93">
        <v>6810</v>
      </c>
      <c r="X26" s="93">
        <v>5566.5</v>
      </c>
      <c r="Y26" s="93">
        <v>5512</v>
      </c>
      <c r="Z26" s="111">
        <v>5123</v>
      </c>
    </row>
    <row r="27" spans="14:26" ht="15.75" thickBot="1" x14ac:dyDescent="0.3">
      <c r="N27" s="62" t="s">
        <v>15</v>
      </c>
      <c r="O27" s="94">
        <v>3340</v>
      </c>
      <c r="P27" s="94">
        <v>3532.5</v>
      </c>
      <c r="Q27" s="94">
        <v>4200</v>
      </c>
      <c r="R27" s="94">
        <v>4555</v>
      </c>
      <c r="S27" s="94">
        <v>4886.5</v>
      </c>
      <c r="T27" s="94">
        <v>4980</v>
      </c>
      <c r="U27" s="94">
        <v>4982</v>
      </c>
      <c r="V27" s="94">
        <v>5261</v>
      </c>
      <c r="W27" s="94">
        <v>3663</v>
      </c>
      <c r="X27" s="94">
        <v>4281</v>
      </c>
      <c r="Y27" s="94">
        <v>4410</v>
      </c>
      <c r="Z27" s="113">
        <v>3961</v>
      </c>
    </row>
    <row r="28" spans="14:26" ht="15.75" thickBot="1" x14ac:dyDescent="0.3">
      <c r="N28" s="69" t="s">
        <v>80</v>
      </c>
      <c r="O28" s="95">
        <v>0.70899999999999996</v>
      </c>
      <c r="P28" s="95">
        <v>0.70899999999999996</v>
      </c>
      <c r="Q28" s="95">
        <v>0.70799999999999996</v>
      </c>
      <c r="R28" s="95">
        <v>0.69599999999999995</v>
      </c>
      <c r="S28" s="95">
        <v>0.68300000000000005</v>
      </c>
      <c r="T28" s="95">
        <v>0.67300000000000004</v>
      </c>
      <c r="U28" s="95">
        <v>0.65200000000000002</v>
      </c>
      <c r="V28" s="95">
        <v>0.65200000000000002</v>
      </c>
      <c r="W28" s="95">
        <v>0.65200000000000002</v>
      </c>
      <c r="X28" s="95">
        <v>0.65200000000000002</v>
      </c>
      <c r="Y28" s="95">
        <v>0.65200000000000002</v>
      </c>
      <c r="Z28" s="117">
        <v>0.65200000000000002</v>
      </c>
    </row>
    <row r="29" spans="14:26" x14ac:dyDescent="0.25">
      <c r="N29" s="87" t="s">
        <v>19</v>
      </c>
      <c r="O29" s="88">
        <v>1608</v>
      </c>
      <c r="P29" s="88">
        <v>1761</v>
      </c>
      <c r="Q29" s="88">
        <v>1751</v>
      </c>
      <c r="R29" s="88">
        <v>1658</v>
      </c>
      <c r="S29" s="88">
        <v>1776</v>
      </c>
      <c r="T29" s="88">
        <v>2023</v>
      </c>
      <c r="U29" s="88">
        <v>1697</v>
      </c>
      <c r="V29" s="88">
        <v>1973</v>
      </c>
      <c r="W29" s="88">
        <v>1760</v>
      </c>
      <c r="X29" s="88">
        <v>2040</v>
      </c>
      <c r="Y29" s="88">
        <v>1969</v>
      </c>
      <c r="Z29" s="107">
        <v>1969</v>
      </c>
    </row>
    <row r="30" spans="14:26" ht="15.75" thickBot="1" x14ac:dyDescent="0.3">
      <c r="N30" s="89" t="s">
        <v>22</v>
      </c>
      <c r="O30" s="90">
        <f t="shared" ref="O30:X30" si="8">O29/O28</f>
        <v>2267.9830747531737</v>
      </c>
      <c r="P30" s="90">
        <f t="shared" si="8"/>
        <v>2483.7799717912553</v>
      </c>
      <c r="Q30" s="90">
        <f t="shared" si="8"/>
        <v>2473.1638418079096</v>
      </c>
      <c r="R30" s="90">
        <f t="shared" si="8"/>
        <v>2382.1839080459772</v>
      </c>
      <c r="S30" s="90">
        <f t="shared" si="8"/>
        <v>2600.2928257686676</v>
      </c>
      <c r="T30" s="90">
        <f t="shared" si="8"/>
        <v>3005.9435364041601</v>
      </c>
      <c r="U30" s="90">
        <f t="shared" si="8"/>
        <v>2602.7607361963187</v>
      </c>
      <c r="V30" s="90">
        <f t="shared" si="8"/>
        <v>3026.0736196319017</v>
      </c>
      <c r="W30" s="90">
        <f t="shared" si="8"/>
        <v>2699.3865030674847</v>
      </c>
      <c r="X30" s="90">
        <f t="shared" si="8"/>
        <v>3128.8343558282209</v>
      </c>
      <c r="Y30" s="90">
        <f t="shared" ref="Y30" si="9">Y29/Y28</f>
        <v>3019.9386503067485</v>
      </c>
      <c r="Z30" s="109">
        <f t="shared" ref="Z30" si="10">Z29/Z28</f>
        <v>3019.9386503067485</v>
      </c>
    </row>
    <row r="31" spans="14:26" x14ac:dyDescent="0.25">
      <c r="N31" s="87" t="s">
        <v>29</v>
      </c>
      <c r="O31" s="88">
        <v>828</v>
      </c>
      <c r="P31" s="88">
        <v>963</v>
      </c>
      <c r="Q31" s="88">
        <v>932</v>
      </c>
      <c r="R31" s="88">
        <v>914</v>
      </c>
      <c r="S31" s="88">
        <v>924</v>
      </c>
      <c r="T31" s="88">
        <v>1197</v>
      </c>
      <c r="U31" s="88">
        <v>874</v>
      </c>
      <c r="V31" s="88">
        <v>1207</v>
      </c>
      <c r="W31" s="88">
        <v>883</v>
      </c>
      <c r="X31" s="88">
        <v>1105.2</v>
      </c>
      <c r="Y31" s="88">
        <v>951</v>
      </c>
      <c r="Z31" s="107">
        <v>951</v>
      </c>
    </row>
    <row r="32" spans="14:26" ht="15.75" thickBot="1" x14ac:dyDescent="0.3">
      <c r="N32" s="89" t="s">
        <v>31</v>
      </c>
      <c r="O32" s="90">
        <f t="shared" ref="O32:X32" si="11">O31/O28</f>
        <v>1167.8420310296192</v>
      </c>
      <c r="P32" s="90">
        <f t="shared" si="11"/>
        <v>1358.2510578279266</v>
      </c>
      <c r="Q32" s="90">
        <f t="shared" si="11"/>
        <v>1316.3841807909605</v>
      </c>
      <c r="R32" s="90">
        <f t="shared" si="11"/>
        <v>1313.2183908045979</v>
      </c>
      <c r="S32" s="90">
        <f t="shared" si="11"/>
        <v>1352.8550512445095</v>
      </c>
      <c r="T32" s="90">
        <f t="shared" si="11"/>
        <v>1778.6032689450221</v>
      </c>
      <c r="U32" s="90">
        <f t="shared" si="11"/>
        <v>1340.4907975460121</v>
      </c>
      <c r="V32" s="90">
        <f t="shared" si="11"/>
        <v>1851.2269938650306</v>
      </c>
      <c r="W32" s="90">
        <f t="shared" si="11"/>
        <v>1354.2944785276072</v>
      </c>
      <c r="X32" s="90">
        <f t="shared" si="11"/>
        <v>1695.0920245398772</v>
      </c>
      <c r="Y32" s="90">
        <f t="shared" ref="Y32" si="12">Y31/Y28</f>
        <v>1458.5889570552147</v>
      </c>
      <c r="Z32" s="109">
        <f t="shared" ref="Z32" si="13">Z31/Z28</f>
        <v>1458.5889570552147</v>
      </c>
    </row>
    <row r="33" spans="14:26" x14ac:dyDescent="0.25">
      <c r="N33" s="87" t="s">
        <v>30</v>
      </c>
      <c r="O33" s="88">
        <v>1280</v>
      </c>
      <c r="P33" s="88">
        <v>1465</v>
      </c>
      <c r="Q33" s="88">
        <v>1618</v>
      </c>
      <c r="R33" s="88">
        <v>1478</v>
      </c>
      <c r="S33" s="88">
        <v>1498</v>
      </c>
      <c r="T33" s="88">
        <v>1586</v>
      </c>
      <c r="U33" s="88">
        <v>1484</v>
      </c>
      <c r="V33" s="88">
        <v>1554</v>
      </c>
      <c r="W33" s="88">
        <v>1452</v>
      </c>
      <c r="X33" s="88">
        <v>1475.1</v>
      </c>
      <c r="Y33" s="88">
        <v>1442</v>
      </c>
      <c r="Z33" s="107">
        <v>1442</v>
      </c>
    </row>
    <row r="34" spans="14:26" ht="15.75" thickBot="1" x14ac:dyDescent="0.3">
      <c r="N34" s="89" t="s">
        <v>32</v>
      </c>
      <c r="O34" s="90">
        <f t="shared" ref="O34:X34" si="14">O33/O28</f>
        <v>1805.3596614950636</v>
      </c>
      <c r="P34" s="90">
        <f t="shared" si="14"/>
        <v>2066.2905500705219</v>
      </c>
      <c r="Q34" s="90">
        <f t="shared" si="14"/>
        <v>2285.3107344632767</v>
      </c>
      <c r="R34" s="90">
        <f t="shared" si="14"/>
        <v>2123.5632183908046</v>
      </c>
      <c r="S34" s="90">
        <f t="shared" si="14"/>
        <v>2193.2650073206441</v>
      </c>
      <c r="T34" s="90">
        <f t="shared" si="14"/>
        <v>2356.6121842496282</v>
      </c>
      <c r="U34" s="90">
        <f t="shared" si="14"/>
        <v>2276.0736196319017</v>
      </c>
      <c r="V34" s="90">
        <f t="shared" si="14"/>
        <v>2383.435582822086</v>
      </c>
      <c r="W34" s="90">
        <f t="shared" si="14"/>
        <v>2226.9938650306749</v>
      </c>
      <c r="X34" s="90">
        <f t="shared" si="14"/>
        <v>2262.4233128834353</v>
      </c>
      <c r="Y34" s="90">
        <f t="shared" ref="Y34" si="15">Y33/Y28</f>
        <v>2211.6564417177915</v>
      </c>
      <c r="Z34" s="109">
        <f t="shared" ref="Z34" si="16">Z33/Z28</f>
        <v>2211.6564417177915</v>
      </c>
    </row>
    <row r="35" spans="14:26" x14ac:dyDescent="0.25">
      <c r="N35" s="87" t="s">
        <v>18</v>
      </c>
      <c r="O35" s="88">
        <v>3596</v>
      </c>
      <c r="P35" s="88">
        <v>3730</v>
      </c>
      <c r="Q35" s="88">
        <v>3962</v>
      </c>
      <c r="R35" s="88">
        <v>4073</v>
      </c>
      <c r="S35" s="88">
        <v>4056</v>
      </c>
      <c r="T35" s="88">
        <v>3874</v>
      </c>
      <c r="U35" s="88">
        <v>4150</v>
      </c>
      <c r="V35" s="88">
        <v>3973</v>
      </c>
      <c r="W35" s="88">
        <v>4367</v>
      </c>
      <c r="X35" s="88">
        <v>3962.4</v>
      </c>
      <c r="Y35" s="88">
        <v>4226</v>
      </c>
      <c r="Z35" s="107">
        <v>4226</v>
      </c>
    </row>
    <row r="36" spans="14:26" ht="15.75" thickBot="1" x14ac:dyDescent="0.3">
      <c r="N36" s="89" t="s">
        <v>27</v>
      </c>
      <c r="O36" s="90">
        <f t="shared" ref="O36:X36" si="17">O35/O28</f>
        <v>5071.9322990126939</v>
      </c>
      <c r="P36" s="90">
        <f t="shared" si="17"/>
        <v>5260.930888575459</v>
      </c>
      <c r="Q36" s="90">
        <f t="shared" si="17"/>
        <v>5596.0451977401135</v>
      </c>
      <c r="R36" s="90">
        <f t="shared" si="17"/>
        <v>5852.0114942528744</v>
      </c>
      <c r="S36" s="90">
        <f t="shared" si="17"/>
        <v>5938.5065885797949</v>
      </c>
      <c r="T36" s="90">
        <f t="shared" si="17"/>
        <v>5756.3150074294199</v>
      </c>
      <c r="U36" s="90">
        <f t="shared" si="17"/>
        <v>6365.0306748466255</v>
      </c>
      <c r="V36" s="90">
        <f t="shared" si="17"/>
        <v>6093.5582822085889</v>
      </c>
      <c r="W36" s="90">
        <f t="shared" si="17"/>
        <v>6697.8527607361957</v>
      </c>
      <c r="X36" s="90">
        <f t="shared" si="17"/>
        <v>6077.3006134969328</v>
      </c>
      <c r="Y36" s="90">
        <f t="shared" ref="Y36" si="18">Y35/Y28</f>
        <v>6481.5950920245396</v>
      </c>
      <c r="Z36" s="109">
        <f t="shared" ref="Z36" si="19">Z35/Z28</f>
        <v>6481.5950920245396</v>
      </c>
    </row>
    <row r="37" spans="14:26" x14ac:dyDescent="0.25">
      <c r="N37" s="87" t="s">
        <v>87</v>
      </c>
      <c r="O37" s="91">
        <f>109*$N$38</f>
        <v>2180</v>
      </c>
      <c r="P37" s="91">
        <f>167*$N$38</f>
        <v>3340</v>
      </c>
      <c r="Q37" s="91">
        <f>184*$N$38</f>
        <v>3680</v>
      </c>
      <c r="R37" s="91">
        <f>621/4*$N$38</f>
        <v>3105</v>
      </c>
      <c r="S37" s="91">
        <f>149*$N$38</f>
        <v>2980</v>
      </c>
      <c r="T37" s="91">
        <f>181*$N$38</f>
        <v>3620</v>
      </c>
      <c r="U37" s="91">
        <f>191*$N$38</f>
        <v>3820</v>
      </c>
      <c r="V37" s="91">
        <f>642/4*$N$38</f>
        <v>3210</v>
      </c>
      <c r="W37" s="91">
        <f>-45.7*$N$38</f>
        <v>-914</v>
      </c>
      <c r="X37" s="91">
        <f>-18.5*$N$38</f>
        <v>-370</v>
      </c>
      <c r="Y37" s="91">
        <f>50.9*$N$38</f>
        <v>1018</v>
      </c>
      <c r="Z37" s="111">
        <f>50.9*$N$38</f>
        <v>1018</v>
      </c>
    </row>
    <row r="38" spans="14:26" ht="15.75" thickBot="1" x14ac:dyDescent="0.3">
      <c r="N38" s="89">
        <v>20</v>
      </c>
      <c r="O38" s="92">
        <f t="shared" ref="O38:X38" si="20">O37/O28</f>
        <v>3074.7531734837803</v>
      </c>
      <c r="P38" s="92">
        <f t="shared" si="20"/>
        <v>4710.8603667136813</v>
      </c>
      <c r="Q38" s="92">
        <f t="shared" si="20"/>
        <v>5197.740112994351</v>
      </c>
      <c r="R38" s="92">
        <f t="shared" si="20"/>
        <v>4461.2068965517246</v>
      </c>
      <c r="S38" s="92">
        <f t="shared" si="20"/>
        <v>4363.1039531478764</v>
      </c>
      <c r="T38" s="92">
        <f t="shared" si="20"/>
        <v>5378.90044576523</v>
      </c>
      <c r="U38" s="92">
        <f t="shared" si="20"/>
        <v>5858.8957055214723</v>
      </c>
      <c r="V38" s="92">
        <f t="shared" si="20"/>
        <v>4923.312883435583</v>
      </c>
      <c r="W38" s="92">
        <f t="shared" si="20"/>
        <v>-1401.840490797546</v>
      </c>
      <c r="X38" s="92">
        <f t="shared" si="20"/>
        <v>-567.48466257668713</v>
      </c>
      <c r="Y38" s="92">
        <f t="shared" ref="Y38" si="21">Y37/Y28</f>
        <v>1561.3496932515336</v>
      </c>
      <c r="Z38" s="113">
        <f t="shared" ref="Z38" si="22">Z37/Z28</f>
        <v>1561.3496932515336</v>
      </c>
    </row>
    <row r="39" spans="14:26" x14ac:dyDescent="0.25">
      <c r="N39" s="142" t="s">
        <v>82</v>
      </c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</row>
    <row r="42" spans="14:26" x14ac:dyDescent="0.25">
      <c r="R42" s="60" t="s">
        <v>83</v>
      </c>
    </row>
    <row r="44" spans="14:26" ht="15.75" thickBot="1" x14ac:dyDescent="0.3"/>
    <row r="45" spans="14:26" ht="15.75" thickBot="1" x14ac:dyDescent="0.3">
      <c r="N45" s="133" t="s">
        <v>74</v>
      </c>
      <c r="O45" s="134"/>
      <c r="P45" s="134"/>
      <c r="Q45" s="134"/>
      <c r="R45" s="134"/>
      <c r="S45" s="135"/>
      <c r="T45" s="136" t="s">
        <v>75</v>
      </c>
      <c r="U45" s="137"/>
      <c r="V45" s="137"/>
      <c r="W45" s="137"/>
      <c r="X45" s="137"/>
      <c r="Y45" s="137"/>
      <c r="Z45" s="138"/>
    </row>
    <row r="46" spans="14:26" ht="15.75" thickBot="1" x14ac:dyDescent="0.3">
      <c r="N46" s="69"/>
      <c r="O46" s="74" t="s">
        <v>40</v>
      </c>
      <c r="P46" s="74" t="s">
        <v>39</v>
      </c>
      <c r="Q46" s="74" t="s">
        <v>38</v>
      </c>
      <c r="R46" s="74" t="s">
        <v>37</v>
      </c>
      <c r="S46" s="74" t="s">
        <v>36</v>
      </c>
      <c r="T46" s="74" t="s">
        <v>35</v>
      </c>
      <c r="U46" s="74" t="s">
        <v>34</v>
      </c>
      <c r="V46" s="74" t="s">
        <v>33</v>
      </c>
      <c r="W46" s="74" t="s">
        <v>24</v>
      </c>
      <c r="X46" s="74" t="s">
        <v>25</v>
      </c>
      <c r="Y46" s="74" t="s">
        <v>26</v>
      </c>
      <c r="Z46" s="74" t="s">
        <v>23</v>
      </c>
    </row>
    <row r="47" spans="14:26" x14ac:dyDescent="0.25">
      <c r="N47" s="61" t="s">
        <v>16</v>
      </c>
      <c r="O47" s="82">
        <v>48.62</v>
      </c>
      <c r="P47" s="82">
        <v>45.03</v>
      </c>
      <c r="Q47" s="82">
        <v>46.87</v>
      </c>
      <c r="R47" s="82">
        <v>50.84</v>
      </c>
      <c r="S47" s="82">
        <v>49.94</v>
      </c>
      <c r="T47" s="82">
        <v>52.2</v>
      </c>
      <c r="U47" s="82">
        <v>55.92</v>
      </c>
      <c r="V47" s="82">
        <v>55.45</v>
      </c>
      <c r="W47" s="82">
        <v>60.13</v>
      </c>
      <c r="X47" s="82">
        <v>49.96</v>
      </c>
      <c r="Y47" s="82">
        <v>52.13</v>
      </c>
      <c r="Z47" s="118">
        <v>54.61</v>
      </c>
    </row>
    <row r="48" spans="14:26" ht="15.75" thickBot="1" x14ac:dyDescent="0.3">
      <c r="N48" s="62" t="s">
        <v>15</v>
      </c>
      <c r="O48" s="83">
        <v>42.19</v>
      </c>
      <c r="P48" s="83">
        <v>41.45</v>
      </c>
      <c r="Q48" s="83">
        <v>43.58</v>
      </c>
      <c r="R48" s="83">
        <v>44.25</v>
      </c>
      <c r="S48" s="83">
        <v>44.42</v>
      </c>
      <c r="T48" s="83">
        <v>46.03</v>
      </c>
      <c r="U48" s="83">
        <v>50.78</v>
      </c>
      <c r="V48" s="83">
        <v>51.58</v>
      </c>
      <c r="W48" s="83">
        <v>36.270000000000003</v>
      </c>
      <c r="X48" s="83">
        <v>41.8</v>
      </c>
      <c r="Y48" s="83">
        <v>43.83</v>
      </c>
      <c r="Z48" s="119">
        <v>47.3</v>
      </c>
    </row>
    <row r="49" spans="14:26" ht="15.75" thickBot="1" x14ac:dyDescent="0.3">
      <c r="N49" s="69" t="s">
        <v>17</v>
      </c>
      <c r="O49" s="95">
        <v>4.2649999999999997</v>
      </c>
      <c r="P49" s="95">
        <v>4.2549999999999999</v>
      </c>
      <c r="Q49" s="95">
        <v>4.2549999999999999</v>
      </c>
      <c r="R49" s="95">
        <v>4.2619999999999996</v>
      </c>
      <c r="S49" s="95">
        <v>4.2709999999999999</v>
      </c>
      <c r="T49" s="95">
        <v>4.2690000000000001</v>
      </c>
      <c r="U49" s="95">
        <v>4.28</v>
      </c>
      <c r="V49" s="95">
        <v>4.282</v>
      </c>
      <c r="W49" s="95">
        <v>4.2889999999999997</v>
      </c>
      <c r="X49" s="95">
        <v>4.2949999999999999</v>
      </c>
      <c r="Y49" s="95">
        <v>4.2960000000000003</v>
      </c>
      <c r="Z49" s="117">
        <v>4.2960000000000003</v>
      </c>
    </row>
    <row r="50" spans="14:26" x14ac:dyDescent="0.25">
      <c r="N50" s="87" t="s">
        <v>19</v>
      </c>
      <c r="O50" s="101">
        <f>93.3-O56</f>
        <v>71.63</v>
      </c>
      <c r="P50" s="101">
        <f>89.59-P56</f>
        <v>69.41</v>
      </c>
      <c r="Q50" s="101">
        <f>86.87-Q56</f>
        <v>66.69</v>
      </c>
      <c r="R50" s="101">
        <f>83.2-R56</f>
        <v>64.150000000000006</v>
      </c>
      <c r="S50" s="101">
        <f>88.34-S56</f>
        <v>68.540000000000006</v>
      </c>
      <c r="T50" s="101">
        <f>89.99-T56</f>
        <v>69.694999999999993</v>
      </c>
      <c r="U50" s="101">
        <f>87.43-U56</f>
        <v>66.75</v>
      </c>
      <c r="V50" s="101">
        <f>86.38-V56</f>
        <v>65.28</v>
      </c>
      <c r="W50" s="101">
        <f>94-W56</f>
        <v>74.2</v>
      </c>
      <c r="X50" s="101">
        <f>94.7-X56</f>
        <v>75.5</v>
      </c>
      <c r="Y50" s="101">
        <f>97.2-Y56</f>
        <v>76.900000000000006</v>
      </c>
      <c r="Z50" s="120">
        <f>97.2-Z56</f>
        <v>76.900000000000006</v>
      </c>
    </row>
    <row r="51" spans="14:26" ht="15.75" thickBot="1" x14ac:dyDescent="0.3">
      <c r="N51" s="89" t="s">
        <v>22</v>
      </c>
      <c r="O51" s="103">
        <f t="shared" ref="O51:P51" si="23">O50/O49</f>
        <v>16.794841735052756</v>
      </c>
      <c r="P51" s="103">
        <f t="shared" si="23"/>
        <v>16.312573443008226</v>
      </c>
      <c r="Q51" s="103">
        <f t="shared" ref="Q51:R51" si="24">Q50/Q49</f>
        <v>15.673325499412456</v>
      </c>
      <c r="R51" s="103">
        <f t="shared" si="24"/>
        <v>15.051618958235572</v>
      </c>
      <c r="S51" s="103">
        <f t="shared" ref="S51:T51" si="25">S50/S49</f>
        <v>16.047763989697966</v>
      </c>
      <c r="T51" s="103">
        <f t="shared" si="25"/>
        <v>16.325837432654016</v>
      </c>
      <c r="U51" s="103">
        <f t="shared" ref="U51:V51" si="26">U50/U49</f>
        <v>15.595794392523363</v>
      </c>
      <c r="V51" s="103">
        <f t="shared" si="26"/>
        <v>15.24521251751518</v>
      </c>
      <c r="W51" s="103">
        <f t="shared" ref="W51:X51" si="27">W50/W49</f>
        <v>17.30006994637445</v>
      </c>
      <c r="X51" s="103">
        <f t="shared" si="27"/>
        <v>17.578579743888241</v>
      </c>
      <c r="Y51" s="103">
        <f t="shared" ref="Y51:Z51" si="28">Y50/Y49</f>
        <v>17.900372439478584</v>
      </c>
      <c r="Z51" s="121">
        <f t="shared" si="28"/>
        <v>17.900372439478584</v>
      </c>
    </row>
    <row r="52" spans="14:26" x14ac:dyDescent="0.25">
      <c r="N52" s="87" t="s">
        <v>29</v>
      </c>
      <c r="O52" s="101">
        <v>31.48</v>
      </c>
      <c r="P52" s="101">
        <v>31.39</v>
      </c>
      <c r="Q52" s="101">
        <v>31.43</v>
      </c>
      <c r="R52" s="101">
        <v>29.22</v>
      </c>
      <c r="S52" s="101">
        <v>27.94</v>
      </c>
      <c r="T52" s="101">
        <v>29.38</v>
      </c>
      <c r="U52" s="101">
        <v>25.1</v>
      </c>
      <c r="V52" s="101">
        <v>26.97</v>
      </c>
      <c r="W52" s="101">
        <v>32.4</v>
      </c>
      <c r="X52" s="101">
        <v>26.9</v>
      </c>
      <c r="Y52" s="101">
        <v>26.9</v>
      </c>
      <c r="Z52" s="120">
        <v>26.9</v>
      </c>
    </row>
    <row r="53" spans="14:26" ht="15.75" thickBot="1" x14ac:dyDescent="0.3">
      <c r="N53" s="89" t="s">
        <v>31</v>
      </c>
      <c r="O53" s="103">
        <f t="shared" ref="O53:P53" si="29">O52/O49</f>
        <v>7.3810082063305984</v>
      </c>
      <c r="P53" s="103">
        <f t="shared" si="29"/>
        <v>7.3772032902467686</v>
      </c>
      <c r="Q53" s="103">
        <f t="shared" ref="Q53:R53" si="30">Q52/Q49</f>
        <v>7.3866039952996472</v>
      </c>
      <c r="R53" s="103">
        <f t="shared" si="30"/>
        <v>6.8559361801970908</v>
      </c>
      <c r="S53" s="103">
        <f t="shared" ref="S53:T53" si="31">S52/S49</f>
        <v>6.5417934909857181</v>
      </c>
      <c r="T53" s="103">
        <f t="shared" si="31"/>
        <v>6.882173811197001</v>
      </c>
      <c r="U53" s="103">
        <f t="shared" ref="U53:V53" si="32">U52/U49</f>
        <v>5.8644859813084116</v>
      </c>
      <c r="V53" s="103">
        <f t="shared" si="32"/>
        <v>6.2984586641756186</v>
      </c>
      <c r="W53" s="103">
        <f t="shared" ref="W53:X53" si="33">W52/W49</f>
        <v>7.5542084401958505</v>
      </c>
      <c r="X53" s="103">
        <f t="shared" si="33"/>
        <v>6.2630966239813732</v>
      </c>
      <c r="Y53" s="103">
        <f t="shared" ref="Y53:Z53" si="34">Y52/Y49</f>
        <v>6.2616387337057722</v>
      </c>
      <c r="Z53" s="121">
        <f t="shared" si="34"/>
        <v>6.2616387337057722</v>
      </c>
    </row>
    <row r="54" spans="14:26" x14ac:dyDescent="0.25">
      <c r="N54" s="87" t="s">
        <v>30</v>
      </c>
      <c r="O54" s="101">
        <v>38.04</v>
      </c>
      <c r="P54" s="101">
        <v>36.020000000000003</v>
      </c>
      <c r="Q54" s="101">
        <v>33.4</v>
      </c>
      <c r="R54" s="101">
        <v>30.63</v>
      </c>
      <c r="S54" s="101">
        <v>28.54</v>
      </c>
      <c r="T54" s="101">
        <v>24.36</v>
      </c>
      <c r="U54" s="101">
        <v>23.12</v>
      </c>
      <c r="V54" s="101">
        <v>20.399999999999999</v>
      </c>
      <c r="W54" s="101">
        <v>28.2</v>
      </c>
      <c r="X54" s="101">
        <v>29.4</v>
      </c>
      <c r="Y54" s="101">
        <v>30.4</v>
      </c>
      <c r="Z54" s="120">
        <v>30.4</v>
      </c>
    </row>
    <row r="55" spans="14:26" ht="15.75" thickBot="1" x14ac:dyDescent="0.3">
      <c r="N55" s="89" t="s">
        <v>32</v>
      </c>
      <c r="O55" s="103">
        <f t="shared" ref="O55:P55" si="35">O54/O49</f>
        <v>8.9191090269636586</v>
      </c>
      <c r="P55" s="103">
        <f t="shared" si="35"/>
        <v>8.4653349001175098</v>
      </c>
      <c r="Q55" s="103">
        <f t="shared" ref="Q55:R55" si="36">Q54/Q49</f>
        <v>7.8495887191539362</v>
      </c>
      <c r="R55" s="103">
        <f t="shared" si="36"/>
        <v>7.1867667761614271</v>
      </c>
      <c r="S55" s="103">
        <f t="shared" ref="S55:T55" si="37">S54/S49</f>
        <v>6.6822758136267852</v>
      </c>
      <c r="T55" s="103">
        <f t="shared" si="37"/>
        <v>5.7062543921293036</v>
      </c>
      <c r="U55" s="103">
        <f t="shared" ref="U55:V55" si="38">U54/U49</f>
        <v>5.4018691588785046</v>
      </c>
      <c r="V55" s="103">
        <f t="shared" si="38"/>
        <v>4.7641289117234935</v>
      </c>
      <c r="W55" s="103">
        <f t="shared" ref="W55:X55" si="39">W54/W49</f>
        <v>6.5749591979482398</v>
      </c>
      <c r="X55" s="103">
        <f t="shared" si="39"/>
        <v>6.8451688009313152</v>
      </c>
      <c r="Y55" s="103">
        <f t="shared" ref="Y55:Z55" si="40">Y54/Y49</f>
        <v>7.0763500931098688</v>
      </c>
      <c r="Z55" s="121">
        <f t="shared" si="40"/>
        <v>7.0763500931098688</v>
      </c>
    </row>
    <row r="56" spans="14:26" x14ac:dyDescent="0.25">
      <c r="N56" s="87" t="s">
        <v>18</v>
      </c>
      <c r="O56" s="101">
        <v>21.67</v>
      </c>
      <c r="P56" s="101">
        <v>20.18</v>
      </c>
      <c r="Q56" s="101">
        <v>20.18</v>
      </c>
      <c r="R56" s="101">
        <v>19.05</v>
      </c>
      <c r="S56" s="101">
        <v>19.8</v>
      </c>
      <c r="T56" s="101">
        <v>20.295000000000002</v>
      </c>
      <c r="U56" s="101">
        <v>20.68</v>
      </c>
      <c r="V56" s="101">
        <v>21.1</v>
      </c>
      <c r="W56" s="101">
        <v>19.8</v>
      </c>
      <c r="X56" s="101">
        <v>19.2</v>
      </c>
      <c r="Y56" s="101">
        <v>20.3</v>
      </c>
      <c r="Z56" s="120">
        <v>20.3</v>
      </c>
    </row>
    <row r="57" spans="14:26" ht="15.75" thickBot="1" x14ac:dyDescent="0.3">
      <c r="N57" s="89" t="s">
        <v>27</v>
      </c>
      <c r="O57" s="103">
        <f t="shared" ref="O57:P57" si="41">O56/O49</f>
        <v>5.0808909730363432</v>
      </c>
      <c r="P57" s="103">
        <f t="shared" si="41"/>
        <v>4.7426556991774387</v>
      </c>
      <c r="Q57" s="103">
        <f t="shared" ref="Q57:R57" si="42">Q56/Q49</f>
        <v>4.7426556991774387</v>
      </c>
      <c r="R57" s="103">
        <f t="shared" si="42"/>
        <v>4.4697325199436886</v>
      </c>
      <c r="S57" s="103">
        <f t="shared" ref="S57:T57" si="43">S56/S49</f>
        <v>4.6359166471552333</v>
      </c>
      <c r="T57" s="103">
        <f t="shared" si="43"/>
        <v>4.7540407589599436</v>
      </c>
      <c r="U57" s="103">
        <f t="shared" ref="U57:V57" si="44">U56/U49</f>
        <v>4.8317757009345792</v>
      </c>
      <c r="V57" s="103">
        <f t="shared" si="44"/>
        <v>4.9276039234002802</v>
      </c>
      <c r="W57" s="103">
        <f t="shared" ref="W57:X57" si="45">W56/W49</f>
        <v>4.6164607134530202</v>
      </c>
      <c r="X57" s="103">
        <f t="shared" si="45"/>
        <v>4.4703143189755528</v>
      </c>
      <c r="Y57" s="103">
        <f t="shared" ref="Y57:Z57" si="46">Y56/Y49</f>
        <v>4.7253258845437616</v>
      </c>
      <c r="Z57" s="121">
        <f t="shared" si="46"/>
        <v>4.7253258845437616</v>
      </c>
    </row>
    <row r="58" spans="14:26" x14ac:dyDescent="0.25">
      <c r="N58" s="87" t="s">
        <v>87</v>
      </c>
      <c r="O58" s="102">
        <f>1.368*N59</f>
        <v>27.360000000000003</v>
      </c>
      <c r="P58" s="102">
        <f>2.316*N59</f>
        <v>46.319999999999993</v>
      </c>
      <c r="Q58" s="102">
        <f>1.88*N59</f>
        <v>37.599999999999994</v>
      </c>
      <c r="R58" s="102">
        <f>0.87*N59</f>
        <v>17.399999999999999</v>
      </c>
      <c r="S58" s="102">
        <f>1.678*N59</f>
        <v>33.56</v>
      </c>
      <c r="T58" s="102">
        <f>2.607*N59</f>
        <v>52.14</v>
      </c>
      <c r="U58" s="102">
        <f>2.593*N59</f>
        <v>51.86</v>
      </c>
      <c r="V58" s="102">
        <f>2.04*N59</f>
        <v>40.799999999999997</v>
      </c>
      <c r="W58" s="102">
        <f>2.77*N59</f>
        <v>55.4</v>
      </c>
      <c r="X58" s="102">
        <f>1.78*N59</f>
        <v>35.6</v>
      </c>
      <c r="Y58" s="102">
        <f>1.78*$N$59</f>
        <v>35.6</v>
      </c>
      <c r="Z58" s="122">
        <f>1.78*$N$59</f>
        <v>35.6</v>
      </c>
    </row>
    <row r="59" spans="14:26" ht="15.75" thickBot="1" x14ac:dyDescent="0.3">
      <c r="N59" s="89">
        <v>20</v>
      </c>
      <c r="O59" s="104">
        <f t="shared" ref="O59:P59" si="47">O58/O49</f>
        <v>6.4150058616647136</v>
      </c>
      <c r="P59" s="104">
        <f t="shared" si="47"/>
        <v>10.886016451233841</v>
      </c>
      <c r="Q59" s="104">
        <f t="shared" ref="Q59:R59" si="48">Q58/Q49</f>
        <v>8.8366627497062264</v>
      </c>
      <c r="R59" s="104">
        <f t="shared" si="48"/>
        <v>4.0825903331769124</v>
      </c>
      <c r="S59" s="104">
        <f t="shared" ref="S59:T59" si="49">S58/S49</f>
        <v>7.8576445797237184</v>
      </c>
      <c r="T59" s="104">
        <f t="shared" si="49"/>
        <v>12.213633169360506</v>
      </c>
      <c r="U59" s="104">
        <f t="shared" ref="U59:V59" si="50">U58/U49</f>
        <v>12.116822429906541</v>
      </c>
      <c r="V59" s="104">
        <f t="shared" si="50"/>
        <v>9.528257823446987</v>
      </c>
      <c r="W59" s="104">
        <f t="shared" ref="W59:X59" si="51">W58/W49</f>
        <v>12.916763814408954</v>
      </c>
      <c r="X59" s="104">
        <f t="shared" si="51"/>
        <v>8.2887077997671721</v>
      </c>
      <c r="Y59" s="104">
        <f t="shared" ref="Y59:Z59" si="52">Y58/Y49</f>
        <v>8.2867783985102417</v>
      </c>
      <c r="Z59" s="123">
        <f t="shared" si="52"/>
        <v>8.2867783985102417</v>
      </c>
    </row>
    <row r="65" spans="14:26" ht="15.75" thickBot="1" x14ac:dyDescent="0.3"/>
    <row r="66" spans="14:26" ht="15.75" thickBot="1" x14ac:dyDescent="0.3">
      <c r="N66" s="133" t="s">
        <v>79</v>
      </c>
      <c r="O66" s="134"/>
      <c r="P66" s="134"/>
      <c r="Q66" s="134"/>
      <c r="R66" s="134"/>
      <c r="S66" s="135"/>
      <c r="T66" s="139" t="s">
        <v>81</v>
      </c>
      <c r="U66" s="137"/>
      <c r="V66" s="137"/>
      <c r="W66" s="137"/>
      <c r="X66" s="137"/>
      <c r="Y66" s="137"/>
      <c r="Z66" s="138"/>
    </row>
    <row r="67" spans="14:26" ht="15.75" thickBot="1" x14ac:dyDescent="0.3">
      <c r="N67" s="69"/>
      <c r="O67" s="74" t="s">
        <v>40</v>
      </c>
      <c r="P67" s="74" t="s">
        <v>39</v>
      </c>
      <c r="Q67" s="74" t="s">
        <v>38</v>
      </c>
      <c r="R67" s="74" t="s">
        <v>37</v>
      </c>
      <c r="S67" s="74" t="s">
        <v>36</v>
      </c>
      <c r="T67" s="74" t="s">
        <v>35</v>
      </c>
      <c r="U67" s="74" t="s">
        <v>34</v>
      </c>
      <c r="V67" s="74" t="s">
        <v>33</v>
      </c>
      <c r="W67" s="74" t="s">
        <v>24</v>
      </c>
      <c r="X67" s="74" t="s">
        <v>25</v>
      </c>
      <c r="Y67" s="74" t="s">
        <v>26</v>
      </c>
      <c r="Z67" s="74" t="s">
        <v>23</v>
      </c>
    </row>
    <row r="68" spans="14:26" x14ac:dyDescent="0.25">
      <c r="N68" s="61" t="s">
        <v>16</v>
      </c>
      <c r="O68" s="65">
        <v>151.65</v>
      </c>
      <c r="P68" s="65">
        <v>151.27000000000001</v>
      </c>
      <c r="Q68" s="65">
        <v>163.19</v>
      </c>
      <c r="R68" s="65">
        <v>176.95</v>
      </c>
      <c r="S68" s="65">
        <v>166.49</v>
      </c>
      <c r="T68" s="65">
        <v>251.65</v>
      </c>
      <c r="U68" s="65">
        <v>256.39999999999998</v>
      </c>
      <c r="V68" s="65">
        <v>272.68</v>
      </c>
      <c r="W68" s="65">
        <v>261.89999999999998</v>
      </c>
      <c r="X68" s="65">
        <v>208.15</v>
      </c>
      <c r="Y68" s="65">
        <v>202.33</v>
      </c>
      <c r="Z68" s="115">
        <v>187.69</v>
      </c>
    </row>
    <row r="69" spans="14:26" ht="15.75" thickBot="1" x14ac:dyDescent="0.3">
      <c r="N69" s="62" t="s">
        <v>15</v>
      </c>
      <c r="O69" s="64">
        <v>130.63</v>
      </c>
      <c r="P69" s="64">
        <v>128.19</v>
      </c>
      <c r="Q69" s="64">
        <v>136.41999999999999</v>
      </c>
      <c r="R69" s="64">
        <v>145.02000000000001</v>
      </c>
      <c r="S69" s="64">
        <v>148.83000000000001</v>
      </c>
      <c r="T69" s="64">
        <v>149.91999999999999</v>
      </c>
      <c r="U69" s="64">
        <v>206</v>
      </c>
      <c r="V69" s="64">
        <v>220.68</v>
      </c>
      <c r="W69" s="64">
        <v>158.16999999999999</v>
      </c>
      <c r="X69" s="64">
        <v>177.5</v>
      </c>
      <c r="Y69" s="64">
        <v>169.6</v>
      </c>
      <c r="Z69" s="116">
        <v>151.9</v>
      </c>
    </row>
    <row r="70" spans="14:26" ht="15.75" thickBot="1" x14ac:dyDescent="0.3">
      <c r="N70" s="69" t="s">
        <v>80</v>
      </c>
      <c r="O70" s="106">
        <v>23.7</v>
      </c>
      <c r="P70" s="106">
        <v>23.7</v>
      </c>
      <c r="Q70" s="106">
        <v>23.7</v>
      </c>
      <c r="R70" s="106">
        <v>23.7</v>
      </c>
      <c r="S70" s="106">
        <v>23.7</v>
      </c>
      <c r="T70" s="106">
        <v>23.7</v>
      </c>
      <c r="U70" s="106">
        <v>23.7</v>
      </c>
      <c r="V70" s="106">
        <v>23.67</v>
      </c>
      <c r="W70" s="106">
        <v>23.67</v>
      </c>
      <c r="X70" s="106">
        <v>23.67</v>
      </c>
      <c r="Y70" s="105">
        <v>23.67</v>
      </c>
      <c r="Z70" s="105">
        <v>23.67</v>
      </c>
    </row>
    <row r="71" spans="14:26" x14ac:dyDescent="0.25">
      <c r="N71" s="87" t="s">
        <v>19</v>
      </c>
      <c r="O71" s="88">
        <v>6154</v>
      </c>
      <c r="P71" s="88">
        <v>6437</v>
      </c>
      <c r="Q71" s="88">
        <v>6609</v>
      </c>
      <c r="R71" s="88">
        <v>7034</v>
      </c>
      <c r="S71" s="88">
        <v>7089</v>
      </c>
      <c r="T71" s="88">
        <v>7199</v>
      </c>
      <c r="U71" s="88">
        <v>6956</v>
      </c>
      <c r="V71" s="88">
        <v>7226</v>
      </c>
      <c r="W71" s="88">
        <v>7791</v>
      </c>
      <c r="X71" s="88">
        <v>7749</v>
      </c>
      <c r="Y71" s="107">
        <v>7749</v>
      </c>
      <c r="Z71" s="108">
        <v>7749</v>
      </c>
    </row>
    <row r="72" spans="14:26" ht="15.75" thickBot="1" x14ac:dyDescent="0.3">
      <c r="N72" s="89" t="s">
        <v>22</v>
      </c>
      <c r="O72" s="90">
        <f t="shared" ref="O72:X72" si="53">O71/O70</f>
        <v>259.66244725738397</v>
      </c>
      <c r="P72" s="90">
        <f t="shared" si="53"/>
        <v>271.60337552742618</v>
      </c>
      <c r="Q72" s="90">
        <f t="shared" si="53"/>
        <v>278.86075949367091</v>
      </c>
      <c r="R72" s="90">
        <f t="shared" si="53"/>
        <v>296.7932489451477</v>
      </c>
      <c r="S72" s="90">
        <f t="shared" si="53"/>
        <v>299.11392405063293</v>
      </c>
      <c r="T72" s="90">
        <f t="shared" si="53"/>
        <v>303.7552742616034</v>
      </c>
      <c r="U72" s="90">
        <f>U71/U70</f>
        <v>293.50210970464138</v>
      </c>
      <c r="V72" s="90">
        <f t="shared" si="53"/>
        <v>305.28094634558511</v>
      </c>
      <c r="W72" s="90">
        <f t="shared" si="53"/>
        <v>329.15082382762989</v>
      </c>
      <c r="X72" s="90">
        <f t="shared" si="53"/>
        <v>327.37642585551328</v>
      </c>
      <c r="Y72" s="109">
        <f t="shared" ref="Y72:Z72" si="54">Y71/Y70</f>
        <v>327.37642585551328</v>
      </c>
      <c r="Z72" s="110">
        <f t="shared" si="54"/>
        <v>327.37642585551328</v>
      </c>
    </row>
    <row r="73" spans="14:26" x14ac:dyDescent="0.25">
      <c r="N73" s="87" t="s">
        <v>29</v>
      </c>
      <c r="O73" s="88">
        <v>2260</v>
      </c>
      <c r="P73" s="88">
        <v>2507</v>
      </c>
      <c r="Q73" s="88">
        <v>2492</v>
      </c>
      <c r="R73" s="88">
        <v>2473</v>
      </c>
      <c r="S73" s="88">
        <v>2371</v>
      </c>
      <c r="T73" s="88">
        <v>2447</v>
      </c>
      <c r="U73" s="88">
        <v>2114</v>
      </c>
      <c r="V73" s="88">
        <v>2527</v>
      </c>
      <c r="W73" s="88">
        <v>2349</v>
      </c>
      <c r="X73" s="88">
        <v>2367</v>
      </c>
      <c r="Y73" s="107">
        <v>2367</v>
      </c>
      <c r="Z73" s="108">
        <v>2367</v>
      </c>
    </row>
    <row r="74" spans="14:26" ht="15.75" thickBot="1" x14ac:dyDescent="0.3">
      <c r="N74" s="89" t="s">
        <v>31</v>
      </c>
      <c r="O74" s="90">
        <f t="shared" ref="O74:X74" si="55">O73/O70</f>
        <v>95.358649789029542</v>
      </c>
      <c r="P74" s="90">
        <f t="shared" si="55"/>
        <v>105.78059071729957</v>
      </c>
      <c r="Q74" s="90">
        <f t="shared" si="55"/>
        <v>105.14767932489451</v>
      </c>
      <c r="R74" s="90">
        <f t="shared" si="55"/>
        <v>104.34599156118144</v>
      </c>
      <c r="S74" s="90">
        <f t="shared" si="55"/>
        <v>100.042194092827</v>
      </c>
      <c r="T74" s="90">
        <f t="shared" si="55"/>
        <v>103.24894514767932</v>
      </c>
      <c r="U74" s="90">
        <f t="shared" si="55"/>
        <v>89.198312236286924</v>
      </c>
      <c r="V74" s="90">
        <f t="shared" si="55"/>
        <v>106.75961132234896</v>
      </c>
      <c r="W74" s="90">
        <f t="shared" si="55"/>
        <v>99.239543726235738</v>
      </c>
      <c r="X74" s="90">
        <f t="shared" si="55"/>
        <v>99.999999999999986</v>
      </c>
      <c r="Y74" s="109">
        <f t="shared" ref="Y74:Z74" si="56">Y73/Y70</f>
        <v>99.999999999999986</v>
      </c>
      <c r="Z74" s="110">
        <f t="shared" si="56"/>
        <v>99.999999999999986</v>
      </c>
    </row>
    <row r="75" spans="14:26" x14ac:dyDescent="0.25">
      <c r="N75" s="87" t="s">
        <v>30</v>
      </c>
      <c r="O75" s="88">
        <v>3591</v>
      </c>
      <c r="P75" s="88">
        <v>3589</v>
      </c>
      <c r="Q75" s="88">
        <v>3827</v>
      </c>
      <c r="R75" s="88">
        <v>4212</v>
      </c>
      <c r="S75" s="88">
        <v>4171</v>
      </c>
      <c r="T75" s="88">
        <v>3961</v>
      </c>
      <c r="U75" s="88">
        <v>3697</v>
      </c>
      <c r="V75" s="88">
        <v>3828</v>
      </c>
      <c r="W75" s="88">
        <v>3802</v>
      </c>
      <c r="X75" s="88">
        <v>3511</v>
      </c>
      <c r="Y75" s="107">
        <v>3511</v>
      </c>
      <c r="Z75" s="108">
        <v>3511</v>
      </c>
    </row>
    <row r="76" spans="14:26" ht="15.75" thickBot="1" x14ac:dyDescent="0.3">
      <c r="N76" s="89" t="s">
        <v>32</v>
      </c>
      <c r="O76" s="90">
        <f t="shared" ref="O76:X76" si="57">O75/O70</f>
        <v>151.51898734177215</v>
      </c>
      <c r="P76" s="90">
        <f t="shared" si="57"/>
        <v>151.43459915611814</v>
      </c>
      <c r="Q76" s="90">
        <f t="shared" si="57"/>
        <v>161.47679324894514</v>
      </c>
      <c r="R76" s="90">
        <f t="shared" si="57"/>
        <v>177.72151898734177</v>
      </c>
      <c r="S76" s="90">
        <f>S75/S70</f>
        <v>175.99156118143461</v>
      </c>
      <c r="T76" s="90">
        <f t="shared" si="57"/>
        <v>167.13080168776372</v>
      </c>
      <c r="U76" s="90">
        <f t="shared" si="57"/>
        <v>155.99156118143461</v>
      </c>
      <c r="V76" s="90">
        <f t="shared" si="57"/>
        <v>161.72370088719899</v>
      </c>
      <c r="W76" s="90">
        <f t="shared" si="57"/>
        <v>160.62526404731727</v>
      </c>
      <c r="X76" s="90">
        <f t="shared" si="57"/>
        <v>148.3312209547951</v>
      </c>
      <c r="Y76" s="109">
        <f t="shared" ref="Y76:Z76" si="58">Y75/Y70</f>
        <v>148.3312209547951</v>
      </c>
      <c r="Z76" s="110">
        <f t="shared" si="58"/>
        <v>148.3312209547951</v>
      </c>
    </row>
    <row r="77" spans="14:26" x14ac:dyDescent="0.25">
      <c r="N77" s="87" t="s">
        <v>18</v>
      </c>
      <c r="O77" s="88">
        <v>12431</v>
      </c>
      <c r="P77" s="88">
        <v>12682</v>
      </c>
      <c r="Q77" s="88">
        <v>13325</v>
      </c>
      <c r="R77" s="88">
        <v>13776</v>
      </c>
      <c r="S77" s="88">
        <v>14145</v>
      </c>
      <c r="T77" s="88">
        <v>14082</v>
      </c>
      <c r="U77" s="88">
        <v>14427</v>
      </c>
      <c r="V77" s="88">
        <v>14615</v>
      </c>
      <c r="W77" s="88">
        <v>14687</v>
      </c>
      <c r="X77" s="88">
        <v>14309</v>
      </c>
      <c r="Y77" s="107">
        <v>14309</v>
      </c>
      <c r="Z77" s="108">
        <v>14309</v>
      </c>
    </row>
    <row r="78" spans="14:26" ht="15.75" thickBot="1" x14ac:dyDescent="0.3">
      <c r="N78" s="89" t="s">
        <v>27</v>
      </c>
      <c r="O78" s="90">
        <f t="shared" ref="O78:X78" si="59">O77/O70</f>
        <v>524.51476793248946</v>
      </c>
      <c r="P78" s="90">
        <f t="shared" si="59"/>
        <v>535.10548523206751</v>
      </c>
      <c r="Q78" s="90">
        <f t="shared" si="59"/>
        <v>562.23628691983129</v>
      </c>
      <c r="R78" s="90">
        <f t="shared" si="59"/>
        <v>581.2658227848101</v>
      </c>
      <c r="S78" s="90">
        <f t="shared" si="59"/>
        <v>596.83544303797476</v>
      </c>
      <c r="T78" s="90">
        <f t="shared" si="59"/>
        <v>594.17721518987344</v>
      </c>
      <c r="U78" s="90">
        <f t="shared" si="59"/>
        <v>608.7341772151899</v>
      </c>
      <c r="V78" s="90">
        <f t="shared" si="59"/>
        <v>617.44824672581319</v>
      </c>
      <c r="W78" s="90">
        <f t="shared" si="59"/>
        <v>620.4900718208703</v>
      </c>
      <c r="X78" s="90">
        <f t="shared" si="59"/>
        <v>604.52049007182086</v>
      </c>
      <c r="Y78" s="109">
        <f t="shared" ref="Y78:Z78" si="60">Y77/Y70</f>
        <v>604.52049007182086</v>
      </c>
      <c r="Z78" s="110">
        <f t="shared" si="60"/>
        <v>604.52049007182086</v>
      </c>
    </row>
    <row r="79" spans="14:26" x14ac:dyDescent="0.25">
      <c r="N79" s="87" t="s">
        <v>87</v>
      </c>
      <c r="O79" s="91">
        <f>392*N80</f>
        <v>7840</v>
      </c>
      <c r="P79" s="91">
        <f>271*N80</f>
        <v>5420</v>
      </c>
      <c r="Q79" s="91">
        <f>400*N80</f>
        <v>8000</v>
      </c>
      <c r="R79" s="91">
        <f>1528/4*N80</f>
        <v>7640</v>
      </c>
      <c r="S79" s="91">
        <f>559*N80</f>
        <v>11180</v>
      </c>
      <c r="T79" s="91">
        <f>319*N80</f>
        <v>6380</v>
      </c>
      <c r="U79" s="91">
        <f>228*N80</f>
        <v>4560</v>
      </c>
      <c r="V79" s="91">
        <f>1269/4*N80</f>
        <v>6345</v>
      </c>
      <c r="W79" s="91">
        <f>-108*N80</f>
        <v>-2160</v>
      </c>
      <c r="X79" s="91">
        <f>153*N80</f>
        <v>3060</v>
      </c>
      <c r="Y79" s="111">
        <f>153*N80</f>
        <v>3060</v>
      </c>
      <c r="Z79" s="112">
        <f>153*N80</f>
        <v>3060</v>
      </c>
    </row>
    <row r="80" spans="14:26" ht="15.75" thickBot="1" x14ac:dyDescent="0.3">
      <c r="N80" s="89">
        <v>20</v>
      </c>
      <c r="O80" s="92">
        <f t="shared" ref="O80:X80" si="61">O79/O70</f>
        <v>330.80168776371306</v>
      </c>
      <c r="P80" s="92">
        <f t="shared" si="61"/>
        <v>228.69198312236287</v>
      </c>
      <c r="Q80" s="92">
        <f t="shared" si="61"/>
        <v>337.55274261603375</v>
      </c>
      <c r="R80" s="92">
        <f t="shared" si="61"/>
        <v>322.36286919831224</v>
      </c>
      <c r="S80" s="92">
        <f t="shared" si="61"/>
        <v>471.72995780590719</v>
      </c>
      <c r="T80" s="92">
        <f t="shared" si="61"/>
        <v>269.19831223628694</v>
      </c>
      <c r="U80" s="92">
        <f t="shared" si="61"/>
        <v>192.40506329113924</v>
      </c>
      <c r="V80" s="92">
        <f t="shared" si="61"/>
        <v>268.06083650190112</v>
      </c>
      <c r="W80" s="92">
        <f t="shared" si="61"/>
        <v>-91.254752851711018</v>
      </c>
      <c r="X80" s="92">
        <f t="shared" si="61"/>
        <v>129.27756653992395</v>
      </c>
      <c r="Y80" s="113">
        <f t="shared" ref="Y80:Z80" si="62">Y79/Y70</f>
        <v>129.27756653992395</v>
      </c>
      <c r="Z80" s="114">
        <f t="shared" si="62"/>
        <v>129.27756653992395</v>
      </c>
    </row>
    <row r="87" spans="14:26" ht="15.75" thickBot="1" x14ac:dyDescent="0.3"/>
    <row r="88" spans="14:26" ht="15.75" thickBot="1" x14ac:dyDescent="0.3">
      <c r="N88" s="139" t="s">
        <v>84</v>
      </c>
      <c r="O88" s="134"/>
      <c r="P88" s="134"/>
      <c r="Q88" s="134"/>
      <c r="R88" s="134"/>
      <c r="S88" s="135"/>
      <c r="T88" s="143" t="s">
        <v>85</v>
      </c>
      <c r="U88" s="144"/>
      <c r="V88" s="144"/>
      <c r="W88" s="144"/>
      <c r="X88" s="144"/>
      <c r="Y88" s="144"/>
      <c r="Z88" s="145"/>
    </row>
    <row r="89" spans="14:26" ht="15.75" thickBot="1" x14ac:dyDescent="0.3">
      <c r="N89" s="69"/>
      <c r="O89" s="74" t="s">
        <v>40</v>
      </c>
      <c r="P89" s="74" t="s">
        <v>39</v>
      </c>
      <c r="Q89" s="74" t="s">
        <v>38</v>
      </c>
      <c r="R89" s="74" t="s">
        <v>37</v>
      </c>
      <c r="S89" s="74" t="s">
        <v>36</v>
      </c>
      <c r="T89" s="74" t="s">
        <v>35</v>
      </c>
      <c r="U89" s="74" t="s">
        <v>34</v>
      </c>
      <c r="V89" s="74" t="s">
        <v>33</v>
      </c>
      <c r="W89" s="74" t="s">
        <v>24</v>
      </c>
      <c r="X89" s="74" t="s">
        <v>25</v>
      </c>
      <c r="Y89" s="74" t="s">
        <v>26</v>
      </c>
      <c r="Z89" s="74" t="s">
        <v>23</v>
      </c>
    </row>
    <row r="90" spans="14:26" x14ac:dyDescent="0.25">
      <c r="N90" s="61" t="s">
        <v>16</v>
      </c>
      <c r="O90" s="82">
        <v>31.04</v>
      </c>
      <c r="P90" s="82">
        <v>41.33</v>
      </c>
      <c r="Q90" s="82">
        <v>41.99</v>
      </c>
      <c r="R90" s="82">
        <v>38.35</v>
      </c>
      <c r="S90" s="82">
        <v>31.98</v>
      </c>
      <c r="T90" s="82">
        <v>26.33</v>
      </c>
      <c r="U90" s="82">
        <v>23.4</v>
      </c>
      <c r="V90" s="82">
        <v>17.05</v>
      </c>
      <c r="W90" s="82">
        <v>18.57</v>
      </c>
      <c r="X90" s="82">
        <v>10.45</v>
      </c>
      <c r="Y90" s="82">
        <v>7.98</v>
      </c>
      <c r="Z90" s="129">
        <v>11.4</v>
      </c>
    </row>
    <row r="91" spans="14:26" ht="15.75" thickBot="1" x14ac:dyDescent="0.3">
      <c r="N91" s="62" t="s">
        <v>15</v>
      </c>
      <c r="O91" s="83">
        <v>22.47</v>
      </c>
      <c r="P91" s="83">
        <v>27.94</v>
      </c>
      <c r="Q91" s="83">
        <v>34.049999999999997</v>
      </c>
      <c r="R91" s="83">
        <v>27.74</v>
      </c>
      <c r="S91" s="83">
        <v>22.73</v>
      </c>
      <c r="T91" s="83">
        <v>20.02</v>
      </c>
      <c r="U91" s="83">
        <v>14.2</v>
      </c>
      <c r="V91" s="83">
        <v>14.11</v>
      </c>
      <c r="W91" s="83">
        <v>4.7300000000000004</v>
      </c>
      <c r="X91" s="83">
        <v>4.38</v>
      </c>
      <c r="Y91" s="83">
        <v>5.6</v>
      </c>
      <c r="Z91" s="130">
        <v>5.57</v>
      </c>
    </row>
    <row r="92" spans="14:26" ht="15.75" thickBot="1" x14ac:dyDescent="0.3">
      <c r="N92" s="69" t="s">
        <v>88</v>
      </c>
      <c r="O92" s="106">
        <v>306.37</v>
      </c>
      <c r="P92" s="106">
        <v>306.97000000000003</v>
      </c>
      <c r="Q92" s="106">
        <v>307.45999999999998</v>
      </c>
      <c r="R92" s="106">
        <v>307.8</v>
      </c>
      <c r="S92" s="106">
        <v>308.87</v>
      </c>
      <c r="T92" s="106">
        <v>308.91000000000003</v>
      </c>
      <c r="U92" s="106">
        <v>308.95999999999998</v>
      </c>
      <c r="V92" s="106">
        <v>309.64</v>
      </c>
      <c r="W92" s="106">
        <v>310.24</v>
      </c>
      <c r="X92" s="106">
        <v>310.25</v>
      </c>
      <c r="Y92" s="106">
        <v>310.25</v>
      </c>
      <c r="Z92" s="105">
        <v>310.25</v>
      </c>
    </row>
    <row r="93" spans="14:26" x14ac:dyDescent="0.25">
      <c r="N93" s="87" t="s">
        <v>19</v>
      </c>
      <c r="O93" s="88">
        <f>19568-5801</f>
        <v>13767</v>
      </c>
      <c r="P93" s="88">
        <f>18668-5894</f>
        <v>12774</v>
      </c>
      <c r="Q93" s="88">
        <f>20361-5645</f>
        <v>14716</v>
      </c>
      <c r="R93" s="88">
        <f>19194-6436</f>
        <v>12758</v>
      </c>
      <c r="S93" s="88">
        <f>21296-6323</f>
        <v>14973</v>
      </c>
      <c r="T93" s="88">
        <f>20741-6315</f>
        <v>14426</v>
      </c>
      <c r="U93" s="88">
        <f>22547-6057</f>
        <v>16490</v>
      </c>
      <c r="V93" s="88">
        <f>21172-6377</f>
        <v>14795</v>
      </c>
      <c r="W93" s="88">
        <f>18581-2697</f>
        <v>15884</v>
      </c>
      <c r="X93" s="88">
        <f>17614-2324</f>
        <v>15290</v>
      </c>
      <c r="Y93" s="88">
        <f>19214-2243</f>
        <v>16971</v>
      </c>
      <c r="Z93" s="108">
        <f>19214-2243</f>
        <v>16971</v>
      </c>
    </row>
    <row r="94" spans="14:26" ht="15.75" thickBot="1" x14ac:dyDescent="0.3">
      <c r="N94" s="89" t="s">
        <v>22</v>
      </c>
      <c r="O94" s="90">
        <f t="shared" ref="O94:P94" si="63">O93/O92</f>
        <v>44.935861866370729</v>
      </c>
      <c r="P94" s="90">
        <f t="shared" si="63"/>
        <v>41.613186956380098</v>
      </c>
      <c r="Q94" s="90">
        <f t="shared" ref="Q94:R94" si="64">Q93/Q92</f>
        <v>47.863136668184481</v>
      </c>
      <c r="R94" s="90">
        <f t="shared" si="64"/>
        <v>41.448992852501625</v>
      </c>
      <c r="S94" s="90">
        <f t="shared" ref="S94:T94" si="65">S93/S92</f>
        <v>48.47670541004306</v>
      </c>
      <c r="T94" s="90">
        <f t="shared" si="65"/>
        <v>46.699685992683946</v>
      </c>
      <c r="U94" s="90">
        <f t="shared" ref="U94:V94" si="66">U93/U92</f>
        <v>53.372604867944077</v>
      </c>
      <c r="V94" s="90">
        <f t="shared" si="66"/>
        <v>47.78129440640744</v>
      </c>
      <c r="W94" s="90">
        <f t="shared" ref="W94:X94" si="67">W93/W92</f>
        <v>51.199071686436305</v>
      </c>
      <c r="X94" s="90">
        <f t="shared" si="67"/>
        <v>49.282836422240131</v>
      </c>
      <c r="Y94" s="90">
        <f t="shared" ref="Y94" si="68">Y93/Y92</f>
        <v>54.701047542304593</v>
      </c>
      <c r="Z94" s="110">
        <f t="shared" ref="Z94" si="69">Z93/Z92</f>
        <v>54.701047542304593</v>
      </c>
    </row>
    <row r="95" spans="14:26" x14ac:dyDescent="0.25">
      <c r="N95" s="87" t="s">
        <v>29</v>
      </c>
      <c r="O95" s="88">
        <v>5077</v>
      </c>
      <c r="P95" s="88">
        <v>4481</v>
      </c>
      <c r="Q95" s="88">
        <v>6444</v>
      </c>
      <c r="R95" s="88">
        <v>5232</v>
      </c>
      <c r="S95" s="88">
        <v>5019</v>
      </c>
      <c r="T95" s="88">
        <v>4439</v>
      </c>
      <c r="U95" s="88">
        <v>6479</v>
      </c>
      <c r="V95" s="88">
        <v>5750</v>
      </c>
      <c r="W95" s="88">
        <v>5772</v>
      </c>
      <c r="X95" s="88">
        <v>4854</v>
      </c>
      <c r="Y95" s="88">
        <v>6651</v>
      </c>
      <c r="Z95" s="108">
        <v>6651</v>
      </c>
    </row>
    <row r="96" spans="14:26" ht="15.75" thickBot="1" x14ac:dyDescent="0.3">
      <c r="N96" s="89" t="s">
        <v>31</v>
      </c>
      <c r="O96" s="90">
        <f t="shared" ref="O96:P96" si="70">O95/O92</f>
        <v>16.571465874596075</v>
      </c>
      <c r="P96" s="90">
        <f t="shared" si="70"/>
        <v>14.597517672736748</v>
      </c>
      <c r="Q96" s="90">
        <f t="shared" ref="Q96:R96" si="71">Q95/Q92</f>
        <v>20.958823912053603</v>
      </c>
      <c r="R96" s="90">
        <f t="shared" si="71"/>
        <v>16.998050682261209</v>
      </c>
      <c r="S96" s="90">
        <f t="shared" ref="S96:T96" si="72">S95/S92</f>
        <v>16.249554828892414</v>
      </c>
      <c r="T96" s="90">
        <f t="shared" si="72"/>
        <v>14.369881195170112</v>
      </c>
      <c r="U96" s="90">
        <f t="shared" ref="U96:V96" si="73">U95/U92</f>
        <v>20.970352149145523</v>
      </c>
      <c r="V96" s="90">
        <f t="shared" si="73"/>
        <v>18.569952202557811</v>
      </c>
      <c r="W96" s="90">
        <f t="shared" ref="W96:X96" si="74">W95/W92</f>
        <v>18.604951005673026</v>
      </c>
      <c r="X96" s="90">
        <f t="shared" si="74"/>
        <v>15.645447219983884</v>
      </c>
      <c r="Y96" s="90">
        <f t="shared" ref="Y96" si="75">Y95/Y92</f>
        <v>21.437550362610796</v>
      </c>
      <c r="Z96" s="110">
        <f t="shared" ref="Z96" si="76">Z95/Z92</f>
        <v>21.437550362610796</v>
      </c>
    </row>
    <row r="97" spans="14:26" x14ac:dyDescent="0.25">
      <c r="N97" s="87" t="s">
        <v>30</v>
      </c>
      <c r="O97" s="88">
        <v>7710</v>
      </c>
      <c r="P97" s="88">
        <v>6865</v>
      </c>
      <c r="Q97" s="88">
        <v>8667</v>
      </c>
      <c r="R97" s="88">
        <v>7445</v>
      </c>
      <c r="S97" s="88">
        <v>7105</v>
      </c>
      <c r="T97" s="88">
        <v>6546</v>
      </c>
      <c r="U97" s="88">
        <v>8301</v>
      </c>
      <c r="V97" s="88">
        <v>6810</v>
      </c>
      <c r="W97" s="88">
        <v>7135</v>
      </c>
      <c r="X97" s="88">
        <v>5631</v>
      </c>
      <c r="Y97" s="88">
        <v>7357</v>
      </c>
      <c r="Z97" s="108">
        <v>7357</v>
      </c>
    </row>
    <row r="98" spans="14:26" ht="15.75" thickBot="1" x14ac:dyDescent="0.3">
      <c r="N98" s="89" t="s">
        <v>32</v>
      </c>
      <c r="O98" s="90">
        <f t="shared" ref="O98:P98" si="77">O97/O92</f>
        <v>25.165649378202826</v>
      </c>
      <c r="P98" s="90">
        <f t="shared" si="77"/>
        <v>22.363748900544024</v>
      </c>
      <c r="Q98" s="90">
        <f t="shared" ref="Q98:R98" si="78">Q97/Q92</f>
        <v>28.189032719703377</v>
      </c>
      <c r="R98" s="90">
        <f t="shared" si="78"/>
        <v>24.187784275503574</v>
      </c>
      <c r="S98" s="90">
        <f t="shared" ref="S98:T98" si="79">S97/S92</f>
        <v>23.003205231974619</v>
      </c>
      <c r="T98" s="90">
        <f t="shared" si="79"/>
        <v>21.19063804991745</v>
      </c>
      <c r="U98" s="90">
        <f t="shared" ref="U98:V98" si="80">U97/U92</f>
        <v>26.867555670636978</v>
      </c>
      <c r="V98" s="90">
        <f t="shared" si="80"/>
        <v>21.993282521638033</v>
      </c>
      <c r="W98" s="90">
        <f t="shared" ref="W98:X98" si="81">W97/W92</f>
        <v>22.998323878287778</v>
      </c>
      <c r="X98" s="90">
        <f t="shared" si="81"/>
        <v>18.149879129734085</v>
      </c>
      <c r="Y98" s="90">
        <f t="shared" ref="Y98" si="82">Y97/Y92</f>
        <v>23.713134568896052</v>
      </c>
      <c r="Z98" s="110">
        <f t="shared" ref="Z98" si="83">Z97/Z92</f>
        <v>23.713134568896052</v>
      </c>
    </row>
    <row r="99" spans="14:26" x14ac:dyDescent="0.25">
      <c r="N99" s="87" t="s">
        <v>18</v>
      </c>
      <c r="O99" s="88">
        <v>5801</v>
      </c>
      <c r="P99" s="88">
        <v>5894</v>
      </c>
      <c r="Q99" s="88">
        <v>5645</v>
      </c>
      <c r="R99" s="88">
        <v>6436</v>
      </c>
      <c r="S99" s="88">
        <v>6323</v>
      </c>
      <c r="T99" s="88">
        <v>6315</v>
      </c>
      <c r="U99" s="88">
        <v>6057</v>
      </c>
      <c r="V99" s="88">
        <v>6377</v>
      </c>
      <c r="W99" s="88">
        <v>2697</v>
      </c>
      <c r="X99" s="88">
        <v>2324</v>
      </c>
      <c r="Y99" s="88">
        <v>2234</v>
      </c>
      <c r="Z99" s="108">
        <v>2234</v>
      </c>
    </row>
    <row r="100" spans="14:26" ht="15.75" thickBot="1" x14ac:dyDescent="0.3">
      <c r="N100" s="89" t="s">
        <v>27</v>
      </c>
      <c r="O100" s="90">
        <f t="shared" ref="O100:P100" si="84">O99/O92</f>
        <v>18.934621536051178</v>
      </c>
      <c r="P100" s="90">
        <f t="shared" si="84"/>
        <v>19.200573345929566</v>
      </c>
      <c r="Q100" s="90">
        <f t="shared" ref="Q100:R100" si="85">Q99/Q92</f>
        <v>18.360111884472779</v>
      </c>
      <c r="R100" s="90">
        <f t="shared" si="85"/>
        <v>20.909681611435996</v>
      </c>
      <c r="S100" s="90">
        <f t="shared" ref="S100:T100" si="86">S99/S92</f>
        <v>20.471395732832583</v>
      </c>
      <c r="T100" s="90">
        <f t="shared" si="86"/>
        <v>20.442847431290666</v>
      </c>
      <c r="U100" s="90">
        <f t="shared" ref="U100:V100" si="87">U99/U92</f>
        <v>19.604479544277577</v>
      </c>
      <c r="V100" s="90">
        <f t="shared" si="87"/>
        <v>20.594884381862808</v>
      </c>
      <c r="W100" s="90">
        <f t="shared" ref="W100:X100" si="88">W99/W92</f>
        <v>8.6932697266632282</v>
      </c>
      <c r="X100" s="90">
        <f t="shared" si="88"/>
        <v>7.4907332796132149</v>
      </c>
      <c r="Y100" s="90">
        <f t="shared" ref="Y100" si="89">Y99/Y92</f>
        <v>7.2006446414182115</v>
      </c>
      <c r="Z100" s="110">
        <f t="shared" ref="Z100" si="90">Z99/Z92</f>
        <v>7.2006446414182115</v>
      </c>
    </row>
    <row r="101" spans="14:26" x14ac:dyDescent="0.25">
      <c r="N101" s="131" t="s">
        <v>87</v>
      </c>
      <c r="O101" s="91">
        <f>131*$N$102</f>
        <v>2620</v>
      </c>
      <c r="P101" s="91">
        <f>164*$N$102</f>
        <v>3280</v>
      </c>
      <c r="Q101" s="91">
        <f>62*$N$102</f>
        <v>1240</v>
      </c>
      <c r="R101" s="91">
        <f>740*$N$102</f>
        <v>14800</v>
      </c>
      <c r="S101" s="91">
        <f>136*$N$102</f>
        <v>2720</v>
      </c>
      <c r="T101" s="91">
        <f>86*$N$102</f>
        <v>1720</v>
      </c>
      <c r="U101" s="91">
        <f>2*$N$102</f>
        <v>40</v>
      </c>
      <c r="V101" s="91">
        <f>340*N102</f>
        <v>6800</v>
      </c>
      <c r="W101" s="132">
        <f>-1000*N102</f>
        <v>-20000</v>
      </c>
      <c r="X101" s="91">
        <f>-431*N102</f>
        <v>-8620</v>
      </c>
      <c r="Y101" s="91">
        <f>-91*N102</f>
        <v>-1820</v>
      </c>
      <c r="Z101" s="112">
        <f>-91*N102</f>
        <v>-1820</v>
      </c>
    </row>
    <row r="102" spans="14:26" ht="15.75" thickBot="1" x14ac:dyDescent="0.3">
      <c r="N102" s="89">
        <v>20</v>
      </c>
      <c r="O102" s="92">
        <f t="shared" ref="O102:P102" si="91">O101/O92</f>
        <v>8.5517511505695722</v>
      </c>
      <c r="P102" s="92">
        <f t="shared" si="91"/>
        <v>10.685083232889207</v>
      </c>
      <c r="Q102" s="92">
        <f t="shared" ref="Q102:R102" si="92">Q101/Q92</f>
        <v>4.033044948936447</v>
      </c>
      <c r="R102" s="92">
        <f t="shared" si="92"/>
        <v>48.083170890188434</v>
      </c>
      <c r="S102" s="92">
        <f t="shared" ref="S102:T102" si="93">S101/S92</f>
        <v>8.8062939100592477</v>
      </c>
      <c r="T102" s="92">
        <f t="shared" si="93"/>
        <v>5.5679647793855809</v>
      </c>
      <c r="U102" s="92">
        <f>U101/U92</f>
        <v>0.12946659761781462</v>
      </c>
      <c r="V102" s="92">
        <f t="shared" ref="V102" si="94">V101/V92</f>
        <v>21.960986952590105</v>
      </c>
      <c r="W102" s="92">
        <f t="shared" ref="W102:X102" si="95">W101/W92</f>
        <v>-64.466219700876735</v>
      </c>
      <c r="X102" s="92">
        <f t="shared" si="95"/>
        <v>-27.784045124899276</v>
      </c>
      <c r="Y102" s="92">
        <f t="shared" ref="Y102" si="96">Y101/Y92</f>
        <v>-5.8662369057211929</v>
      </c>
      <c r="Z102" s="114">
        <f t="shared" ref="Z102" si="97">Z101/Z92</f>
        <v>-5.8662369057211929</v>
      </c>
    </row>
    <row r="103" spans="14:26" x14ac:dyDescent="0.25">
      <c r="N103" s="142" t="s">
        <v>86</v>
      </c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</row>
  </sheetData>
  <mergeCells count="12">
    <mergeCell ref="N88:S88"/>
    <mergeCell ref="T88:Z88"/>
    <mergeCell ref="N103:Z103"/>
    <mergeCell ref="N66:S66"/>
    <mergeCell ref="T66:Z66"/>
    <mergeCell ref="N24:S24"/>
    <mergeCell ref="T24:Z24"/>
    <mergeCell ref="T1:Z1"/>
    <mergeCell ref="N1:S1"/>
    <mergeCell ref="N45:S45"/>
    <mergeCell ref="T45:Z45"/>
    <mergeCell ref="N39:Z39"/>
  </mergeCells>
  <hyperlinks>
    <hyperlink ref="T1" r:id="rId1"/>
    <hyperlink ref="N1" r:id="rId2"/>
    <hyperlink ref="T24" r:id="rId3"/>
    <hyperlink ref="N24" r:id="rId4"/>
    <hyperlink ref="T45" r:id="rId5"/>
    <hyperlink ref="N45" r:id="rId6"/>
    <hyperlink ref="T66" r:id="rId7"/>
    <hyperlink ref="N66" r:id="rId8"/>
    <hyperlink ref="T88" r:id="rId9"/>
    <hyperlink ref="N88" r:id="rId10"/>
  </hyperlinks>
  <pageMargins left="0.7" right="0.7" top="0.75" bottom="0.75" header="0.3" footer="0.3"/>
  <pageSetup paperSize="9" scale="75" orientation="portrait" r:id="rId11"/>
  <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O1:R9"/>
  <sheetViews>
    <sheetView tabSelected="1" zoomScale="115" zoomScaleNormal="115" workbookViewId="0">
      <selection activeCell="R22" sqref="R22"/>
    </sheetView>
  </sheetViews>
  <sheetFormatPr defaultRowHeight="15" x14ac:dyDescent="0.25"/>
  <sheetData>
    <row r="1" spans="15:18" ht="15.75" thickBot="1" x14ac:dyDescent="0.3">
      <c r="O1" s="69"/>
      <c r="P1" s="74" t="s">
        <v>37</v>
      </c>
      <c r="Q1" s="74" t="s">
        <v>33</v>
      </c>
      <c r="R1" s="74" t="s">
        <v>23</v>
      </c>
    </row>
    <row r="2" spans="15:18" x14ac:dyDescent="0.25">
      <c r="O2" s="61" t="s">
        <v>16</v>
      </c>
      <c r="P2" s="65">
        <v>176.95</v>
      </c>
      <c r="Q2" s="65">
        <v>272.68</v>
      </c>
      <c r="R2" s="159">
        <v>215.38</v>
      </c>
    </row>
    <row r="3" spans="15:18" ht="15.75" thickBot="1" x14ac:dyDescent="0.3">
      <c r="O3" s="62" t="s">
        <v>15</v>
      </c>
      <c r="P3" s="64">
        <v>145.02000000000001</v>
      </c>
      <c r="Q3" s="64">
        <v>220.68</v>
      </c>
      <c r="R3" s="160">
        <v>151.9</v>
      </c>
    </row>
    <row r="4" spans="15:18" x14ac:dyDescent="0.25">
      <c r="O4" s="69" t="s">
        <v>80</v>
      </c>
      <c r="P4" s="106">
        <v>23.7</v>
      </c>
      <c r="Q4" s="106">
        <v>23.67</v>
      </c>
      <c r="R4" s="106">
        <v>23.67</v>
      </c>
    </row>
    <row r="5" spans="15:18" ht="15.75" thickBot="1" x14ac:dyDescent="0.3">
      <c r="O5" s="69" t="s">
        <v>89</v>
      </c>
      <c r="P5" s="154">
        <f t="shared" ref="P5:R5" si="0">P4*(P2+P3)/2</f>
        <v>3815.3445000000002</v>
      </c>
      <c r="Q5" s="154">
        <f t="shared" si="0"/>
        <v>5838.9156000000003</v>
      </c>
      <c r="R5" s="154">
        <f t="shared" si="0"/>
        <v>4346.7587999999996</v>
      </c>
    </row>
    <row r="6" spans="15:18" x14ac:dyDescent="0.25">
      <c r="O6" s="87" t="s">
        <v>91</v>
      </c>
      <c r="P6" s="91">
        <f>1528</f>
        <v>1528</v>
      </c>
      <c r="Q6" s="91">
        <f>1269</f>
        <v>1269</v>
      </c>
      <c r="R6" s="112">
        <f>1269</f>
        <v>1269</v>
      </c>
    </row>
    <row r="7" spans="15:18" ht="15.75" thickBot="1" x14ac:dyDescent="0.3">
      <c r="O7" s="89" t="s">
        <v>93</v>
      </c>
      <c r="P7" s="156">
        <f>P6/P5</f>
        <v>0.40048808174464978</v>
      </c>
      <c r="Q7" s="156">
        <f>Q6/Q5</f>
        <v>0.21733487635957607</v>
      </c>
      <c r="R7" s="157">
        <f>R6/R5</f>
        <v>0.29194166467207705</v>
      </c>
    </row>
    <row r="8" spans="15:18" x14ac:dyDescent="0.25">
      <c r="O8" s="87" t="s">
        <v>90</v>
      </c>
      <c r="P8" s="88">
        <v>13776</v>
      </c>
      <c r="Q8" s="88">
        <v>14615</v>
      </c>
      <c r="R8" s="108">
        <v>14309</v>
      </c>
    </row>
    <row r="9" spans="15:18" ht="15.75" thickBot="1" x14ac:dyDescent="0.3">
      <c r="O9" s="89" t="s">
        <v>92</v>
      </c>
      <c r="P9" s="155">
        <f>P5/P8</f>
        <v>0.27695590156794425</v>
      </c>
      <c r="Q9" s="155">
        <f>Q5/Q8</f>
        <v>0.39951526513855629</v>
      </c>
      <c r="R9" s="158">
        <f>R5/R8</f>
        <v>0.30377795792857637</v>
      </c>
    </row>
  </sheetData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763"/>
  <sheetViews>
    <sheetView topLeftCell="S2" zoomScaleNormal="100" workbookViewId="0">
      <selection activeCell="AI2" sqref="AI2:AI3"/>
    </sheetView>
  </sheetViews>
  <sheetFormatPr defaultRowHeight="15" x14ac:dyDescent="0.25"/>
  <cols>
    <col min="1" max="1" width="11.140625" customWidth="1"/>
    <col min="2" max="2" width="7.42578125" style="70" customWidth="1"/>
    <col min="3" max="5" width="7.42578125" customWidth="1"/>
    <col min="6" max="6" width="8.85546875" style="73" customWidth="1"/>
    <col min="7" max="7" width="7.42578125" style="84" customWidth="1"/>
    <col min="8" max="8" width="7.42578125" style="85" bestFit="1" customWidth="1"/>
    <col min="9" max="9" width="7" style="85" bestFit="1" customWidth="1"/>
    <col min="10" max="10" width="7.140625" style="70" bestFit="1" customWidth="1"/>
    <col min="11" max="11" width="6" bestFit="1" customWidth="1"/>
    <col min="12" max="12" width="8.85546875" style="70" bestFit="1" customWidth="1"/>
    <col min="13" max="13" width="7.42578125" customWidth="1"/>
    <col min="14" max="14" width="7.28515625" customWidth="1"/>
    <col min="15" max="18" width="7.42578125" bestFit="1" customWidth="1"/>
    <col min="19" max="19" width="7.5703125" bestFit="1" customWidth="1"/>
    <col min="20" max="20" width="8.5703125" bestFit="1" customWidth="1"/>
    <col min="21" max="21" width="7.28515625" customWidth="1"/>
    <col min="22" max="23" width="7.5703125" bestFit="1" customWidth="1"/>
    <col min="24" max="26" width="8" bestFit="1" customWidth="1"/>
    <col min="27" max="27" width="7.42578125" customWidth="1"/>
    <col min="28" max="28" width="7.28515625" customWidth="1"/>
    <col min="29" max="29" width="8" bestFit="1" customWidth="1"/>
    <col min="30" max="34" width="8.28515625" bestFit="1" customWidth="1"/>
    <col min="35" max="35" width="7.7109375" bestFit="1" customWidth="1"/>
    <col min="36" max="36" width="10.85546875" bestFit="1" customWidth="1"/>
    <col min="37" max="38" width="6.140625" customWidth="1"/>
    <col min="39" max="39" width="6.42578125" customWidth="1"/>
    <col min="40" max="40" width="6.140625" customWidth="1"/>
    <col min="41" max="41" width="7.42578125" customWidth="1"/>
    <col min="42" max="42" width="7.28515625" customWidth="1"/>
    <col min="43" max="43" width="10.85546875" bestFit="1" customWidth="1"/>
    <col min="44" max="45" width="6.140625" customWidth="1"/>
    <col min="46" max="46" width="6.42578125" customWidth="1"/>
    <col min="47" max="47" width="6.140625" customWidth="1"/>
    <col min="48" max="48" width="7.42578125" customWidth="1"/>
    <col min="49" max="49" width="7.28515625" customWidth="1"/>
    <col min="50" max="50" width="10.85546875" bestFit="1" customWidth="1"/>
    <col min="51" max="52" width="6.140625" customWidth="1"/>
    <col min="53" max="53" width="6.42578125" customWidth="1"/>
    <col min="54" max="54" width="6.140625" customWidth="1"/>
    <col min="55" max="55" width="7.42578125" customWidth="1"/>
    <col min="56" max="56" width="7.28515625" customWidth="1"/>
    <col min="57" max="57" width="10.85546875" customWidth="1"/>
    <col min="58" max="58" width="5.85546875" customWidth="1"/>
    <col min="59" max="59" width="5.85546875" bestFit="1" customWidth="1"/>
    <col min="60" max="60" width="6" bestFit="1" customWidth="1"/>
    <col min="61" max="61" width="6.42578125" bestFit="1" customWidth="1"/>
    <col min="62" max="62" width="5.7109375" bestFit="1" customWidth="1"/>
    <col min="63" max="63" width="8.42578125" bestFit="1" customWidth="1"/>
    <col min="64" max="65" width="7.28515625" bestFit="1" customWidth="1"/>
    <col min="66" max="66" width="10.28515625" bestFit="1" customWidth="1"/>
    <col min="67" max="67" width="5.85546875" bestFit="1" customWidth="1"/>
    <col min="68" max="68" width="6" bestFit="1" customWidth="1"/>
    <col min="69" max="69" width="6.42578125" bestFit="1" customWidth="1"/>
    <col min="70" max="70" width="5.7109375" bestFit="1" customWidth="1"/>
    <col min="71" max="71" width="7.42578125" bestFit="1" customWidth="1"/>
    <col min="72" max="72" width="7.28515625" bestFit="1" customWidth="1"/>
  </cols>
  <sheetData>
    <row r="1" spans="1:65" s="72" customForma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 t="s">
        <v>60</v>
      </c>
      <c r="Y1" t="s">
        <v>61</v>
      </c>
      <c r="Z1" t="s">
        <v>62</v>
      </c>
      <c r="AA1" t="s">
        <v>63</v>
      </c>
      <c r="AB1" t="s">
        <v>64</v>
      </c>
      <c r="AC1" t="s">
        <v>65</v>
      </c>
      <c r="AD1" t="s">
        <v>66</v>
      </c>
      <c r="AE1" t="s">
        <v>67</v>
      </c>
      <c r="AF1" t="s">
        <v>68</v>
      </c>
      <c r="AG1" t="s">
        <v>69</v>
      </c>
      <c r="AH1" t="s">
        <v>70</v>
      </c>
      <c r="AI1" t="s">
        <v>71</v>
      </c>
      <c r="AJ1"/>
      <c r="AK1"/>
      <c r="BF1" s="146"/>
      <c r="BG1" s="147"/>
      <c r="BH1" s="147"/>
      <c r="BI1" s="147"/>
      <c r="BJ1" s="147"/>
      <c r="BK1" s="147"/>
      <c r="BL1" s="147"/>
      <c r="BM1" s="147"/>
    </row>
    <row r="2" spans="1:65" s="86" customFormat="1" x14ac:dyDescent="0.25">
      <c r="A2" t="s">
        <v>47</v>
      </c>
      <c r="B2" s="70" t="s">
        <v>48</v>
      </c>
      <c r="C2" s="70" t="s">
        <v>49</v>
      </c>
      <c r="D2" s="70" t="s">
        <v>50</v>
      </c>
      <c r="E2" s="70" t="s">
        <v>51</v>
      </c>
      <c r="F2" s="70" t="s">
        <v>52</v>
      </c>
      <c r="G2" s="70" t="s">
        <v>53</v>
      </c>
      <c r="H2" s="70" t="s">
        <v>54</v>
      </c>
      <c r="I2" s="70" t="s">
        <v>55</v>
      </c>
      <c r="J2" s="70" t="s">
        <v>56</v>
      </c>
      <c r="K2" s="70" t="s">
        <v>58</v>
      </c>
      <c r="L2" s="70" t="s">
        <v>57</v>
      </c>
      <c r="M2" s="70" t="s">
        <v>59</v>
      </c>
      <c r="N2" s="70" t="s">
        <v>72</v>
      </c>
      <c r="O2" s="70" t="s">
        <v>73</v>
      </c>
      <c r="P2" s="70" t="s">
        <v>59</v>
      </c>
      <c r="Q2" s="70" t="s">
        <v>59</v>
      </c>
      <c r="R2" s="70" t="s">
        <v>76</v>
      </c>
      <c r="S2" s="70" t="s">
        <v>77</v>
      </c>
      <c r="T2" s="70" t="s">
        <v>78</v>
      </c>
      <c r="U2" s="70"/>
      <c r="V2" s="70"/>
      <c r="W2" s="70">
        <v>183.4</v>
      </c>
      <c r="X2" s="70">
        <v>151.65</v>
      </c>
      <c r="Y2" s="70">
        <v>151.27000000000001</v>
      </c>
      <c r="Z2" s="70">
        <v>163.19</v>
      </c>
      <c r="AA2" s="70">
        <v>176.95</v>
      </c>
      <c r="AB2" s="70">
        <v>166.49</v>
      </c>
      <c r="AC2" s="70">
        <v>251.65</v>
      </c>
      <c r="AD2" s="70">
        <v>256.39999999999998</v>
      </c>
      <c r="AE2" s="70">
        <v>272.68</v>
      </c>
      <c r="AF2" s="70">
        <v>261.89999999999998</v>
      </c>
      <c r="AG2" s="70">
        <v>208.15</v>
      </c>
      <c r="AH2" s="70">
        <v>202.33</v>
      </c>
      <c r="AI2" s="70">
        <v>215.38</v>
      </c>
      <c r="AJ2" s="70"/>
      <c r="AK2"/>
      <c r="AL2" s="85"/>
      <c r="AT2" s="85"/>
    </row>
    <row r="3" spans="1:65" x14ac:dyDescent="0.25">
      <c r="A3" s="68">
        <v>44207</v>
      </c>
      <c r="B3" s="70">
        <v>227.4</v>
      </c>
      <c r="C3" s="70">
        <v>225.17</v>
      </c>
      <c r="D3" s="70">
        <v>231</v>
      </c>
      <c r="E3" s="70">
        <v>221.84</v>
      </c>
      <c r="F3" s="70">
        <v>107.6</v>
      </c>
      <c r="G3" s="70">
        <v>8.5000000000000006E-3</v>
      </c>
      <c r="H3" s="70">
        <v>214.82333333333332</v>
      </c>
      <c r="I3" s="70">
        <v>206.08625356125356</v>
      </c>
      <c r="J3" s="70">
        <v>8.7370797720797668</v>
      </c>
      <c r="K3" s="70">
        <v>8.9756635011079595</v>
      </c>
      <c r="L3" s="70">
        <v>-0.23858372902819269</v>
      </c>
      <c r="M3" s="70">
        <v>0.46382341748153905</v>
      </c>
      <c r="N3" s="70">
        <v>0.51965065502183327</v>
      </c>
      <c r="O3" s="70">
        <v>0</v>
      </c>
      <c r="P3" s="70">
        <v>0.36079814515686337</v>
      </c>
      <c r="Q3" s="70">
        <v>0.10297396752086806</v>
      </c>
      <c r="R3" s="70">
        <v>0.55592859205649048</v>
      </c>
      <c r="S3" s="70">
        <v>0.49046106142010865</v>
      </c>
      <c r="T3" s="70">
        <v>75.214434114465462</v>
      </c>
      <c r="U3" s="70">
        <v>1</v>
      </c>
      <c r="V3" s="70">
        <v>-84.599999999999937</v>
      </c>
      <c r="W3" s="70">
        <v>142.80000000000007</v>
      </c>
      <c r="X3" s="70">
        <v>130.63</v>
      </c>
      <c r="Y3" s="70">
        <v>128.19</v>
      </c>
      <c r="Z3" s="70">
        <v>136.41999999999999</v>
      </c>
      <c r="AA3" s="70">
        <v>145.02000000000001</v>
      </c>
      <c r="AB3" s="70">
        <v>148.83000000000001</v>
      </c>
      <c r="AC3" s="70">
        <v>149.91999999999999</v>
      </c>
      <c r="AD3" s="70">
        <v>206</v>
      </c>
      <c r="AE3" s="70">
        <v>220.68</v>
      </c>
      <c r="AF3" s="70">
        <v>158.16999999999999</v>
      </c>
      <c r="AG3" s="70">
        <v>177.5</v>
      </c>
      <c r="AH3" s="70">
        <v>169.6</v>
      </c>
      <c r="AI3" s="70">
        <v>151.9</v>
      </c>
      <c r="AJ3" s="70"/>
      <c r="AL3" s="70"/>
      <c r="AQ3" s="68"/>
      <c r="AT3" s="70"/>
      <c r="AW3" s="58"/>
      <c r="AX3" s="68"/>
      <c r="BD3" s="58"/>
    </row>
    <row r="4" spans="1:65" x14ac:dyDescent="0.25">
      <c r="A4" s="68">
        <v>44204</v>
      </c>
      <c r="B4" s="70">
        <v>225.49</v>
      </c>
      <c r="C4" s="70">
        <v>217.12</v>
      </c>
      <c r="D4" s="70">
        <v>226.24</v>
      </c>
      <c r="E4" s="70">
        <v>217</v>
      </c>
      <c r="F4" s="70">
        <v>101.04</v>
      </c>
      <c r="G4" s="70">
        <v>5.1799999999999999E-2</v>
      </c>
      <c r="H4" s="70">
        <v>212.84141025641028</v>
      </c>
      <c r="I4" s="70">
        <v>204.44690883190884</v>
      </c>
      <c r="J4" s="70">
        <v>8.394501424501442</v>
      </c>
      <c r="K4" s="70">
        <v>8.9222266540044526</v>
      </c>
      <c r="L4" s="70">
        <v>-0.5277252295030106</v>
      </c>
      <c r="M4" s="70">
        <v>0.51833615450710113</v>
      </c>
      <c r="N4" s="70">
        <v>0.79595278246205625</v>
      </c>
      <c r="O4" s="70">
        <v>0</v>
      </c>
      <c r="P4" s="70">
        <v>0.36600719709743373</v>
      </c>
      <c r="Q4" s="70">
        <v>0.10297396752086806</v>
      </c>
      <c r="R4" s="70">
        <v>0.56086096717902367</v>
      </c>
      <c r="S4" s="70">
        <v>0.51204038894547554</v>
      </c>
      <c r="T4" s="70">
        <v>62.833304914832695</v>
      </c>
      <c r="U4" s="70"/>
      <c r="V4" s="70">
        <v>-84.599999999999937</v>
      </c>
      <c r="W4" s="70">
        <v>161.55000000000007</v>
      </c>
      <c r="AQ4" s="68"/>
      <c r="AT4" s="70"/>
      <c r="AW4" s="58"/>
      <c r="AX4" s="68"/>
      <c r="BD4" s="58"/>
    </row>
    <row r="5" spans="1:65" x14ac:dyDescent="0.25">
      <c r="A5" s="68">
        <v>44202</v>
      </c>
      <c r="B5" s="70">
        <v>214.38</v>
      </c>
      <c r="C5" s="70">
        <v>215.5</v>
      </c>
      <c r="D5" s="70">
        <v>216.8</v>
      </c>
      <c r="E5" s="70">
        <v>213.07</v>
      </c>
      <c r="F5" s="70">
        <v>47.95</v>
      </c>
      <c r="G5" s="70">
        <v>-4.4000000000000003E-3</v>
      </c>
      <c r="H5" s="70">
        <v>210.22961538461541</v>
      </c>
      <c r="I5" s="70">
        <v>202.07123931623931</v>
      </c>
      <c r="J5" s="70">
        <v>8.1583760683761</v>
      </c>
      <c r="K5" s="70">
        <v>8.8958353909465266</v>
      </c>
      <c r="L5" s="70">
        <v>-0.73745932257042668</v>
      </c>
      <c r="M5" s="70">
        <v>0.59233248106753145</v>
      </c>
      <c r="N5" s="70">
        <v>0.38069705093834022</v>
      </c>
      <c r="O5" s="70">
        <v>0</v>
      </c>
      <c r="P5" s="70">
        <v>0.32013861243171227</v>
      </c>
      <c r="Q5" s="70">
        <v>0.10297396752086806</v>
      </c>
      <c r="R5" s="70">
        <v>0.51325499453403767</v>
      </c>
      <c r="S5" s="70">
        <v>0.5286222771551411</v>
      </c>
      <c r="T5" s="70">
        <v>50.142728007992766</v>
      </c>
      <c r="U5" s="70"/>
      <c r="V5" s="70">
        <v>-84.599999999999937</v>
      </c>
      <c r="W5" s="70">
        <v>161.55000000000007</v>
      </c>
      <c r="AQ5" s="68"/>
      <c r="AT5" s="70"/>
      <c r="AW5" s="58"/>
      <c r="AX5" s="68"/>
      <c r="BD5" s="58"/>
    </row>
    <row r="6" spans="1:65" x14ac:dyDescent="0.25">
      <c r="A6" s="68">
        <v>44201</v>
      </c>
      <c r="B6" s="70">
        <v>215.32</v>
      </c>
      <c r="C6" s="70">
        <v>213.2</v>
      </c>
      <c r="D6" s="70">
        <v>215.38</v>
      </c>
      <c r="E6" s="70">
        <v>210.22</v>
      </c>
      <c r="F6" s="70">
        <v>48.94</v>
      </c>
      <c r="G6" s="70">
        <v>1.23E-2</v>
      </c>
      <c r="H6" s="70">
        <v>210.38410256410256</v>
      </c>
      <c r="I6" s="70">
        <v>201.12662393162393</v>
      </c>
      <c r="J6" s="70">
        <v>9.2574786324786373</v>
      </c>
      <c r="K6" s="70">
        <v>9.1354849635960989</v>
      </c>
      <c r="L6" s="70">
        <v>0.12199366888253849</v>
      </c>
      <c r="M6" s="70">
        <v>0.76855518334151229</v>
      </c>
      <c r="N6" s="70">
        <v>0</v>
      </c>
      <c r="O6" s="70">
        <v>0.27519379844961017</v>
      </c>
      <c r="P6" s="70">
        <v>0.27936145369208659</v>
      </c>
      <c r="Q6" s="70">
        <v>0.14228736729938379</v>
      </c>
      <c r="R6" s="70">
        <v>0.32509064313374586</v>
      </c>
      <c r="S6" s="70">
        <v>0.51688732535605442</v>
      </c>
      <c r="T6" s="70">
        <v>50.344823468297143</v>
      </c>
      <c r="U6" s="70"/>
      <c r="V6" s="70">
        <v>-84.599999999999937</v>
      </c>
      <c r="W6" s="70">
        <v>161.55000000000007</v>
      </c>
      <c r="AQ6" s="68"/>
      <c r="AT6" s="70"/>
      <c r="AW6" s="58"/>
      <c r="AX6" s="68"/>
      <c r="BD6" s="58"/>
      <c r="BF6" s="58"/>
    </row>
    <row r="7" spans="1:65" x14ac:dyDescent="0.25">
      <c r="A7" s="68">
        <v>44200</v>
      </c>
      <c r="B7" s="70">
        <v>212.71</v>
      </c>
      <c r="C7" s="70">
        <v>212.71</v>
      </c>
      <c r="D7" s="70">
        <v>216.63</v>
      </c>
      <c r="E7" s="70">
        <v>211.64</v>
      </c>
      <c r="F7" s="70">
        <v>55.46</v>
      </c>
      <c r="G7" s="70">
        <v>-1.2999999999999999E-3</v>
      </c>
      <c r="H7" s="70">
        <v>209.33948717948721</v>
      </c>
      <c r="I7" s="70">
        <v>199.87203703703702</v>
      </c>
      <c r="J7" s="70">
        <v>9.4674501424501898</v>
      </c>
      <c r="K7" s="70">
        <v>9.0147309275087402</v>
      </c>
      <c r="L7" s="70">
        <v>0.45271921494144962</v>
      </c>
      <c r="M7" s="70">
        <v>0.7486741318194442</v>
      </c>
      <c r="N7" s="70">
        <v>0.65130260521041961</v>
      </c>
      <c r="O7" s="70">
        <v>0</v>
      </c>
      <c r="P7" s="70">
        <v>0.37240468300786078</v>
      </c>
      <c r="Q7" s="70">
        <v>0.10659762949709538</v>
      </c>
      <c r="R7" s="70">
        <v>0.55491810075137193</v>
      </c>
      <c r="S7" s="70">
        <v>0.54779957480635355</v>
      </c>
      <c r="T7" s="70">
        <v>50.138801450969808</v>
      </c>
      <c r="U7" s="70"/>
      <c r="V7" s="70">
        <v>-84.599999999999937</v>
      </c>
      <c r="W7" s="70">
        <v>161.55000000000007</v>
      </c>
      <c r="AQ7" s="68"/>
      <c r="AT7" s="70"/>
      <c r="AW7" s="58"/>
      <c r="AX7" s="68"/>
      <c r="BD7" s="58"/>
    </row>
    <row r="8" spans="1:65" x14ac:dyDescent="0.25">
      <c r="A8" s="68">
        <v>44195</v>
      </c>
      <c r="B8" s="70">
        <v>212.98</v>
      </c>
      <c r="C8" s="70">
        <v>209.88</v>
      </c>
      <c r="D8" s="70">
        <v>213.38</v>
      </c>
      <c r="E8" s="70">
        <v>209.5</v>
      </c>
      <c r="F8" s="70">
        <v>74.739999999999995</v>
      </c>
      <c r="G8" s="70">
        <v>2.0299999999999999E-2</v>
      </c>
      <c r="H8" s="70">
        <v>208.55532051282054</v>
      </c>
      <c r="I8" s="70">
        <v>199.01311965811965</v>
      </c>
      <c r="J8" s="70">
        <v>9.5422008547008943</v>
      </c>
      <c r="K8" s="70">
        <v>8.8720799303577369</v>
      </c>
      <c r="L8" s="70">
        <v>0.6701209243431574</v>
      </c>
      <c r="M8" s="70">
        <v>0.66291225836526158</v>
      </c>
      <c r="N8" s="70">
        <v>0.73002159827213797</v>
      </c>
      <c r="O8" s="70">
        <v>0</v>
      </c>
      <c r="P8" s="70">
        <v>0.3859233094376513</v>
      </c>
      <c r="Q8" s="70">
        <v>0.10659762949709538</v>
      </c>
      <c r="R8" s="70">
        <v>0.56713462892501165</v>
      </c>
      <c r="S8" s="70">
        <v>0.55325472174885559</v>
      </c>
      <c r="T8" s="70">
        <v>50.418425177860847</v>
      </c>
      <c r="U8" s="70"/>
      <c r="V8" s="70">
        <v>-84.599999999999937</v>
      </c>
      <c r="W8" s="70">
        <v>161.55000000000007</v>
      </c>
      <c r="AQ8" s="68"/>
      <c r="AT8" s="70"/>
      <c r="AW8" s="58"/>
      <c r="AX8" s="68"/>
      <c r="BD8" s="58"/>
    </row>
    <row r="9" spans="1:65" x14ac:dyDescent="0.25">
      <c r="A9" s="68">
        <v>44194</v>
      </c>
      <c r="B9" s="70">
        <v>208.75</v>
      </c>
      <c r="C9" s="70">
        <v>206.98</v>
      </c>
      <c r="D9" s="70">
        <v>210</v>
      </c>
      <c r="E9" s="70">
        <v>206.61</v>
      </c>
      <c r="F9" s="70">
        <v>42.37</v>
      </c>
      <c r="G9" s="70">
        <v>1.2800000000000001E-2</v>
      </c>
      <c r="H9" s="70">
        <v>206.98294871794872</v>
      </c>
      <c r="I9" s="70">
        <v>197.76602564102564</v>
      </c>
      <c r="J9" s="70">
        <v>9.2169230769230808</v>
      </c>
      <c r="K9" s="70">
        <v>8.6220398860399037</v>
      </c>
      <c r="L9" s="70">
        <v>0.59488319088317709</v>
      </c>
      <c r="M9" s="70">
        <v>0.51091078342360952</v>
      </c>
      <c r="N9" s="70">
        <v>0.55012853470436862</v>
      </c>
      <c r="O9" s="70">
        <v>0</v>
      </c>
      <c r="P9" s="70">
        <v>0.36953570938429947</v>
      </c>
      <c r="Q9" s="70">
        <v>0.10659762949709538</v>
      </c>
      <c r="R9" s="70">
        <v>0.55223622967662456</v>
      </c>
      <c r="S9" s="70">
        <v>0.55486504744344756</v>
      </c>
      <c r="T9" s="70">
        <v>37.584046408693183</v>
      </c>
      <c r="U9" s="70"/>
      <c r="V9" s="70">
        <v>-84.599999999999937</v>
      </c>
      <c r="W9" s="70">
        <v>161.55000000000007</v>
      </c>
      <c r="AQ9" s="68"/>
      <c r="AT9" s="70"/>
      <c r="AW9" s="58"/>
      <c r="AX9" s="68"/>
      <c r="BD9" s="58"/>
    </row>
    <row r="10" spans="1:65" x14ac:dyDescent="0.25">
      <c r="A10" s="68">
        <v>44193</v>
      </c>
      <c r="B10" s="70">
        <v>206.11</v>
      </c>
      <c r="C10" s="70">
        <v>205.53</v>
      </c>
      <c r="D10" s="70">
        <v>207.86</v>
      </c>
      <c r="E10" s="70">
        <v>205.15</v>
      </c>
      <c r="F10" s="70">
        <v>35.06</v>
      </c>
      <c r="G10" s="70">
        <v>5.3E-3</v>
      </c>
      <c r="H10" s="70">
        <v>206.06557692307692</v>
      </c>
      <c r="I10" s="70">
        <v>196.69440170940166</v>
      </c>
      <c r="J10" s="70">
        <v>9.371175213675258</v>
      </c>
      <c r="K10" s="70">
        <v>8.394181861348553</v>
      </c>
      <c r="L10" s="70">
        <v>0.97699335232670492</v>
      </c>
      <c r="M10" s="70">
        <v>0.38668100560409291</v>
      </c>
      <c r="N10" s="70">
        <v>0.39929328621908794</v>
      </c>
      <c r="O10" s="70">
        <v>0</v>
      </c>
      <c r="P10" s="70">
        <v>0.31743715684023255</v>
      </c>
      <c r="Q10" s="70">
        <v>0.10659762949709538</v>
      </c>
      <c r="R10" s="70">
        <v>0.49722224245868873</v>
      </c>
      <c r="S10" s="70">
        <v>0.54062529451524832</v>
      </c>
      <c r="T10" s="70">
        <v>37.800466323734433</v>
      </c>
      <c r="U10" s="70"/>
      <c r="V10" s="70">
        <v>-84.599999999999937</v>
      </c>
      <c r="W10" s="70">
        <v>161.55000000000007</v>
      </c>
      <c r="AQ10" s="68"/>
      <c r="AT10" s="70"/>
      <c r="AW10" s="58"/>
      <c r="AX10" s="68"/>
      <c r="BD10" s="58"/>
    </row>
    <row r="11" spans="1:65" x14ac:dyDescent="0.25">
      <c r="A11" s="68">
        <v>44190</v>
      </c>
      <c r="B11" s="70">
        <v>205.03</v>
      </c>
      <c r="C11" s="70">
        <v>206.2</v>
      </c>
      <c r="D11" s="70">
        <v>206.73</v>
      </c>
      <c r="E11" s="70">
        <v>204.01</v>
      </c>
      <c r="F11" s="70">
        <v>16.53</v>
      </c>
      <c r="G11" s="70">
        <v>-5.8999999999999999E-3</v>
      </c>
      <c r="H11" s="70">
        <v>204.97147435897432</v>
      </c>
      <c r="I11" s="70">
        <v>195.79887464387463</v>
      </c>
      <c r="J11" s="70">
        <v>9.1725997150996932</v>
      </c>
      <c r="K11" s="70">
        <v>7.998154004431794</v>
      </c>
      <c r="L11" s="70">
        <v>1.1744457106678992</v>
      </c>
      <c r="M11" s="70">
        <v>0.20179321596415872</v>
      </c>
      <c r="N11" s="70">
        <v>0</v>
      </c>
      <c r="O11" s="70">
        <v>0</v>
      </c>
      <c r="P11" s="70">
        <v>0.2608335428423621</v>
      </c>
      <c r="Q11" s="70">
        <v>0.10659762949709538</v>
      </c>
      <c r="R11" s="70">
        <v>0.41976817688939372</v>
      </c>
      <c r="S11" s="70">
        <v>0.53344589004565346</v>
      </c>
      <c r="T11" s="70">
        <v>37.803830137546043</v>
      </c>
      <c r="U11" s="70"/>
      <c r="V11" s="70">
        <v>-84.599999999999937</v>
      </c>
      <c r="W11" s="70">
        <v>161.55000000000007</v>
      </c>
      <c r="AQ11" s="68"/>
      <c r="AT11" s="70"/>
      <c r="AW11" s="58"/>
      <c r="AX11" s="68"/>
      <c r="BD11" s="58"/>
    </row>
    <row r="12" spans="1:65" x14ac:dyDescent="0.25">
      <c r="A12" s="68">
        <v>44189</v>
      </c>
      <c r="B12" s="70">
        <v>206.24</v>
      </c>
      <c r="C12" s="70">
        <v>208.52</v>
      </c>
      <c r="D12" s="70">
        <v>209.96</v>
      </c>
      <c r="E12" s="70">
        <v>203.15</v>
      </c>
      <c r="F12" s="70">
        <v>59.17</v>
      </c>
      <c r="G12" s="70">
        <v>-6.7000000000000002E-3</v>
      </c>
      <c r="H12" s="70">
        <v>204.05198717948718</v>
      </c>
      <c r="I12" s="70">
        <v>195.14527065527062</v>
      </c>
      <c r="J12" s="70">
        <v>8.9067165242165629</v>
      </c>
      <c r="K12" s="70">
        <v>7.6016636593859053</v>
      </c>
      <c r="L12" s="70">
        <v>1.3050528648306576</v>
      </c>
      <c r="M12" s="70">
        <v>1.0792906365568983E-2</v>
      </c>
      <c r="N12" s="70">
        <v>0</v>
      </c>
      <c r="O12" s="70">
        <v>0.44787077826725136</v>
      </c>
      <c r="P12" s="70">
        <v>0.2608335428423621</v>
      </c>
      <c r="Q12" s="70">
        <v>0.17057916924955985</v>
      </c>
      <c r="R12" s="70">
        <v>0.20920656963295875</v>
      </c>
      <c r="S12" s="70">
        <v>0.50378203628630291</v>
      </c>
      <c r="T12" s="70">
        <v>50.003011794186037</v>
      </c>
      <c r="U12" s="70"/>
      <c r="V12" s="70">
        <v>-84.599999999999937</v>
      </c>
      <c r="W12" s="70">
        <v>161.55000000000007</v>
      </c>
      <c r="AQ12" s="68"/>
      <c r="AT12" s="70"/>
      <c r="AW12" s="58"/>
      <c r="AX12" s="68"/>
      <c r="BD12" s="58"/>
    </row>
    <row r="13" spans="1:65" x14ac:dyDescent="0.25">
      <c r="A13" s="68">
        <v>44188</v>
      </c>
      <c r="B13" s="70">
        <v>207.63</v>
      </c>
      <c r="C13" s="70">
        <v>209</v>
      </c>
      <c r="D13" s="70">
        <v>212.78</v>
      </c>
      <c r="E13" s="70">
        <v>206.2</v>
      </c>
      <c r="F13" s="70">
        <v>78.92</v>
      </c>
      <c r="G13" s="70">
        <v>-3.7000000000000002E-3</v>
      </c>
      <c r="H13" s="70">
        <v>203.12070512820512</v>
      </c>
      <c r="I13" s="70">
        <v>194.49182336182332</v>
      </c>
      <c r="J13" s="70">
        <v>8.6288817663817952</v>
      </c>
      <c r="K13" s="70">
        <v>7.258260683760696</v>
      </c>
      <c r="L13" s="70">
        <v>1.3706210826210992</v>
      </c>
      <c r="M13" s="70">
        <v>-0.17456239107519791</v>
      </c>
      <c r="N13" s="70">
        <v>0.31914893617021128</v>
      </c>
      <c r="O13" s="70">
        <v>0</v>
      </c>
      <c r="P13" s="70">
        <v>0.35120918784198019</v>
      </c>
      <c r="Q13" s="70">
        <v>7.7067688072881002E-2</v>
      </c>
      <c r="R13" s="70">
        <v>0.64010343585208374</v>
      </c>
      <c r="S13" s="70">
        <v>0.58914409470679618</v>
      </c>
      <c r="T13" s="70">
        <v>50.194399598502848</v>
      </c>
      <c r="U13" s="70"/>
      <c r="V13" s="70">
        <v>-84.599999999999937</v>
      </c>
      <c r="W13" s="70">
        <v>161.55000000000007</v>
      </c>
      <c r="AQ13" s="68"/>
      <c r="AT13" s="70"/>
      <c r="AW13" s="58"/>
      <c r="AX13" s="68"/>
      <c r="BD13" s="58"/>
    </row>
    <row r="14" spans="1:65" x14ac:dyDescent="0.25">
      <c r="A14" s="68">
        <v>44187</v>
      </c>
      <c r="B14" s="70">
        <v>208.4</v>
      </c>
      <c r="C14" s="70">
        <v>200.7</v>
      </c>
      <c r="D14" s="70">
        <v>210.68</v>
      </c>
      <c r="E14" s="70">
        <v>199.19</v>
      </c>
      <c r="F14" s="70">
        <v>109.99</v>
      </c>
      <c r="G14" s="70">
        <v>2.4299999999999999E-2</v>
      </c>
      <c r="H14" s="70">
        <v>202.04961538461538</v>
      </c>
      <c r="I14" s="70">
        <v>193.66816239316233</v>
      </c>
      <c r="J14" s="70">
        <v>8.3814529914530453</v>
      </c>
      <c r="K14" s="70">
        <v>6.9202393162393276</v>
      </c>
      <c r="L14" s="70">
        <v>1.4612136752137177</v>
      </c>
      <c r="M14" s="70">
        <v>-0.34319524540035484</v>
      </c>
      <c r="N14" s="70">
        <v>0</v>
      </c>
      <c r="O14" s="70">
        <v>0.14012184508268166</v>
      </c>
      <c r="P14" s="70">
        <v>0.3127873424928711</v>
      </c>
      <c r="Q14" s="70">
        <v>9.7085094513264095E-2</v>
      </c>
      <c r="R14" s="70">
        <v>0.52626678084327561</v>
      </c>
      <c r="S14" s="70">
        <v>0.56327914561765613</v>
      </c>
      <c r="T14" s="70">
        <v>62.61045834142552</v>
      </c>
      <c r="U14" s="70"/>
      <c r="V14" s="70">
        <v>-84.599999999999937</v>
      </c>
      <c r="W14" s="70">
        <v>161.55000000000007</v>
      </c>
      <c r="AQ14" s="68"/>
      <c r="AT14" s="70"/>
      <c r="AW14" s="58"/>
      <c r="AX14" s="68"/>
      <c r="BD14" s="58"/>
    </row>
    <row r="15" spans="1:65" x14ac:dyDescent="0.25">
      <c r="A15" s="68">
        <v>44186</v>
      </c>
      <c r="B15" s="70">
        <v>203.46</v>
      </c>
      <c r="C15" s="70">
        <v>209.97</v>
      </c>
      <c r="D15" s="70">
        <v>209.99</v>
      </c>
      <c r="E15" s="70">
        <v>200.8</v>
      </c>
      <c r="F15" s="70">
        <v>123.67</v>
      </c>
      <c r="G15" s="70">
        <v>-4.3400000000000001E-2</v>
      </c>
      <c r="H15" s="70">
        <v>199.90685897435898</v>
      </c>
      <c r="I15" s="70">
        <v>192.48029914529911</v>
      </c>
      <c r="J15" s="70">
        <v>7.4265598290598689</v>
      </c>
      <c r="K15" s="70">
        <v>6.4992486546375474</v>
      </c>
      <c r="L15" s="70">
        <v>0.92731117442232147</v>
      </c>
      <c r="M15" s="70">
        <v>-0.57641970438550061</v>
      </c>
      <c r="N15" s="70">
        <v>0</v>
      </c>
      <c r="O15" s="70">
        <v>0.69858541893362236</v>
      </c>
      <c r="P15" s="70">
        <v>0.31977101302794358</v>
      </c>
      <c r="Q15" s="70">
        <v>0.16762680209091396</v>
      </c>
      <c r="R15" s="70">
        <v>0.31215612014987698</v>
      </c>
      <c r="S15" s="70">
        <v>0.51592554708505212</v>
      </c>
      <c r="T15" s="70">
        <v>62.256544727152423</v>
      </c>
      <c r="U15" s="70"/>
      <c r="V15" s="70">
        <v>-84.599999999999937</v>
      </c>
      <c r="W15" s="70">
        <v>161.55000000000007</v>
      </c>
      <c r="AQ15" s="68"/>
      <c r="AT15" s="70"/>
      <c r="AW15" s="58"/>
      <c r="AX15" s="68"/>
      <c r="BD15" s="58"/>
    </row>
    <row r="16" spans="1:65" x14ac:dyDescent="0.25">
      <c r="A16" s="68">
        <v>44183</v>
      </c>
      <c r="B16" s="70">
        <v>212.69</v>
      </c>
      <c r="C16" s="70">
        <v>214</v>
      </c>
      <c r="D16" s="70">
        <v>214.5</v>
      </c>
      <c r="E16" s="70">
        <v>207.22</v>
      </c>
      <c r="F16" s="70">
        <v>133.80000000000001</v>
      </c>
      <c r="G16" s="70">
        <v>-8.5000000000000006E-3</v>
      </c>
      <c r="H16" s="70">
        <v>200.03365384615384</v>
      </c>
      <c r="I16" s="70">
        <v>192.33921652421651</v>
      </c>
      <c r="J16" s="70">
        <v>7.694437321937329</v>
      </c>
      <c r="K16" s="70">
        <v>6.479771288382393</v>
      </c>
      <c r="L16" s="70">
        <v>1.214666033554936</v>
      </c>
      <c r="M16" s="70">
        <v>-0.60326210478346221</v>
      </c>
      <c r="N16" s="70">
        <v>0</v>
      </c>
      <c r="O16" s="70">
        <v>0</v>
      </c>
      <c r="P16" s="70">
        <v>0.31977101302794358</v>
      </c>
      <c r="Q16" s="70">
        <v>2.1768308027849965E-2</v>
      </c>
      <c r="R16" s="70">
        <v>0.87252824675906693</v>
      </c>
      <c r="S16" s="70">
        <v>0.59840220445780323</v>
      </c>
      <c r="T16" s="70">
        <v>62.799421550935655</v>
      </c>
      <c r="U16" s="70"/>
      <c r="V16" s="70">
        <v>-84.599999999999937</v>
      </c>
      <c r="W16" s="70">
        <v>161.55000000000007</v>
      </c>
      <c r="AQ16" s="68"/>
      <c r="AT16" s="70"/>
      <c r="AW16" s="58"/>
      <c r="AX16" s="68"/>
      <c r="BD16" s="58"/>
    </row>
    <row r="17" spans="1:56" x14ac:dyDescent="0.25">
      <c r="A17" s="68">
        <v>44182</v>
      </c>
      <c r="B17" s="70">
        <v>214.52</v>
      </c>
      <c r="C17" s="70">
        <v>206.69</v>
      </c>
      <c r="D17" s="70">
        <v>215.38</v>
      </c>
      <c r="E17" s="70">
        <v>206.51</v>
      </c>
      <c r="F17" s="70">
        <v>159.63</v>
      </c>
      <c r="G17" s="70">
        <v>4.0300000000000002E-2</v>
      </c>
      <c r="H17" s="70">
        <v>198.51923076923075</v>
      </c>
      <c r="I17" s="70">
        <v>191.05810541310541</v>
      </c>
      <c r="J17" s="70">
        <v>7.4611253561253363</v>
      </c>
      <c r="K17" s="70">
        <v>6.4121490978157514</v>
      </c>
      <c r="L17" s="70">
        <v>1.048976258309585</v>
      </c>
      <c r="M17" s="70">
        <v>-0.66625035742983907</v>
      </c>
      <c r="N17" s="70">
        <v>1</v>
      </c>
      <c r="O17" s="70">
        <v>0</v>
      </c>
      <c r="P17" s="70">
        <v>0.49345311539467368</v>
      </c>
      <c r="Q17" s="70">
        <v>2.1768308027849965E-2</v>
      </c>
      <c r="R17" s="70">
        <v>0.91549921242308996</v>
      </c>
      <c r="S17" s="70">
        <v>0.58160581527923449</v>
      </c>
      <c r="T17" s="70">
        <v>63.692546836902906</v>
      </c>
      <c r="U17" s="70"/>
      <c r="V17" s="70">
        <v>-84.599999999999937</v>
      </c>
      <c r="W17" s="70">
        <v>161.55000000000007</v>
      </c>
      <c r="AQ17" s="68"/>
      <c r="AT17" s="70"/>
      <c r="AW17" s="58"/>
      <c r="AX17" s="68"/>
      <c r="BD17" s="58"/>
    </row>
    <row r="18" spans="1:56" x14ac:dyDescent="0.25">
      <c r="A18" s="68">
        <v>44181</v>
      </c>
      <c r="B18" s="70">
        <v>206.2</v>
      </c>
      <c r="C18" s="70">
        <v>201</v>
      </c>
      <c r="D18" s="70">
        <v>206.2</v>
      </c>
      <c r="E18" s="70">
        <v>199.54</v>
      </c>
      <c r="F18" s="70">
        <v>75.25</v>
      </c>
      <c r="G18" s="70">
        <v>2.5899999999999999E-2</v>
      </c>
      <c r="H18" s="70">
        <v>195.18166666666664</v>
      </c>
      <c r="I18" s="70">
        <v>188.87521367521364</v>
      </c>
      <c r="J18" s="70">
        <v>6.3064529914529999</v>
      </c>
      <c r="K18" s="70">
        <v>6.2333494776828067</v>
      </c>
      <c r="L18" s="70">
        <v>7.3103513770193196E-2</v>
      </c>
      <c r="M18" s="70">
        <v>-0.80321373782911476</v>
      </c>
      <c r="N18" s="70">
        <v>0.5870870870870869</v>
      </c>
      <c r="O18" s="70">
        <v>0</v>
      </c>
      <c r="P18" s="70">
        <v>0.36853149047304873</v>
      </c>
      <c r="Q18" s="70">
        <v>5.4347493548212132E-2</v>
      </c>
      <c r="R18" s="70">
        <v>0.742964320281853</v>
      </c>
      <c r="S18" s="70">
        <v>0.50367269231346912</v>
      </c>
      <c r="T18" s="70">
        <v>63.143662473674503</v>
      </c>
      <c r="U18" s="70"/>
      <c r="V18" s="70">
        <v>-84.599999999999937</v>
      </c>
      <c r="W18" s="70">
        <v>161.55000000000007</v>
      </c>
      <c r="AQ18" s="68"/>
      <c r="AT18" s="70"/>
      <c r="AW18" s="58"/>
      <c r="AX18" s="68"/>
      <c r="BD18" s="58"/>
    </row>
    <row r="19" spans="1:56" x14ac:dyDescent="0.25">
      <c r="A19" s="68">
        <v>44180</v>
      </c>
      <c r="B19" s="70">
        <v>201</v>
      </c>
      <c r="C19" s="70">
        <v>199.01</v>
      </c>
      <c r="D19" s="70">
        <v>202.29</v>
      </c>
      <c r="E19" s="70">
        <v>197.05</v>
      </c>
      <c r="F19" s="70">
        <v>65.569999999999993</v>
      </c>
      <c r="G19" s="70">
        <v>5.4999999999999997E-3</v>
      </c>
      <c r="H19" s="70">
        <v>192.66750000000002</v>
      </c>
      <c r="I19" s="70">
        <v>187.30484330484327</v>
      </c>
      <c r="J19" s="70">
        <v>5.362656695156744</v>
      </c>
      <c r="K19" s="70">
        <v>6.2587643241532138</v>
      </c>
      <c r="L19" s="70">
        <v>-0.89610762899646978</v>
      </c>
      <c r="M19" s="70">
        <v>-0.82346289860818811</v>
      </c>
      <c r="N19" s="70">
        <v>0</v>
      </c>
      <c r="O19" s="70">
        <v>0.33015267175572444</v>
      </c>
      <c r="P19" s="70">
        <v>0.24595286789442622</v>
      </c>
      <c r="Q19" s="70">
        <v>0.13361371094319829</v>
      </c>
      <c r="R19" s="70">
        <v>0.29596693495842713</v>
      </c>
      <c r="S19" s="70">
        <v>0.40757098875617442</v>
      </c>
      <c r="T19" s="70">
        <v>62.730817237785189</v>
      </c>
      <c r="U19" s="70"/>
      <c r="V19" s="70">
        <v>-84.599999999999937</v>
      </c>
      <c r="W19" s="70">
        <v>161.55000000000007</v>
      </c>
      <c r="AQ19" s="68"/>
      <c r="AT19" s="70"/>
      <c r="AW19" s="58"/>
      <c r="AX19" s="68"/>
      <c r="BD19" s="58"/>
    </row>
    <row r="20" spans="1:56" x14ac:dyDescent="0.25">
      <c r="A20" s="68">
        <v>44179</v>
      </c>
      <c r="B20" s="70">
        <v>199.91</v>
      </c>
      <c r="C20" s="70">
        <v>203.5</v>
      </c>
      <c r="D20" s="70">
        <v>207.85</v>
      </c>
      <c r="E20" s="70">
        <v>198.78</v>
      </c>
      <c r="F20" s="70">
        <v>123.35</v>
      </c>
      <c r="G20" s="70">
        <v>-7.9000000000000008E-3</v>
      </c>
      <c r="H20" s="70">
        <v>191.43506410256407</v>
      </c>
      <c r="I20" s="70">
        <v>186.12474358974359</v>
      </c>
      <c r="J20" s="70">
        <v>5.310320512820482</v>
      </c>
      <c r="K20" s="70">
        <v>6.6293600823045038</v>
      </c>
      <c r="L20" s="70">
        <v>-1.3190395694840218</v>
      </c>
      <c r="M20" s="70">
        <v>-0.67537710848822052</v>
      </c>
      <c r="N20" s="70">
        <v>0.68577728776185265</v>
      </c>
      <c r="O20" s="70">
        <v>0</v>
      </c>
      <c r="P20" s="70">
        <v>0.34392105186040517</v>
      </c>
      <c r="Q20" s="70">
        <v>8.2995753836691721E-2</v>
      </c>
      <c r="R20" s="70">
        <v>0.61118535166976629</v>
      </c>
      <c r="S20" s="70">
        <v>0.46832625683503132</v>
      </c>
      <c r="T20" s="70">
        <v>50.312666571328279</v>
      </c>
      <c r="U20" s="70"/>
      <c r="V20" s="70">
        <v>-84.599999999999937</v>
      </c>
      <c r="W20" s="70">
        <v>161.55000000000007</v>
      </c>
      <c r="AQ20" s="68"/>
      <c r="AT20" s="70"/>
      <c r="AW20" s="58"/>
      <c r="AX20" s="68"/>
      <c r="BD20" s="58"/>
    </row>
    <row r="21" spans="1:56" x14ac:dyDescent="0.25">
      <c r="A21" s="68">
        <v>44176</v>
      </c>
      <c r="B21" s="70">
        <v>201.5</v>
      </c>
      <c r="C21" s="70">
        <v>193.01</v>
      </c>
      <c r="D21" s="70">
        <v>201.63</v>
      </c>
      <c r="E21" s="70">
        <v>192.31</v>
      </c>
      <c r="F21" s="70">
        <v>103.07</v>
      </c>
      <c r="G21" s="70">
        <v>4.4299999999999999E-2</v>
      </c>
      <c r="H21" s="70">
        <v>190.66499999999996</v>
      </c>
      <c r="I21" s="70">
        <v>184.99643874643877</v>
      </c>
      <c r="J21" s="70">
        <v>5.6685612535611938</v>
      </c>
      <c r="K21" s="70">
        <v>7.140780943336468</v>
      </c>
      <c r="L21" s="70">
        <v>-1.4722196897752742</v>
      </c>
      <c r="M21" s="70">
        <v>-0.40739032730486213</v>
      </c>
      <c r="N21" s="70">
        <v>0.87124463519313422</v>
      </c>
      <c r="O21" s="70">
        <v>0</v>
      </c>
      <c r="P21" s="70">
        <v>0.35828062404047134</v>
      </c>
      <c r="Q21" s="70">
        <v>8.2995753836691721E-2</v>
      </c>
      <c r="R21" s="70">
        <v>0.62383776699782911</v>
      </c>
      <c r="S21" s="70">
        <v>0.48900489130742342</v>
      </c>
      <c r="T21" s="70">
        <v>63.002313707240653</v>
      </c>
      <c r="U21" s="70"/>
      <c r="V21" s="70">
        <v>-84.599999999999937</v>
      </c>
      <c r="W21" s="70">
        <v>161.55000000000007</v>
      </c>
      <c r="AQ21" s="68"/>
      <c r="AT21" s="70"/>
      <c r="AW21" s="58"/>
      <c r="AX21" s="68"/>
      <c r="BD21" s="58"/>
    </row>
    <row r="22" spans="1:56" x14ac:dyDescent="0.25">
      <c r="A22" s="68">
        <v>44175</v>
      </c>
      <c r="B22" s="70">
        <v>192.95</v>
      </c>
      <c r="C22" s="70">
        <v>189.55</v>
      </c>
      <c r="D22" s="70">
        <v>193.51</v>
      </c>
      <c r="E22" s="70">
        <v>188.67</v>
      </c>
      <c r="F22" s="70">
        <v>54.37</v>
      </c>
      <c r="G22" s="70">
        <v>1.9E-2</v>
      </c>
      <c r="H22" s="70">
        <v>188.39980769230766</v>
      </c>
      <c r="I22" s="70">
        <v>183.01695156695158</v>
      </c>
      <c r="J22" s="70">
        <v>5.3828561253560849</v>
      </c>
      <c r="K22" s="70">
        <v>7.500029914529887</v>
      </c>
      <c r="L22" s="70">
        <v>-2.1171737891738021</v>
      </c>
      <c r="M22" s="70">
        <v>-0.16189541133131005</v>
      </c>
      <c r="N22" s="70">
        <v>8.6776859504129583E-2</v>
      </c>
      <c r="O22" s="70">
        <v>0</v>
      </c>
      <c r="P22" s="70">
        <v>0.22183513078655004</v>
      </c>
      <c r="Q22" s="70">
        <v>8.2995753836691721E-2</v>
      </c>
      <c r="R22" s="70">
        <v>0.45546361590446449</v>
      </c>
      <c r="S22" s="70">
        <v>0.4825653889899475</v>
      </c>
      <c r="T22" s="70">
        <v>62.606241677873243</v>
      </c>
      <c r="U22" s="70"/>
      <c r="V22" s="70">
        <v>-84.599999999999937</v>
      </c>
      <c r="W22" s="70">
        <v>161.55000000000007</v>
      </c>
      <c r="AQ22" s="68"/>
      <c r="AT22" s="70"/>
      <c r="AW22" s="58"/>
      <c r="AX22" s="68"/>
      <c r="BD22" s="58"/>
    </row>
    <row r="23" spans="1:56" x14ac:dyDescent="0.25">
      <c r="A23" s="68">
        <v>44174</v>
      </c>
      <c r="B23" s="70">
        <v>189.35</v>
      </c>
      <c r="C23" s="70">
        <v>190.3</v>
      </c>
      <c r="D23" s="70">
        <v>193.09</v>
      </c>
      <c r="E23" s="70">
        <v>189.05</v>
      </c>
      <c r="F23" s="70">
        <v>52.7</v>
      </c>
      <c r="G23" s="70">
        <v>-3.3999999999999998E-3</v>
      </c>
      <c r="H23" s="70">
        <v>187.4094871794872</v>
      </c>
      <c r="I23" s="70">
        <v>181.61566951566954</v>
      </c>
      <c r="J23" s="70">
        <v>5.7938176638176628</v>
      </c>
      <c r="K23" s="70">
        <v>8.04876923076921</v>
      </c>
      <c r="L23" s="70">
        <v>-2.2549515669515472</v>
      </c>
      <c r="M23" s="70">
        <v>0.21518073948843669</v>
      </c>
      <c r="N23" s="70">
        <v>0.40594059405941041</v>
      </c>
      <c r="O23" s="70">
        <v>0</v>
      </c>
      <c r="P23" s="70">
        <v>0.29098681272643478</v>
      </c>
      <c r="Q23" s="70">
        <v>8.2995753836691721E-2</v>
      </c>
      <c r="R23" s="70">
        <v>0.55615175006997319</v>
      </c>
      <c r="S23" s="70">
        <v>0.52587324783623857</v>
      </c>
      <c r="T23" s="70">
        <v>50.191862366280269</v>
      </c>
      <c r="U23" s="70"/>
      <c r="V23" s="70">
        <v>-84.599999999999937</v>
      </c>
      <c r="W23" s="70">
        <v>161.55000000000007</v>
      </c>
      <c r="AQ23" s="68"/>
      <c r="AT23" s="70"/>
      <c r="AW23" s="58"/>
      <c r="AX23" s="68"/>
      <c r="BD23" s="58"/>
    </row>
    <row r="24" spans="1:56" x14ac:dyDescent="0.25">
      <c r="A24" s="68">
        <v>44173</v>
      </c>
      <c r="B24" s="70">
        <v>190</v>
      </c>
      <c r="C24" s="70">
        <v>190.35</v>
      </c>
      <c r="D24" s="70">
        <v>191.45</v>
      </c>
      <c r="E24" s="70">
        <v>187.8</v>
      </c>
      <c r="F24" s="70">
        <v>48.45</v>
      </c>
      <c r="G24" s="70">
        <v>-4.0000000000000001E-3</v>
      </c>
      <c r="H24" s="70">
        <v>187.14282051282052</v>
      </c>
      <c r="I24" s="70">
        <v>180.53810541310543</v>
      </c>
      <c r="J24" s="70">
        <v>6.6047150997150936</v>
      </c>
      <c r="K24" s="70">
        <v>8.6100895853117834</v>
      </c>
      <c r="L24" s="70">
        <v>-2.0053744855966897</v>
      </c>
      <c r="M24" s="70">
        <v>0.67031727942839203</v>
      </c>
      <c r="N24" s="70">
        <v>0</v>
      </c>
      <c r="O24" s="70">
        <v>0</v>
      </c>
      <c r="P24" s="70">
        <v>0.20622998539534912</v>
      </c>
      <c r="Q24" s="70">
        <v>8.2995753836691721E-2</v>
      </c>
      <c r="R24" s="70">
        <v>0.42608321059485194</v>
      </c>
      <c r="S24" s="70">
        <v>0.52890811366029911</v>
      </c>
      <c r="T24" s="70">
        <v>62.742304450776572</v>
      </c>
      <c r="U24" s="70"/>
      <c r="V24" s="70">
        <v>-84.599999999999937</v>
      </c>
      <c r="W24" s="70">
        <v>161.55000000000007</v>
      </c>
      <c r="AQ24" s="68"/>
      <c r="AT24" s="70"/>
      <c r="AW24" s="58"/>
      <c r="AX24" s="68"/>
      <c r="BD24" s="58"/>
    </row>
    <row r="25" spans="1:56" x14ac:dyDescent="0.25">
      <c r="A25" s="68">
        <v>44172</v>
      </c>
      <c r="B25" s="70">
        <v>190.76</v>
      </c>
      <c r="C25" s="70">
        <v>188.22</v>
      </c>
      <c r="D25" s="70">
        <v>192.85</v>
      </c>
      <c r="E25" s="70">
        <v>187.8</v>
      </c>
      <c r="F25" s="70">
        <v>53.54</v>
      </c>
      <c r="G25" s="70">
        <v>1.04E-2</v>
      </c>
      <c r="H25" s="70">
        <v>186.78096153846155</v>
      </c>
      <c r="I25" s="70">
        <v>179.32232193732196</v>
      </c>
      <c r="J25" s="70">
        <v>7.4586396011395948</v>
      </c>
      <c r="K25" s="70">
        <v>9.1068732193731918</v>
      </c>
      <c r="L25" s="70">
        <v>-1.648233618233597</v>
      </c>
      <c r="M25" s="70">
        <v>1.1362306961794144</v>
      </c>
      <c r="N25" s="70">
        <v>0.67920792079208281</v>
      </c>
      <c r="O25" s="70">
        <v>0</v>
      </c>
      <c r="P25" s="70">
        <v>0.30325968836564665</v>
      </c>
      <c r="Q25" s="70">
        <v>8.2995753836691721E-2</v>
      </c>
      <c r="R25" s="70">
        <v>0.57025457886900277</v>
      </c>
      <c r="S25" s="70">
        <v>0.57208762689351822</v>
      </c>
      <c r="T25" s="70">
        <v>62.930884109114814</v>
      </c>
      <c r="U25" s="70"/>
      <c r="V25" s="70">
        <v>-84.599999999999937</v>
      </c>
      <c r="W25" s="70">
        <v>161.55000000000007</v>
      </c>
      <c r="AQ25" s="68"/>
      <c r="AT25" s="70"/>
      <c r="AW25" s="58"/>
      <c r="AX25" s="68"/>
      <c r="BD25" s="58"/>
    </row>
    <row r="26" spans="1:56" x14ac:dyDescent="0.25">
      <c r="A26" s="68">
        <v>44169</v>
      </c>
      <c r="B26" s="70">
        <v>188.79</v>
      </c>
      <c r="C26" s="70">
        <v>186.21</v>
      </c>
      <c r="D26" s="70">
        <v>189.42</v>
      </c>
      <c r="E26" s="70">
        <v>185.85</v>
      </c>
      <c r="F26" s="70">
        <v>50.72</v>
      </c>
      <c r="G26" s="70">
        <v>1.9800000000000002E-2</v>
      </c>
      <c r="H26" s="70">
        <v>186.01250000000002</v>
      </c>
      <c r="I26" s="70">
        <v>177.96485754985756</v>
      </c>
      <c r="J26" s="70">
        <v>8.0476424501424617</v>
      </c>
      <c r="K26" s="70">
        <v>9.4309036087369158</v>
      </c>
      <c r="L26" s="70">
        <v>-1.3832611585944541</v>
      </c>
      <c r="M26" s="70">
        <v>1.5633495716059826</v>
      </c>
      <c r="N26" s="70">
        <v>0.42790697674418193</v>
      </c>
      <c r="O26" s="70">
        <v>0</v>
      </c>
      <c r="P26" s="70">
        <v>0.24535209653178136</v>
      </c>
      <c r="Q26" s="70">
        <v>8.2995753836691721E-2</v>
      </c>
      <c r="R26" s="70">
        <v>0.49446446051921095</v>
      </c>
      <c r="S26" s="70">
        <v>0.57506182958151653</v>
      </c>
      <c r="T26" s="70">
        <v>62.862865554069401</v>
      </c>
      <c r="U26" s="70"/>
      <c r="V26" s="70">
        <v>-84.599999999999937</v>
      </c>
      <c r="W26" s="70">
        <v>161.55000000000007</v>
      </c>
      <c r="AQ26" s="68"/>
      <c r="AT26" s="70"/>
      <c r="AW26" s="58"/>
      <c r="AX26" s="68"/>
      <c r="BD26" s="58"/>
    </row>
    <row r="27" spans="1:56" x14ac:dyDescent="0.25">
      <c r="A27" s="68">
        <v>44168</v>
      </c>
      <c r="B27" s="70">
        <v>185.12</v>
      </c>
      <c r="C27" s="70">
        <v>186.99</v>
      </c>
      <c r="D27" s="70">
        <v>187.58</v>
      </c>
      <c r="E27" s="70">
        <v>184.37</v>
      </c>
      <c r="F27" s="70">
        <v>35.9</v>
      </c>
      <c r="G27" s="70">
        <v>-1.12E-2</v>
      </c>
      <c r="H27" s="70">
        <v>185.18064102564102</v>
      </c>
      <c r="I27" s="70">
        <v>176.46472934472936</v>
      </c>
      <c r="J27" s="70">
        <v>8.7159116809116597</v>
      </c>
      <c r="K27" s="70">
        <v>9.6351468819246264</v>
      </c>
      <c r="L27" s="70">
        <v>-0.91923520101296674</v>
      </c>
      <c r="M27" s="70">
        <v>1.9616801533382677</v>
      </c>
      <c r="N27" s="70">
        <v>0.1059190031152656</v>
      </c>
      <c r="O27" s="70">
        <v>0</v>
      </c>
      <c r="P27" s="70">
        <v>0.17114016776649563</v>
      </c>
      <c r="Q27" s="70">
        <v>9.7953018793956695E-2</v>
      </c>
      <c r="R27" s="70">
        <v>0.27197696793447906</v>
      </c>
      <c r="S27" s="70">
        <v>0.54992954443711384</v>
      </c>
      <c r="T27" s="70">
        <v>62.812125617520763</v>
      </c>
      <c r="U27" s="70"/>
      <c r="V27" s="70">
        <v>-84.599999999999937</v>
      </c>
      <c r="W27" s="70">
        <v>161.55000000000007</v>
      </c>
      <c r="AQ27" s="68"/>
      <c r="AT27" s="70"/>
      <c r="AW27" s="58"/>
      <c r="AX27" s="68"/>
      <c r="BD27" s="58"/>
    </row>
    <row r="28" spans="1:56" x14ac:dyDescent="0.25">
      <c r="A28" s="68">
        <v>44167</v>
      </c>
      <c r="B28" s="70">
        <v>187.22</v>
      </c>
      <c r="C28" s="70">
        <v>185</v>
      </c>
      <c r="D28" s="70">
        <v>187.24</v>
      </c>
      <c r="E28" s="70">
        <v>183.12</v>
      </c>
      <c r="F28" s="70">
        <v>40.25</v>
      </c>
      <c r="G28" s="70">
        <v>1.01E-2</v>
      </c>
      <c r="H28" s="70">
        <v>185.34717948717952</v>
      </c>
      <c r="I28" s="70">
        <v>175.69756410256417</v>
      </c>
      <c r="J28" s="70">
        <v>9.6496153846153447</v>
      </c>
      <c r="K28" s="70">
        <v>9.7520161443494384</v>
      </c>
      <c r="L28" s="70">
        <v>-0.10240075973409368</v>
      </c>
      <c r="M28" s="70">
        <v>2.3685336923285547</v>
      </c>
      <c r="N28" s="70">
        <v>0</v>
      </c>
      <c r="O28" s="70">
        <v>0</v>
      </c>
      <c r="P28" s="70">
        <v>0.20293746423247294</v>
      </c>
      <c r="Q28" s="70">
        <v>9.7953018793956695E-2</v>
      </c>
      <c r="R28" s="70">
        <v>0.34891248265002328</v>
      </c>
      <c r="S28" s="70">
        <v>0.58640509549034681</v>
      </c>
      <c r="T28" s="70">
        <v>75.255419885372532</v>
      </c>
      <c r="U28" s="70"/>
      <c r="V28" s="70">
        <v>-84.599999999999937</v>
      </c>
      <c r="W28" s="70">
        <v>161.55000000000007</v>
      </c>
      <c r="AQ28" s="68"/>
      <c r="AT28" s="70"/>
      <c r="AW28" s="58"/>
      <c r="AX28" s="68"/>
      <c r="BD28" s="58"/>
    </row>
    <row r="29" spans="1:56" x14ac:dyDescent="0.25">
      <c r="A29" s="68">
        <v>44166</v>
      </c>
      <c r="B29" s="70">
        <v>185.34</v>
      </c>
      <c r="C29" s="70">
        <v>182.6</v>
      </c>
      <c r="D29" s="70">
        <v>188.09</v>
      </c>
      <c r="E29" s="70">
        <v>181.78</v>
      </c>
      <c r="F29" s="70">
        <v>67.290000000000006</v>
      </c>
      <c r="G29" s="70">
        <v>1.9E-2</v>
      </c>
      <c r="H29" s="70">
        <v>184.92397435897436</v>
      </c>
      <c r="I29" s="70">
        <v>174.66621082621089</v>
      </c>
      <c r="J29" s="70">
        <v>10.257763532763477</v>
      </c>
      <c r="K29" s="70">
        <v>9.6394248179803306</v>
      </c>
      <c r="L29" s="70">
        <v>0.61833871478314606</v>
      </c>
      <c r="M29" s="70">
        <v>2.647267844532788</v>
      </c>
      <c r="N29" s="70">
        <v>0.46751188589540665</v>
      </c>
      <c r="O29" s="70">
        <v>0</v>
      </c>
      <c r="P29" s="70">
        <v>0.31420243284520832</v>
      </c>
      <c r="Q29" s="70">
        <v>9.7953018793956695E-2</v>
      </c>
      <c r="R29" s="70">
        <v>0.52467925194539045</v>
      </c>
      <c r="S29" s="70">
        <v>0.61896908852674148</v>
      </c>
      <c r="T29" s="70">
        <v>62.816045380875195</v>
      </c>
      <c r="U29" s="70"/>
      <c r="V29" s="70">
        <v>-84.599999999999937</v>
      </c>
      <c r="W29" s="70">
        <v>161.55000000000007</v>
      </c>
      <c r="AQ29" s="68"/>
      <c r="AT29" s="70"/>
      <c r="AW29" s="58"/>
      <c r="AX29" s="68"/>
      <c r="BD29" s="58"/>
    </row>
    <row r="30" spans="1:56" x14ac:dyDescent="0.25">
      <c r="A30" s="68">
        <v>44165</v>
      </c>
      <c r="B30" s="70">
        <v>181.89</v>
      </c>
      <c r="C30" s="70">
        <v>185.13</v>
      </c>
      <c r="D30" s="70">
        <v>185.14</v>
      </c>
      <c r="E30" s="70">
        <v>180.04</v>
      </c>
      <c r="F30" s="70">
        <v>73.3</v>
      </c>
      <c r="G30" s="70">
        <v>-2.1600000000000001E-2</v>
      </c>
      <c r="H30" s="70">
        <v>184.03782051282053</v>
      </c>
      <c r="I30" s="70">
        <v>173.68487179487187</v>
      </c>
      <c r="J30" s="70">
        <v>10.352948717948664</v>
      </c>
      <c r="K30" s="70">
        <v>9.2668594491927436</v>
      </c>
      <c r="L30" s="70">
        <v>1.08608926875592</v>
      </c>
      <c r="M30" s="70">
        <v>2.7874713586508326</v>
      </c>
      <c r="N30" s="70">
        <v>0</v>
      </c>
      <c r="O30" s="70">
        <v>0.4941176470588261</v>
      </c>
      <c r="P30" s="70">
        <v>0.21659006106484868</v>
      </c>
      <c r="Q30" s="70">
        <v>0.17460006014688062</v>
      </c>
      <c r="R30" s="70">
        <v>0.10733911374832808</v>
      </c>
      <c r="S30" s="70">
        <v>0.52756089660456074</v>
      </c>
      <c r="T30" s="70">
        <v>50.339952149876318</v>
      </c>
      <c r="U30" s="70"/>
      <c r="V30" s="70">
        <v>-84.599999999999937</v>
      </c>
      <c r="W30" s="70">
        <v>161.55000000000007</v>
      </c>
      <c r="AQ30" s="68"/>
      <c r="AT30" s="70"/>
      <c r="AW30" s="58"/>
      <c r="AX30" s="68"/>
      <c r="BD30" s="58"/>
    </row>
    <row r="31" spans="1:56" x14ac:dyDescent="0.25">
      <c r="A31" s="68">
        <v>44162</v>
      </c>
      <c r="B31" s="70">
        <v>185.9</v>
      </c>
      <c r="C31" s="70">
        <v>185.04</v>
      </c>
      <c r="D31" s="70">
        <v>186.75</v>
      </c>
      <c r="E31" s="70">
        <v>182.56</v>
      </c>
      <c r="F31" s="70">
        <v>50.01</v>
      </c>
      <c r="G31" s="70">
        <v>2E-3</v>
      </c>
      <c r="H31" s="70">
        <v>184.02153846153843</v>
      </c>
      <c r="I31" s="70">
        <v>173.39002849002853</v>
      </c>
      <c r="J31" s="70">
        <v>10.6315099715099</v>
      </c>
      <c r="K31" s="70">
        <v>8.7655612535612164</v>
      </c>
      <c r="L31" s="70">
        <v>1.8659487179486831</v>
      </c>
      <c r="M31" s="70">
        <v>2.9143930789058845</v>
      </c>
      <c r="N31" s="70">
        <v>0</v>
      </c>
      <c r="O31" s="70">
        <v>0.4868735083532203</v>
      </c>
      <c r="P31" s="70">
        <v>0.23695006915491831</v>
      </c>
      <c r="Q31" s="70">
        <v>0.14098599766857478</v>
      </c>
      <c r="R31" s="70">
        <v>0.25391615119697342</v>
      </c>
      <c r="S31" s="70">
        <v>0.55340440553127968</v>
      </c>
      <c r="T31" s="70">
        <v>62.71135000977926</v>
      </c>
      <c r="U31" s="70"/>
      <c r="V31" s="70">
        <v>-84.599999999999937</v>
      </c>
      <c r="W31" s="70">
        <v>161.55000000000007</v>
      </c>
      <c r="AQ31" s="68"/>
      <c r="AT31" s="70"/>
      <c r="AW31" s="58"/>
      <c r="AX31" s="68"/>
      <c r="BD31" s="58"/>
    </row>
    <row r="32" spans="1:56" x14ac:dyDescent="0.25">
      <c r="A32" s="68">
        <v>44161</v>
      </c>
      <c r="B32" s="70">
        <v>185.52</v>
      </c>
      <c r="C32" s="70">
        <v>188.24</v>
      </c>
      <c r="D32" s="70">
        <v>189.1</v>
      </c>
      <c r="E32" s="70">
        <v>184.6</v>
      </c>
      <c r="F32" s="70">
        <v>45.76</v>
      </c>
      <c r="G32" s="70">
        <v>-1.3299999999999999E-2</v>
      </c>
      <c r="H32" s="70">
        <v>182.87929487179488</v>
      </c>
      <c r="I32" s="70">
        <v>172.59514245014248</v>
      </c>
      <c r="J32" s="70">
        <v>10.284152421652408</v>
      </c>
      <c r="K32" s="70">
        <v>8.0179396961063407</v>
      </c>
      <c r="L32" s="70">
        <v>2.2662127255460671</v>
      </c>
      <c r="M32" s="70">
        <v>2.9409666781461583</v>
      </c>
      <c r="N32" s="70">
        <v>0</v>
      </c>
      <c r="O32" s="70">
        <v>0.27777777777777779</v>
      </c>
      <c r="P32" s="70">
        <v>0.26042742374708144</v>
      </c>
      <c r="Q32" s="70">
        <v>7.9013629013628905E-2</v>
      </c>
      <c r="R32" s="70">
        <v>0.53444859794652055</v>
      </c>
      <c r="S32" s="70">
        <v>0.58618855349358578</v>
      </c>
      <c r="T32" s="70">
        <v>50.275388077554695</v>
      </c>
      <c r="U32" s="70"/>
      <c r="V32" s="70">
        <v>-84.599999999999937</v>
      </c>
      <c r="W32" s="70">
        <v>161.55000000000007</v>
      </c>
      <c r="AQ32" s="68"/>
      <c r="AT32" s="70"/>
      <c r="AW32" s="58"/>
      <c r="AX32" s="68"/>
      <c r="BD32" s="58"/>
    </row>
    <row r="33" spans="1:56" x14ac:dyDescent="0.25">
      <c r="A33" s="68">
        <v>44160</v>
      </c>
      <c r="B33" s="70">
        <v>188.03</v>
      </c>
      <c r="C33" s="70">
        <v>187</v>
      </c>
      <c r="D33" s="70">
        <v>188.76</v>
      </c>
      <c r="E33" s="70">
        <v>185.85</v>
      </c>
      <c r="F33" s="70">
        <v>51.15</v>
      </c>
      <c r="G33" s="70">
        <v>6.7999999999999996E-3</v>
      </c>
      <c r="H33" s="70">
        <v>182.37698717948717</v>
      </c>
      <c r="I33" s="70">
        <v>172.10478632478637</v>
      </c>
      <c r="J33" s="70">
        <v>10.272200854700799</v>
      </c>
      <c r="K33" s="70">
        <v>7.1948839822728381</v>
      </c>
      <c r="L33" s="70">
        <v>3.0773168724279607</v>
      </c>
      <c r="M33" s="70">
        <v>2.9778513996291629</v>
      </c>
      <c r="N33" s="70">
        <v>0.5017182130584128</v>
      </c>
      <c r="O33" s="70">
        <v>0</v>
      </c>
      <c r="P33" s="70">
        <v>0.38864491072745411</v>
      </c>
      <c r="Q33" s="70">
        <v>2.1016071016070906E-2</v>
      </c>
      <c r="R33" s="70">
        <v>0.89739774129024397</v>
      </c>
      <c r="S33" s="70">
        <v>0.61819977912995416</v>
      </c>
      <c r="T33" s="70">
        <v>62.807783552885041</v>
      </c>
      <c r="U33" s="70"/>
      <c r="V33" s="70">
        <v>-84.599999999999937</v>
      </c>
      <c r="W33" s="70">
        <v>161.55000000000007</v>
      </c>
      <c r="AQ33" s="68"/>
      <c r="AT33" s="70"/>
      <c r="AW33" s="58"/>
      <c r="AX33" s="68"/>
      <c r="BD33" s="58"/>
    </row>
    <row r="34" spans="1:56" x14ac:dyDescent="0.25">
      <c r="A34" s="68">
        <v>44159</v>
      </c>
      <c r="B34" s="70">
        <v>186.76</v>
      </c>
      <c r="C34" s="70">
        <v>185.09</v>
      </c>
      <c r="D34" s="70">
        <v>187.3</v>
      </c>
      <c r="E34" s="70">
        <v>183.97</v>
      </c>
      <c r="F34" s="70">
        <v>60.74</v>
      </c>
      <c r="G34" s="70">
        <v>1.4200000000000001E-2</v>
      </c>
      <c r="H34" s="70">
        <v>180.91942307692307</v>
      </c>
      <c r="I34" s="70">
        <v>171.14069800569803</v>
      </c>
      <c r="J34" s="70">
        <v>9.7787250712250398</v>
      </c>
      <c r="K34" s="70">
        <v>6.1302046533712984</v>
      </c>
      <c r="L34" s="70">
        <v>3.6485204178537414</v>
      </c>
      <c r="M34" s="70">
        <v>2.8940237729981191</v>
      </c>
      <c r="N34" s="70">
        <v>0.50150150150150441</v>
      </c>
      <c r="O34" s="70">
        <v>0</v>
      </c>
      <c r="P34" s="70">
        <v>0.36453851419837902</v>
      </c>
      <c r="Q34" s="70">
        <v>2.1016071016070906E-2</v>
      </c>
      <c r="R34" s="70">
        <v>0.89098264255173354</v>
      </c>
      <c r="S34" s="70">
        <v>0.55403701708848119</v>
      </c>
      <c r="T34" s="70">
        <v>62.61244734338905</v>
      </c>
      <c r="U34" s="70"/>
      <c r="V34" s="70">
        <v>-84.599999999999937</v>
      </c>
      <c r="W34" s="70">
        <v>161.55000000000007</v>
      </c>
      <c r="AQ34" s="68"/>
      <c r="AT34" s="70"/>
      <c r="AW34" s="58"/>
      <c r="AX34" s="68"/>
      <c r="BD34" s="58"/>
    </row>
    <row r="35" spans="1:56" x14ac:dyDescent="0.25">
      <c r="A35" s="68">
        <v>44158</v>
      </c>
      <c r="B35" s="70">
        <v>184.15</v>
      </c>
      <c r="C35" s="70">
        <v>183.62</v>
      </c>
      <c r="D35" s="70">
        <v>185.63</v>
      </c>
      <c r="E35" s="70">
        <v>182.77</v>
      </c>
      <c r="F35" s="70">
        <v>41.08</v>
      </c>
      <c r="G35" s="70">
        <v>5.1000000000000004E-3</v>
      </c>
      <c r="H35" s="70">
        <v>178.97788461538465</v>
      </c>
      <c r="I35" s="70">
        <v>170.13611111111115</v>
      </c>
      <c r="J35" s="70">
        <v>8.8417735042735046</v>
      </c>
      <c r="K35" s="70">
        <v>4.9414404874960329</v>
      </c>
      <c r="L35" s="70">
        <v>3.9003330167774717</v>
      </c>
      <c r="M35" s="70">
        <v>2.7215156973447474</v>
      </c>
      <c r="N35" s="70">
        <v>0.44405594405594001</v>
      </c>
      <c r="O35" s="70">
        <v>0</v>
      </c>
      <c r="P35" s="70">
        <v>0.37604492474325013</v>
      </c>
      <c r="Q35" s="70">
        <v>2.1016071016070906E-2</v>
      </c>
      <c r="R35" s="70">
        <v>0.89414185104794419</v>
      </c>
      <c r="S35" s="70">
        <v>0.50297238932378308</v>
      </c>
      <c r="T35" s="70">
        <v>62.257279056209057</v>
      </c>
      <c r="U35" s="70"/>
      <c r="V35" s="70">
        <v>-84.599999999999937</v>
      </c>
      <c r="W35" s="70">
        <v>161.55000000000007</v>
      </c>
      <c r="AQ35" s="68"/>
      <c r="AT35" s="70"/>
      <c r="AW35" s="58"/>
      <c r="AX35" s="68"/>
      <c r="BD35" s="58"/>
    </row>
    <row r="36" spans="1:56" x14ac:dyDescent="0.25">
      <c r="A36" s="68">
        <v>44155</v>
      </c>
      <c r="B36" s="70">
        <v>183.21</v>
      </c>
      <c r="C36" s="70">
        <v>184.1</v>
      </c>
      <c r="D36" s="70">
        <v>184.36</v>
      </c>
      <c r="E36" s="70">
        <v>182.1</v>
      </c>
      <c r="F36" s="70">
        <v>31.88</v>
      </c>
      <c r="G36" s="70">
        <v>-5.1999999999999998E-3</v>
      </c>
      <c r="H36" s="70">
        <v>177.39128205128205</v>
      </c>
      <c r="I36" s="70">
        <v>169.46142450142455</v>
      </c>
      <c r="J36" s="70">
        <v>7.9298575498575019</v>
      </c>
      <c r="K36" s="70">
        <v>3.8226552706552512</v>
      </c>
      <c r="L36" s="70">
        <v>4.1072022792022507</v>
      </c>
      <c r="M36" s="70">
        <v>2.5048285275977431</v>
      </c>
      <c r="N36" s="70">
        <v>0</v>
      </c>
      <c r="O36" s="70">
        <v>0</v>
      </c>
      <c r="P36" s="70">
        <v>0.34131660361383109</v>
      </c>
      <c r="Q36" s="70">
        <v>2.1016071016070906E-2</v>
      </c>
      <c r="R36" s="70">
        <v>0.88399571726432147</v>
      </c>
      <c r="S36" s="70">
        <v>0.43745865302686143</v>
      </c>
      <c r="T36" s="70">
        <v>50.094507487900955</v>
      </c>
      <c r="U36" s="70"/>
      <c r="V36" s="70">
        <v>-84.599999999999937</v>
      </c>
      <c r="W36" s="70">
        <v>161.55000000000007</v>
      </c>
      <c r="AQ36" s="68"/>
      <c r="AT36" s="70"/>
      <c r="AW36" s="58"/>
      <c r="AX36" s="68"/>
      <c r="BD36" s="58"/>
    </row>
    <row r="37" spans="1:56" x14ac:dyDescent="0.25">
      <c r="A37" s="68">
        <v>44154</v>
      </c>
      <c r="B37" s="70">
        <v>184.16</v>
      </c>
      <c r="C37" s="70">
        <v>185.2</v>
      </c>
      <c r="D37" s="70">
        <v>185.88</v>
      </c>
      <c r="E37" s="70">
        <v>181.92</v>
      </c>
      <c r="F37" s="70">
        <v>53.23</v>
      </c>
      <c r="G37" s="70">
        <v>-4.4999999999999997E-3</v>
      </c>
      <c r="H37" s="70">
        <v>175.97769230769231</v>
      </c>
      <c r="I37" s="70">
        <v>168.9630626780627</v>
      </c>
      <c r="J37" s="70">
        <v>7.01462962962961</v>
      </c>
      <c r="K37" s="70">
        <v>2.7274558404558285</v>
      </c>
      <c r="L37" s="70">
        <v>4.2871737891737816</v>
      </c>
      <c r="M37" s="70">
        <v>2.248951775669715</v>
      </c>
      <c r="N37" s="70">
        <v>0</v>
      </c>
      <c r="O37" s="70">
        <v>0</v>
      </c>
      <c r="P37" s="70">
        <v>0.34131660361383109</v>
      </c>
      <c r="Q37" s="70">
        <v>4.4656903867430209E-2</v>
      </c>
      <c r="R37" s="70">
        <v>0.76860119670468174</v>
      </c>
      <c r="S37" s="70">
        <v>0.31733129608824007</v>
      </c>
      <c r="T37" s="70">
        <v>62.512203285821876</v>
      </c>
      <c r="U37" s="70"/>
      <c r="V37" s="70">
        <v>-84.599999999999937</v>
      </c>
      <c r="W37" s="70">
        <v>161.55000000000007</v>
      </c>
      <c r="AQ37" s="68"/>
      <c r="AT37" s="70"/>
      <c r="AW37" s="58"/>
      <c r="AX37" s="68"/>
      <c r="BD37" s="58"/>
    </row>
    <row r="38" spans="1:56" x14ac:dyDescent="0.25">
      <c r="A38" s="68">
        <v>44153</v>
      </c>
      <c r="B38" s="70">
        <v>185</v>
      </c>
      <c r="C38" s="70">
        <v>182.2</v>
      </c>
      <c r="D38" s="70">
        <v>187.69</v>
      </c>
      <c r="E38" s="70">
        <v>180.8</v>
      </c>
      <c r="F38" s="70">
        <v>69.13</v>
      </c>
      <c r="G38" s="70">
        <v>1.15E-2</v>
      </c>
      <c r="H38" s="70">
        <v>174.24397435897436</v>
      </c>
      <c r="I38" s="70">
        <v>168.3917378917379</v>
      </c>
      <c r="J38" s="70">
        <v>5.8522364672364517</v>
      </c>
      <c r="K38" s="70">
        <v>1.5966074707185722</v>
      </c>
      <c r="L38" s="70">
        <v>4.2556289965178795</v>
      </c>
      <c r="M38" s="70">
        <v>1.9422028670917473</v>
      </c>
      <c r="N38" s="70">
        <v>0.34542815674891147</v>
      </c>
      <c r="O38" s="70">
        <v>0</v>
      </c>
      <c r="P38" s="70">
        <v>0.39066348314938987</v>
      </c>
      <c r="Q38" s="70">
        <v>4.8389020807093619E-2</v>
      </c>
      <c r="R38" s="70">
        <v>0.77957524272819234</v>
      </c>
      <c r="S38" s="70">
        <v>0.22735492117468367</v>
      </c>
      <c r="T38" s="70">
        <v>75.110738656770025</v>
      </c>
      <c r="U38" s="70"/>
      <c r="V38" s="70">
        <v>-84.599999999999937</v>
      </c>
      <c r="W38" s="70">
        <v>161.55000000000007</v>
      </c>
      <c r="AQ38" s="68"/>
      <c r="AT38" s="70"/>
      <c r="AW38" s="58"/>
      <c r="AX38" s="68"/>
      <c r="BD38" s="58"/>
    </row>
    <row r="39" spans="1:56" x14ac:dyDescent="0.25">
      <c r="A39" s="68">
        <v>44152</v>
      </c>
      <c r="B39" s="70">
        <v>182.9</v>
      </c>
      <c r="C39" s="70">
        <v>185.05</v>
      </c>
      <c r="D39" s="70">
        <v>185.31</v>
      </c>
      <c r="E39" s="70">
        <v>178.83</v>
      </c>
      <c r="F39" s="70">
        <v>99.35</v>
      </c>
      <c r="G39" s="70">
        <v>-1.3100000000000001E-2</v>
      </c>
      <c r="H39" s="70">
        <v>171.75474358974358</v>
      </c>
      <c r="I39" s="70">
        <v>167.66816239316239</v>
      </c>
      <c r="J39" s="70">
        <v>4.0865811965811929</v>
      </c>
      <c r="K39" s="70">
        <v>0.43388477366254713</v>
      </c>
      <c r="L39" s="70">
        <v>3.6526964229186456</v>
      </c>
      <c r="M39" s="70">
        <v>1.57934864628881</v>
      </c>
      <c r="N39" s="70">
        <v>0</v>
      </c>
      <c r="O39" s="70">
        <v>0.22685185185185203</v>
      </c>
      <c r="P39" s="70">
        <v>0.31854112075126551</v>
      </c>
      <c r="Q39" s="70">
        <v>8.0796428214501059E-2</v>
      </c>
      <c r="R39" s="70">
        <v>0.59534770309602225</v>
      </c>
      <c r="S39" s="70">
        <v>0.10816336297860077</v>
      </c>
      <c r="T39" s="70">
        <v>74.753737686884335</v>
      </c>
      <c r="U39" s="70"/>
      <c r="V39" s="70">
        <v>-84.599999999999937</v>
      </c>
      <c r="W39" s="70">
        <v>161.55000000000007</v>
      </c>
      <c r="AQ39" s="68"/>
      <c r="AT39" s="70"/>
      <c r="AW39" s="58"/>
      <c r="AX39" s="68"/>
      <c r="BD39" s="58"/>
    </row>
    <row r="40" spans="1:56" x14ac:dyDescent="0.25">
      <c r="A40" s="68">
        <v>44151</v>
      </c>
      <c r="B40" s="70">
        <v>185.32</v>
      </c>
      <c r="C40" s="70">
        <v>181.01</v>
      </c>
      <c r="D40" s="70">
        <v>185.62</v>
      </c>
      <c r="E40" s="70">
        <v>180.3</v>
      </c>
      <c r="F40" s="70">
        <v>89.65</v>
      </c>
      <c r="G40" s="70">
        <v>2.7799999999999998E-2</v>
      </c>
      <c r="H40" s="70">
        <v>170.28243589743587</v>
      </c>
      <c r="I40" s="70">
        <v>167.28011396011397</v>
      </c>
      <c r="J40" s="70">
        <v>3.0023219373219092</v>
      </c>
      <c r="K40" s="70">
        <v>-0.47924691358025162</v>
      </c>
      <c r="L40" s="70">
        <v>3.4815688509021609</v>
      </c>
      <c r="M40" s="70">
        <v>1.310987216012846</v>
      </c>
      <c r="N40" s="70">
        <v>0.81766917293233077</v>
      </c>
      <c r="O40" s="70">
        <v>0</v>
      </c>
      <c r="P40" s="70">
        <v>0.43535100259874132</v>
      </c>
      <c r="Q40" s="70">
        <v>8.9643974632935913E-2</v>
      </c>
      <c r="R40" s="70">
        <v>0.65849587702483281</v>
      </c>
      <c r="S40" s="70">
        <v>3.846762874730339E-2</v>
      </c>
      <c r="T40" s="70">
        <v>87.649286971384697</v>
      </c>
      <c r="U40" s="70"/>
      <c r="V40" s="70">
        <v>-84.599999999999937</v>
      </c>
      <c r="W40" s="70">
        <v>161.55000000000007</v>
      </c>
      <c r="AQ40" s="68"/>
      <c r="AT40" s="70"/>
      <c r="AW40" s="58"/>
      <c r="AX40" s="68"/>
      <c r="BD40" s="58"/>
    </row>
    <row r="41" spans="1:56" x14ac:dyDescent="0.25">
      <c r="A41" s="68">
        <v>44148</v>
      </c>
      <c r="B41" s="70">
        <v>180.3</v>
      </c>
      <c r="C41" s="70">
        <v>172.9</v>
      </c>
      <c r="D41" s="70">
        <v>181.27</v>
      </c>
      <c r="E41" s="70">
        <v>172.42</v>
      </c>
      <c r="F41" s="70">
        <v>104.62</v>
      </c>
      <c r="G41" s="70">
        <v>4.2700000000000002E-2</v>
      </c>
      <c r="H41" s="70">
        <v>167.3228205128205</v>
      </c>
      <c r="I41" s="70">
        <v>166.27115384615388</v>
      </c>
      <c r="J41" s="70">
        <v>1.0516666666666197</v>
      </c>
      <c r="K41" s="70">
        <v>-1.5117983539094668</v>
      </c>
      <c r="L41" s="70">
        <v>2.5634650205760865</v>
      </c>
      <c r="M41" s="70">
        <v>0.97857809363791215</v>
      </c>
      <c r="N41" s="70">
        <v>0.67457627118643881</v>
      </c>
      <c r="O41" s="70">
        <v>0</v>
      </c>
      <c r="P41" s="70">
        <v>0.36099690633181181</v>
      </c>
      <c r="Q41" s="70">
        <v>0.13285246682101978</v>
      </c>
      <c r="R41" s="70">
        <v>0.46197171022871408</v>
      </c>
      <c r="S41" s="70">
        <v>-6.7328678517156515E-2</v>
      </c>
      <c r="T41" s="70">
        <v>87.428676741614453</v>
      </c>
      <c r="U41" s="70"/>
      <c r="V41" s="70">
        <v>-84.599999999999937</v>
      </c>
      <c r="W41" s="70">
        <v>161.55000000000007</v>
      </c>
      <c r="AQ41" s="68"/>
      <c r="AT41" s="70"/>
      <c r="AW41" s="58"/>
      <c r="AX41" s="68"/>
      <c r="BD41" s="58"/>
    </row>
    <row r="42" spans="1:56" x14ac:dyDescent="0.25">
      <c r="A42" s="68">
        <v>44147</v>
      </c>
      <c r="B42" s="70">
        <v>172.91</v>
      </c>
      <c r="C42" s="70">
        <v>170</v>
      </c>
      <c r="D42" s="70">
        <v>175.3</v>
      </c>
      <c r="E42" s="70">
        <v>169.75</v>
      </c>
      <c r="F42" s="70">
        <v>72</v>
      </c>
      <c r="G42" s="70">
        <v>1.4E-2</v>
      </c>
      <c r="H42" s="70">
        <v>164.69878205128205</v>
      </c>
      <c r="I42" s="70">
        <v>165.29390313390311</v>
      </c>
      <c r="J42" s="70">
        <v>-0.59512108262106267</v>
      </c>
      <c r="K42" s="70">
        <v>-2.3264202279202109</v>
      </c>
      <c r="L42" s="70">
        <v>1.7312991452991482</v>
      </c>
      <c r="M42" s="70">
        <v>0.73161021884098965</v>
      </c>
      <c r="N42" s="70">
        <v>0</v>
      </c>
      <c r="O42" s="70">
        <v>9.1891891891890065E-2</v>
      </c>
      <c r="P42" s="70">
        <v>0.22015131124892903</v>
      </c>
      <c r="Q42" s="70">
        <v>0.20217756827047298</v>
      </c>
      <c r="R42" s="70">
        <v>4.2558640552617787E-2</v>
      </c>
      <c r="S42" s="70">
        <v>-0.19254786473529345</v>
      </c>
      <c r="T42" s="70">
        <v>87.216066689656202</v>
      </c>
      <c r="U42" s="70"/>
      <c r="V42" s="70">
        <v>-84.599999999999937</v>
      </c>
      <c r="W42" s="70">
        <v>161.55000000000007</v>
      </c>
      <c r="AQ42" s="68"/>
      <c r="AT42" s="70"/>
      <c r="AW42" s="58"/>
      <c r="AX42" s="68"/>
    </row>
    <row r="43" spans="1:56" x14ac:dyDescent="0.25">
      <c r="A43" s="68">
        <v>44146</v>
      </c>
      <c r="B43" s="70">
        <v>170.53</v>
      </c>
      <c r="C43" s="70">
        <v>173.5</v>
      </c>
      <c r="D43" s="70">
        <v>175.15</v>
      </c>
      <c r="E43" s="70">
        <v>170.26</v>
      </c>
      <c r="F43" s="70">
        <v>72.040000000000006</v>
      </c>
      <c r="G43" s="70">
        <v>-1.38E-2</v>
      </c>
      <c r="H43" s="70">
        <v>163.5753205128205</v>
      </c>
      <c r="I43" s="70">
        <v>165.06205128205124</v>
      </c>
      <c r="J43" s="70">
        <v>-1.4867307692307463</v>
      </c>
      <c r="K43" s="70">
        <v>-2.8081039886039703</v>
      </c>
      <c r="L43" s="70">
        <v>1.3213732193732239</v>
      </c>
      <c r="M43" s="70">
        <v>0.6000035273368638</v>
      </c>
      <c r="N43" s="70">
        <v>0.30879345603272285</v>
      </c>
      <c r="O43" s="70">
        <v>0</v>
      </c>
      <c r="P43" s="70">
        <v>0.26426466211074656</v>
      </c>
      <c r="Q43" s="70">
        <v>0.18299134908425418</v>
      </c>
      <c r="R43" s="70">
        <v>0.1817154179981669</v>
      </c>
      <c r="S43" s="70">
        <v>-0.19376648822309075</v>
      </c>
      <c r="T43" s="70">
        <v>75.305441302810749</v>
      </c>
      <c r="U43" s="70"/>
      <c r="V43" s="70">
        <v>-84.599999999999937</v>
      </c>
      <c r="W43" s="70">
        <v>161.55000000000007</v>
      </c>
      <c r="AQ43" s="68"/>
      <c r="AT43" s="70"/>
      <c r="AW43" s="58"/>
      <c r="AX43" s="68"/>
    </row>
    <row r="44" spans="1:56" x14ac:dyDescent="0.25">
      <c r="A44" s="68">
        <v>44145</v>
      </c>
      <c r="B44" s="70">
        <v>172.92</v>
      </c>
      <c r="C44" s="70">
        <v>169.03</v>
      </c>
      <c r="D44" s="70">
        <v>173.64</v>
      </c>
      <c r="E44" s="70">
        <v>167.63</v>
      </c>
      <c r="F44" s="70">
        <v>76.69</v>
      </c>
      <c r="G44" s="70">
        <v>1.6400000000000001E-2</v>
      </c>
      <c r="H44" s="70">
        <v>163.5502564102564</v>
      </c>
      <c r="I44" s="70">
        <v>165.24300569800567</v>
      </c>
      <c r="J44" s="70">
        <v>-1.6927492877492796</v>
      </c>
      <c r="K44" s="70">
        <v>-3.0944922443811191</v>
      </c>
      <c r="L44" s="70">
        <v>1.4017429566318396</v>
      </c>
      <c r="M44" s="70">
        <v>0.54592904974101797</v>
      </c>
      <c r="N44" s="70">
        <v>0.35607321131447417</v>
      </c>
      <c r="O44" s="70">
        <v>0</v>
      </c>
      <c r="P44" s="70">
        <v>0.25065890477521291</v>
      </c>
      <c r="Q44" s="70">
        <v>0.18781579293308845</v>
      </c>
      <c r="R44" s="70">
        <v>0.14332209400126281</v>
      </c>
      <c r="S44" s="70">
        <v>-0.21599146956195178</v>
      </c>
      <c r="T44" s="70">
        <v>88.146167557932259</v>
      </c>
      <c r="U44" s="70"/>
      <c r="V44" s="70">
        <v>-84.599999999999937</v>
      </c>
      <c r="W44" s="70">
        <v>161.55000000000007</v>
      </c>
      <c r="AQ44" s="68"/>
      <c r="AT44" s="70"/>
      <c r="AW44" s="58"/>
      <c r="AX44" s="68"/>
    </row>
    <row r="45" spans="1:56" x14ac:dyDescent="0.25">
      <c r="A45" s="68">
        <v>44144</v>
      </c>
      <c r="B45" s="70">
        <v>170.13</v>
      </c>
      <c r="C45" s="70">
        <v>166.72</v>
      </c>
      <c r="D45" s="70">
        <v>171.5</v>
      </c>
      <c r="E45" s="70">
        <v>164.9</v>
      </c>
      <c r="F45" s="70">
        <v>103.45</v>
      </c>
      <c r="G45" s="70">
        <v>3.1600000000000003E-2</v>
      </c>
      <c r="H45" s="70">
        <v>162.58160256410255</v>
      </c>
      <c r="I45" s="70">
        <v>164.9134757834758</v>
      </c>
      <c r="J45" s="70">
        <v>-2.3318732193732501</v>
      </c>
      <c r="K45" s="70">
        <v>-3.4001119025007811</v>
      </c>
      <c r="L45" s="70">
        <v>1.068238683127531</v>
      </c>
      <c r="M45" s="70">
        <v>0.41360353290267682</v>
      </c>
      <c r="N45" s="70">
        <v>0.85757575757575777</v>
      </c>
      <c r="O45" s="70">
        <v>0</v>
      </c>
      <c r="P45" s="70">
        <v>0.30228486783207631</v>
      </c>
      <c r="Q45" s="70">
        <v>0.18781579293308845</v>
      </c>
      <c r="R45" s="70">
        <v>0.23356237618670858</v>
      </c>
      <c r="S45" s="70">
        <v>-0.20742455784688871</v>
      </c>
      <c r="T45" s="70">
        <v>75.946683295658275</v>
      </c>
      <c r="U45" s="70"/>
      <c r="V45" s="70">
        <v>-84.599999999999937</v>
      </c>
      <c r="W45" s="70">
        <v>161.55000000000007</v>
      </c>
      <c r="AT45" s="70"/>
      <c r="AX45" s="68"/>
      <c r="BD45" s="58"/>
    </row>
    <row r="46" spans="1:56" x14ac:dyDescent="0.25">
      <c r="A46" s="68">
        <v>44141</v>
      </c>
      <c r="B46" s="70">
        <v>164.92</v>
      </c>
      <c r="C46" s="70">
        <v>163</v>
      </c>
      <c r="D46" s="70">
        <v>165.84</v>
      </c>
      <c r="E46" s="70">
        <v>161.52000000000001</v>
      </c>
      <c r="F46" s="70">
        <v>51.68</v>
      </c>
      <c r="G46" s="70">
        <v>7.4999999999999997E-3</v>
      </c>
      <c r="H46" s="70">
        <v>161.37391025641023</v>
      </c>
      <c r="I46" s="70">
        <v>164.46594017094014</v>
      </c>
      <c r="J46" s="70">
        <v>-3.0920299145299168</v>
      </c>
      <c r="K46" s="70">
        <v>-3.660353434631189</v>
      </c>
      <c r="L46" s="70">
        <v>0.56832352010127218</v>
      </c>
      <c r="M46" s="70">
        <v>0.27602759949768962</v>
      </c>
      <c r="N46" s="70">
        <v>0.13657407407407507</v>
      </c>
      <c r="O46" s="70">
        <v>0</v>
      </c>
      <c r="P46" s="70">
        <v>0.16594019398740276</v>
      </c>
      <c r="Q46" s="70">
        <v>0.18781579293308845</v>
      </c>
      <c r="R46" s="70">
        <v>-6.1838102405323718E-2</v>
      </c>
      <c r="S46" s="70">
        <v>-0.25711540164033164</v>
      </c>
      <c r="T46" s="70">
        <v>63.223478356577935</v>
      </c>
      <c r="U46" s="70"/>
      <c r="V46" s="70">
        <v>-84.599999999999937</v>
      </c>
      <c r="W46" s="70">
        <v>161.55000000000007</v>
      </c>
      <c r="AT46" s="70"/>
      <c r="AX46" s="68"/>
      <c r="BD46" s="58"/>
    </row>
    <row r="47" spans="1:56" x14ac:dyDescent="0.25">
      <c r="A47" s="68">
        <v>44140</v>
      </c>
      <c r="B47" s="70">
        <v>163.69999999999999</v>
      </c>
      <c r="C47" s="70">
        <v>163.80000000000001</v>
      </c>
      <c r="D47" s="70">
        <v>165.25</v>
      </c>
      <c r="E47" s="70">
        <v>161.99</v>
      </c>
      <c r="F47" s="70">
        <v>73.28</v>
      </c>
      <c r="G47" s="70">
        <v>1.6199999999999999E-2</v>
      </c>
      <c r="H47" s="70">
        <v>161.29974358974357</v>
      </c>
      <c r="I47" s="70">
        <v>164.55541310541307</v>
      </c>
      <c r="J47" s="70">
        <v>-3.2556695156694957</v>
      </c>
      <c r="K47" s="70">
        <v>-3.7422234884456804</v>
      </c>
      <c r="L47" s="70">
        <v>0.48655397277618473</v>
      </c>
      <c r="M47" s="70">
        <v>0.20325672681229234</v>
      </c>
      <c r="N47" s="70">
        <v>0.80048076923077294</v>
      </c>
      <c r="O47" s="70">
        <v>0</v>
      </c>
      <c r="P47" s="70">
        <v>0.25177912357633264</v>
      </c>
      <c r="Q47" s="70">
        <v>0.20201697636504121</v>
      </c>
      <c r="R47" s="70">
        <v>0.10965750304535503</v>
      </c>
      <c r="S47" s="70">
        <v>-0.24412141240574978</v>
      </c>
      <c r="T47" s="70">
        <v>50.366757798035032</v>
      </c>
      <c r="U47" s="70"/>
      <c r="V47" s="70">
        <v>-84.599999999999937</v>
      </c>
      <c r="W47" s="70">
        <v>161.55000000000007</v>
      </c>
      <c r="AT47" s="70"/>
      <c r="AX47" s="68"/>
      <c r="BD47" s="58"/>
    </row>
    <row r="48" spans="1:56" x14ac:dyDescent="0.25">
      <c r="A48" s="68">
        <v>44138</v>
      </c>
      <c r="B48" s="70">
        <v>161.09</v>
      </c>
      <c r="C48" s="70">
        <v>158.21</v>
      </c>
      <c r="D48" s="70">
        <v>161.91999999999999</v>
      </c>
      <c r="E48" s="70">
        <v>157.44</v>
      </c>
      <c r="F48" s="70">
        <v>71.12</v>
      </c>
      <c r="G48" s="70">
        <v>2.12E-2</v>
      </c>
      <c r="H48" s="70">
        <v>160.89115384615383</v>
      </c>
      <c r="I48" s="70">
        <v>164.63772079772073</v>
      </c>
      <c r="J48" s="70">
        <v>-3.7465669515669049</v>
      </c>
      <c r="K48" s="70">
        <v>-3.9122611585944567</v>
      </c>
      <c r="L48" s="70">
        <v>0.16569420702755178</v>
      </c>
      <c r="M48" s="70">
        <v>8.5030441543274229E-2</v>
      </c>
      <c r="N48" s="70">
        <v>0.87946428571428725</v>
      </c>
      <c r="O48" s="70">
        <v>0</v>
      </c>
      <c r="P48" s="70">
        <v>0.21028353125656396</v>
      </c>
      <c r="Q48" s="70">
        <v>0.24561565411006039</v>
      </c>
      <c r="R48" s="70">
        <v>-7.7499859590850331E-2</v>
      </c>
      <c r="S48" s="70">
        <v>-0.29996549328629007</v>
      </c>
      <c r="T48" s="70">
        <v>37.432014419633369</v>
      </c>
      <c r="U48" s="70"/>
      <c r="V48" s="70">
        <v>-84.599999999999937</v>
      </c>
      <c r="W48" s="70">
        <v>161.55000000000007</v>
      </c>
      <c r="AT48" s="70"/>
      <c r="AX48" s="68"/>
      <c r="BD48" s="58"/>
    </row>
    <row r="49" spans="1:56" x14ac:dyDescent="0.25">
      <c r="A49" s="68">
        <v>44137</v>
      </c>
      <c r="B49" s="70">
        <v>157.74</v>
      </c>
      <c r="C49" s="70">
        <v>153.97999999999999</v>
      </c>
      <c r="D49" s="70">
        <v>157.97999999999999</v>
      </c>
      <c r="E49" s="70">
        <v>151.9</v>
      </c>
      <c r="F49" s="70">
        <v>69.73</v>
      </c>
      <c r="G49" s="70">
        <v>2.24E-2</v>
      </c>
      <c r="H49" s="70">
        <v>160.57955128205128</v>
      </c>
      <c r="I49" s="70">
        <v>164.80445868945864</v>
      </c>
      <c r="J49" s="70">
        <v>-4.2249074074073576</v>
      </c>
      <c r="K49" s="70">
        <v>-4.0613740107628677</v>
      </c>
      <c r="L49" s="70">
        <v>-0.16353339664448985</v>
      </c>
      <c r="M49" s="70">
        <v>-7.7310527395870465E-3</v>
      </c>
      <c r="N49" s="70">
        <v>0</v>
      </c>
      <c r="O49" s="70">
        <v>0.35855263157894945</v>
      </c>
      <c r="P49" s="70">
        <v>5.4883527125356546E-2</v>
      </c>
      <c r="Q49" s="70">
        <v>0.29683745862133887</v>
      </c>
      <c r="R49" s="70">
        <v>-0.68791440175888219</v>
      </c>
      <c r="S49" s="70">
        <v>-0.37746725127408004</v>
      </c>
      <c r="T49" s="70">
        <v>37.637192371358864</v>
      </c>
      <c r="U49" s="70"/>
      <c r="V49" s="70">
        <v>-84.599999999999937</v>
      </c>
      <c r="W49" s="70">
        <v>161.55000000000007</v>
      </c>
      <c r="AT49" s="70"/>
      <c r="AX49" s="68"/>
      <c r="BD49" s="58"/>
    </row>
    <row r="50" spans="1:56" x14ac:dyDescent="0.25">
      <c r="A50" s="68">
        <v>44134</v>
      </c>
      <c r="B50" s="70">
        <v>154.28</v>
      </c>
      <c r="C50" s="70">
        <v>155</v>
      </c>
      <c r="D50" s="70">
        <v>156.19999999999999</v>
      </c>
      <c r="E50" s="70">
        <v>154.08000000000001</v>
      </c>
      <c r="F50" s="70">
        <v>42.72</v>
      </c>
      <c r="G50" s="70">
        <v>-1.5699999999999999E-2</v>
      </c>
      <c r="H50" s="70">
        <v>160.71147435897439</v>
      </c>
      <c r="I50" s="70">
        <v>165.11903133903135</v>
      </c>
      <c r="J50" s="70">
        <v>-4.4075569800569667</v>
      </c>
      <c r="K50" s="70">
        <v>-4.1107193732193519</v>
      </c>
      <c r="L50" s="70">
        <v>-0.29683760683761484</v>
      </c>
      <c r="M50" s="70">
        <v>-5.8976967951319223E-2</v>
      </c>
      <c r="N50" s="70">
        <v>0</v>
      </c>
      <c r="O50" s="70">
        <v>5.6603773584895038E-2</v>
      </c>
      <c r="P50" s="70">
        <v>5.4883527125356546E-2</v>
      </c>
      <c r="Q50" s="70">
        <v>0.23383854715544386</v>
      </c>
      <c r="R50" s="70">
        <v>-0.61981758920186425</v>
      </c>
      <c r="S50" s="70">
        <v>-0.33642407264619367</v>
      </c>
      <c r="T50" s="70">
        <v>25.131507063139011</v>
      </c>
      <c r="U50" s="70"/>
      <c r="V50" s="70">
        <v>-84.599999999999937</v>
      </c>
      <c r="W50" s="70">
        <v>161.55000000000007</v>
      </c>
      <c r="AT50" s="70"/>
      <c r="AX50" s="68"/>
      <c r="BD50" s="58"/>
    </row>
    <row r="51" spans="1:56" x14ac:dyDescent="0.25">
      <c r="A51" s="68">
        <v>44133</v>
      </c>
      <c r="B51" s="70">
        <v>156.74</v>
      </c>
      <c r="C51" s="70">
        <v>155.01</v>
      </c>
      <c r="D51" s="70">
        <v>157.30000000000001</v>
      </c>
      <c r="E51" s="70">
        <v>154.19999999999999</v>
      </c>
      <c r="F51" s="70">
        <v>52.78</v>
      </c>
      <c r="G51" s="70">
        <v>1.5800000000000002E-2</v>
      </c>
      <c r="H51" s="70">
        <v>162.00378205128206</v>
      </c>
      <c r="I51" s="70">
        <v>166.01172364672362</v>
      </c>
      <c r="J51" s="70">
        <v>-4.0079415954415651</v>
      </c>
      <c r="K51" s="70">
        <v>-4.0666354859132392</v>
      </c>
      <c r="L51" s="70">
        <v>5.8693890471674059E-2</v>
      </c>
      <c r="M51" s="70">
        <v>-3.9301789062462587E-2</v>
      </c>
      <c r="N51" s="70">
        <v>0</v>
      </c>
      <c r="O51" s="70">
        <v>0</v>
      </c>
      <c r="P51" s="70">
        <v>5.4883527125356546E-2</v>
      </c>
      <c r="Q51" s="70">
        <v>0.24098751088233711</v>
      </c>
      <c r="R51" s="70">
        <v>-0.62900372070936261</v>
      </c>
      <c r="S51" s="70">
        <v>-0.31880599583026453</v>
      </c>
      <c r="T51" s="70">
        <v>37.767384329944726</v>
      </c>
      <c r="U51" s="70"/>
      <c r="V51" s="70">
        <v>-84.599999999999937</v>
      </c>
      <c r="W51" s="70">
        <v>161.55000000000007</v>
      </c>
      <c r="AT51" s="70"/>
      <c r="AX51" s="68"/>
      <c r="BD51" s="58"/>
    </row>
    <row r="52" spans="1:56" x14ac:dyDescent="0.25">
      <c r="A52" s="68">
        <v>44132</v>
      </c>
      <c r="B52" s="70">
        <v>154.30000000000001</v>
      </c>
      <c r="C52" s="70">
        <v>158.97999999999999</v>
      </c>
      <c r="D52" s="70">
        <v>158.99</v>
      </c>
      <c r="E52" s="70">
        <v>153.69999999999999</v>
      </c>
      <c r="F52" s="70">
        <v>86.9</v>
      </c>
      <c r="G52" s="70">
        <v>-3.0800000000000001E-2</v>
      </c>
      <c r="H52" s="70">
        <v>162.30743589743588</v>
      </c>
      <c r="I52" s="70">
        <v>166.55249287749285</v>
      </c>
      <c r="J52" s="70">
        <v>-4.2450569800569724</v>
      </c>
      <c r="K52" s="70">
        <v>-4.1983814498258818</v>
      </c>
      <c r="L52" s="70">
        <v>-4.6675530231090612E-2</v>
      </c>
      <c r="M52" s="70">
        <v>-0.10571450834697567</v>
      </c>
      <c r="N52" s="70">
        <v>0</v>
      </c>
      <c r="O52" s="70">
        <v>0.85255198487712702</v>
      </c>
      <c r="P52" s="70">
        <v>9.1113508747829849E-2</v>
      </c>
      <c r="Q52" s="70">
        <v>0.36278065157906952</v>
      </c>
      <c r="R52" s="70">
        <v>-0.59852530959107764</v>
      </c>
      <c r="S52" s="70">
        <v>-0.2780694226371524</v>
      </c>
      <c r="T52" s="70">
        <v>25.515029875193207</v>
      </c>
      <c r="U52" s="70"/>
      <c r="V52" s="70">
        <v>-84.599999999999937</v>
      </c>
      <c r="W52" s="70">
        <v>161.55000000000007</v>
      </c>
      <c r="AT52" s="70"/>
      <c r="AX52" s="68"/>
      <c r="BD52" s="58"/>
    </row>
    <row r="53" spans="1:56" x14ac:dyDescent="0.25">
      <c r="A53" s="68">
        <v>44131</v>
      </c>
      <c r="B53" s="70">
        <v>159.21</v>
      </c>
      <c r="C53" s="70">
        <v>162.11000000000001</v>
      </c>
      <c r="D53" s="70">
        <v>162.62</v>
      </c>
      <c r="E53" s="70">
        <v>158.21</v>
      </c>
      <c r="F53" s="70">
        <v>58.29</v>
      </c>
      <c r="G53" s="70">
        <v>-1.83E-2</v>
      </c>
      <c r="H53" s="70">
        <v>164.10288461538462</v>
      </c>
      <c r="I53" s="70">
        <v>167.79582621082616</v>
      </c>
      <c r="J53" s="70">
        <v>-3.692941595441539</v>
      </c>
      <c r="K53" s="70">
        <v>-4.1221970560303696</v>
      </c>
      <c r="L53" s="70">
        <v>0.42925546058883057</v>
      </c>
      <c r="M53" s="70">
        <v>-0.10550896966280032</v>
      </c>
      <c r="N53" s="70">
        <v>0</v>
      </c>
      <c r="O53" s="70">
        <v>0.65532879818593848</v>
      </c>
      <c r="P53" s="70">
        <v>9.1113508747829849E-2</v>
      </c>
      <c r="Q53" s="70">
        <v>0.28874697492063384</v>
      </c>
      <c r="R53" s="70">
        <v>-0.52027908842788551</v>
      </c>
      <c r="S53" s="70">
        <v>-0.26003631496902657</v>
      </c>
      <c r="T53" s="70">
        <v>25.326504285965086</v>
      </c>
      <c r="U53" s="70"/>
      <c r="V53" s="70">
        <v>-84.599999999999937</v>
      </c>
      <c r="W53" s="70">
        <v>161.55000000000007</v>
      </c>
      <c r="AT53" s="70"/>
      <c r="AX53" s="68"/>
      <c r="BD53" s="58"/>
    </row>
    <row r="54" spans="1:56" x14ac:dyDescent="0.25">
      <c r="A54" s="68">
        <v>44130</v>
      </c>
      <c r="B54" s="70">
        <v>162.16999999999999</v>
      </c>
      <c r="C54" s="70">
        <v>164.44</v>
      </c>
      <c r="D54" s="70">
        <v>164.96</v>
      </c>
      <c r="E54" s="70">
        <v>161.1</v>
      </c>
      <c r="F54" s="70">
        <v>53.5</v>
      </c>
      <c r="G54" s="70">
        <v>-1.6899999999999998E-2</v>
      </c>
      <c r="H54" s="70">
        <v>165.10544871794875</v>
      </c>
      <c r="I54" s="70">
        <v>168.65468660968659</v>
      </c>
      <c r="J54" s="70">
        <v>-3.549237891737846</v>
      </c>
      <c r="K54" s="70">
        <v>-4.1700495409939737</v>
      </c>
      <c r="L54" s="70">
        <v>0.62081164925612775</v>
      </c>
      <c r="M54" s="70">
        <v>-0.17616644577327356</v>
      </c>
      <c r="N54" s="70">
        <v>0</v>
      </c>
      <c r="O54" s="70">
        <v>0.8523316062176115</v>
      </c>
      <c r="P54" s="70">
        <v>9.1113508747829849E-2</v>
      </c>
      <c r="Q54" s="70">
        <v>0.2953353641524265</v>
      </c>
      <c r="R54" s="70">
        <v>-0.52845762978148714</v>
      </c>
      <c r="S54" s="70">
        <v>-0.26081736825887958</v>
      </c>
      <c r="T54" s="70">
        <v>25.173742830263123</v>
      </c>
      <c r="U54" s="70"/>
      <c r="V54" s="70">
        <v>-84.599999999999937</v>
      </c>
      <c r="W54" s="70">
        <v>161.55000000000007</v>
      </c>
      <c r="AT54" s="70"/>
      <c r="AX54" s="68"/>
      <c r="BD54" s="58"/>
    </row>
    <row r="55" spans="1:56" x14ac:dyDescent="0.25">
      <c r="A55" s="68">
        <v>44127</v>
      </c>
      <c r="B55" s="70">
        <v>164.96</v>
      </c>
      <c r="C55" s="70">
        <v>165.15</v>
      </c>
      <c r="D55" s="70">
        <v>165.88</v>
      </c>
      <c r="E55" s="70">
        <v>164.39</v>
      </c>
      <c r="F55" s="70">
        <v>32.93</v>
      </c>
      <c r="G55" s="70">
        <v>-1.9E-3</v>
      </c>
      <c r="H55" s="70">
        <v>165.90557692307695</v>
      </c>
      <c r="I55" s="70">
        <v>169.55045584045584</v>
      </c>
      <c r="J55" s="70">
        <v>-3.6448789173788896</v>
      </c>
      <c r="K55" s="70">
        <v>-4.2683160810383001</v>
      </c>
      <c r="L55" s="70">
        <v>0.62343716365941049</v>
      </c>
      <c r="M55" s="70">
        <v>-0.27921773130319694</v>
      </c>
      <c r="N55" s="70">
        <v>0</v>
      </c>
      <c r="O55" s="70">
        <v>0</v>
      </c>
      <c r="P55" s="70">
        <v>9.1113508747829849E-2</v>
      </c>
      <c r="Q55" s="70">
        <v>0.16107944081306683</v>
      </c>
      <c r="R55" s="70">
        <v>-0.27743016681099725</v>
      </c>
      <c r="S55" s="70">
        <v>-0.23053327525190356</v>
      </c>
      <c r="T55" s="70">
        <v>37.717196604968599</v>
      </c>
      <c r="U55" s="70"/>
      <c r="V55" s="70">
        <v>-84.599999999999937</v>
      </c>
      <c r="W55" s="70">
        <v>161.55000000000007</v>
      </c>
      <c r="AT55" s="70"/>
      <c r="AX55" s="68"/>
      <c r="BD55" s="58"/>
    </row>
    <row r="56" spans="1:56" x14ac:dyDescent="0.25">
      <c r="A56" s="68">
        <v>44126</v>
      </c>
      <c r="B56" s="70">
        <v>165.27</v>
      </c>
      <c r="C56" s="70">
        <v>163.87</v>
      </c>
      <c r="D56" s="70">
        <v>166.53</v>
      </c>
      <c r="E56" s="70">
        <v>163.66</v>
      </c>
      <c r="F56" s="70">
        <v>39.97</v>
      </c>
      <c r="G56" s="70">
        <v>5.4999999999999997E-3</v>
      </c>
      <c r="H56" s="70">
        <v>166.18384615384616</v>
      </c>
      <c r="I56" s="70">
        <v>170.24792022792022</v>
      </c>
      <c r="J56" s="70">
        <v>-4.0640740740740569</v>
      </c>
      <c r="K56" s="70">
        <v>-4.3911832858499498</v>
      </c>
      <c r="L56" s="70">
        <v>0.32710921177589292</v>
      </c>
      <c r="M56" s="70">
        <v>-0.41601087421600225</v>
      </c>
      <c r="N56" s="70">
        <v>0</v>
      </c>
      <c r="O56" s="70">
        <v>7.3170731707319733E-2</v>
      </c>
      <c r="P56" s="70">
        <v>0.14843762792761922</v>
      </c>
      <c r="Q56" s="70">
        <v>0.17153240248554108</v>
      </c>
      <c r="R56" s="70">
        <v>-7.2177930314601041E-2</v>
      </c>
      <c r="S56" s="70">
        <v>-0.18506548985010779</v>
      </c>
      <c r="T56" s="70">
        <v>37.677045269229609</v>
      </c>
      <c r="U56" s="70"/>
      <c r="V56" s="70">
        <v>-84.599999999999937</v>
      </c>
      <c r="W56" s="70">
        <v>161.55000000000007</v>
      </c>
      <c r="AT56" s="70"/>
      <c r="AX56" s="68"/>
      <c r="BD56" s="58"/>
    </row>
    <row r="57" spans="1:56" x14ac:dyDescent="0.25">
      <c r="A57" s="68">
        <v>44125</v>
      </c>
      <c r="B57" s="70">
        <v>164.37</v>
      </c>
      <c r="C57" s="70">
        <v>166.8</v>
      </c>
      <c r="D57" s="70">
        <v>167.3</v>
      </c>
      <c r="E57" s="70">
        <v>163.87</v>
      </c>
      <c r="F57" s="70">
        <v>36.69</v>
      </c>
      <c r="G57" s="70">
        <v>-1.2999999999999999E-2</v>
      </c>
      <c r="H57" s="70">
        <v>166.47410256410257</v>
      </c>
      <c r="I57" s="70">
        <v>170.82192307692307</v>
      </c>
      <c r="J57" s="70">
        <v>-4.3478205128205047</v>
      </c>
      <c r="K57" s="70">
        <v>-4.4652190566635062</v>
      </c>
      <c r="L57" s="70">
        <v>0.11739854384300141</v>
      </c>
      <c r="M57" s="70">
        <v>-0.50721654856697929</v>
      </c>
      <c r="N57" s="70">
        <v>5.2478134110789054E-2</v>
      </c>
      <c r="O57" s="70">
        <v>0</v>
      </c>
      <c r="P57" s="70">
        <v>0.18259480045467455</v>
      </c>
      <c r="Q57" s="70">
        <v>0.15625499696423253</v>
      </c>
      <c r="R57" s="70">
        <v>7.7732976944587404E-2</v>
      </c>
      <c r="S57" s="70">
        <v>-0.18956675745486609</v>
      </c>
      <c r="T57" s="70">
        <v>37.854400361364142</v>
      </c>
      <c r="U57" s="70"/>
      <c r="V57" s="70">
        <v>-84.599999999999937</v>
      </c>
      <c r="W57" s="70">
        <v>161.55000000000007</v>
      </c>
      <c r="AT57" s="70"/>
      <c r="AX57" s="68"/>
      <c r="BD57" s="58"/>
    </row>
    <row r="58" spans="1:56" x14ac:dyDescent="0.25">
      <c r="A58" s="68">
        <v>44124</v>
      </c>
      <c r="B58" s="70">
        <v>166.53</v>
      </c>
      <c r="C58" s="70">
        <v>163.74</v>
      </c>
      <c r="D58" s="70">
        <v>167.12</v>
      </c>
      <c r="E58" s="70">
        <v>162.80000000000001</v>
      </c>
      <c r="F58" s="70">
        <v>50.48</v>
      </c>
      <c r="G58" s="70">
        <v>1.7899999999999999E-2</v>
      </c>
      <c r="H58" s="70">
        <v>167.24852564102565</v>
      </c>
      <c r="I58" s="70">
        <v>171.61760683760684</v>
      </c>
      <c r="J58" s="70">
        <v>-4.3690811965811918</v>
      </c>
      <c r="K58" s="70">
        <v>-4.4339010762899767</v>
      </c>
      <c r="L58" s="70">
        <v>6.4819879708784889E-2</v>
      </c>
      <c r="M58" s="70">
        <v>-0.54011993641053735</v>
      </c>
      <c r="N58" s="70">
        <v>0.3518518518518548</v>
      </c>
      <c r="O58" s="70">
        <v>0</v>
      </c>
      <c r="P58" s="70">
        <v>0.2219023776631264</v>
      </c>
      <c r="Q58" s="70">
        <v>0.17436875134172325</v>
      </c>
      <c r="R58" s="70">
        <v>0.1199522822688943</v>
      </c>
      <c r="S58" s="70">
        <v>-0.24114815715361315</v>
      </c>
      <c r="T58" s="70">
        <v>37.780449320009019</v>
      </c>
      <c r="U58" s="70"/>
      <c r="V58" s="70">
        <v>-84.599999999999937</v>
      </c>
      <c r="W58" s="70">
        <v>161.55000000000007</v>
      </c>
      <c r="AT58" s="70"/>
      <c r="AX58" s="68"/>
      <c r="BD58" s="58"/>
    </row>
    <row r="59" spans="1:56" x14ac:dyDescent="0.25">
      <c r="A59" s="68">
        <v>44123</v>
      </c>
      <c r="B59" s="70">
        <v>163.6</v>
      </c>
      <c r="C59" s="70">
        <v>165</v>
      </c>
      <c r="D59" s="70">
        <v>165.6</v>
      </c>
      <c r="E59" s="70">
        <v>163</v>
      </c>
      <c r="F59" s="70">
        <v>34.06</v>
      </c>
      <c r="G59" s="70">
        <v>-2.3E-3</v>
      </c>
      <c r="H59" s="70">
        <v>167.00506410256412</v>
      </c>
      <c r="I59" s="70">
        <v>171.81581196581197</v>
      </c>
      <c r="J59" s="70">
        <v>-4.8107478632478546</v>
      </c>
      <c r="K59" s="70">
        <v>-4.4525471668249583</v>
      </c>
      <c r="L59" s="70">
        <v>-0.35820069642289631</v>
      </c>
      <c r="M59" s="70">
        <v>-0.59801443633922469</v>
      </c>
      <c r="N59" s="70">
        <v>0</v>
      </c>
      <c r="O59" s="70">
        <v>0.21538461538461673</v>
      </c>
      <c r="P59" s="70">
        <v>0.14843880419955233</v>
      </c>
      <c r="Q59" s="70">
        <v>0.24031563244895457</v>
      </c>
      <c r="R59" s="70">
        <v>-0.23633641082396922</v>
      </c>
      <c r="S59" s="70">
        <v>-0.3436879836851538</v>
      </c>
      <c r="T59" s="70">
        <v>25.250788406667667</v>
      </c>
      <c r="U59" s="70"/>
      <c r="V59" s="70">
        <v>-84.599999999999937</v>
      </c>
      <c r="W59" s="70">
        <v>161.55000000000007</v>
      </c>
      <c r="AT59" s="70"/>
      <c r="AX59" s="68"/>
      <c r="BD59" s="58"/>
    </row>
    <row r="60" spans="1:56" x14ac:dyDescent="0.25">
      <c r="A60" s="68">
        <v>44120</v>
      </c>
      <c r="B60" s="70">
        <v>163.98</v>
      </c>
      <c r="C60" s="70">
        <v>167.24</v>
      </c>
      <c r="D60" s="70">
        <v>167.25</v>
      </c>
      <c r="E60" s="70">
        <v>163.56</v>
      </c>
      <c r="F60" s="70">
        <v>50.42</v>
      </c>
      <c r="G60" s="70">
        <v>-1.9E-2</v>
      </c>
      <c r="H60" s="70">
        <v>167.40198717948718</v>
      </c>
      <c r="I60" s="70">
        <v>172.35856125356131</v>
      </c>
      <c r="J60" s="70">
        <v>-4.9565740740741262</v>
      </c>
      <c r="K60" s="70">
        <v>-4.3452255460589075</v>
      </c>
      <c r="L60" s="70">
        <v>-0.61134852801521866</v>
      </c>
      <c r="M60" s="70">
        <v>-0.57305525813218983</v>
      </c>
      <c r="N60" s="70">
        <v>0</v>
      </c>
      <c r="O60" s="70">
        <v>0.66124661246612448</v>
      </c>
      <c r="P60" s="70">
        <v>0.14843880419955233</v>
      </c>
      <c r="Q60" s="70">
        <v>0.29585801690333047</v>
      </c>
      <c r="R60" s="70">
        <v>-0.3318034379310611</v>
      </c>
      <c r="S60" s="70">
        <v>-0.3605858016092513</v>
      </c>
      <c r="T60" s="70">
        <v>25.163308216666792</v>
      </c>
      <c r="U60" s="70"/>
      <c r="V60" s="70">
        <v>-84.599999999999937</v>
      </c>
      <c r="W60" s="70">
        <v>161.55000000000007</v>
      </c>
      <c r="AT60" s="70"/>
      <c r="AX60" s="68"/>
      <c r="BD60" s="58"/>
    </row>
    <row r="61" spans="1:56" x14ac:dyDescent="0.25">
      <c r="A61" s="68">
        <v>44119</v>
      </c>
      <c r="B61" s="70">
        <v>167.16</v>
      </c>
      <c r="C61" s="70">
        <v>166.87</v>
      </c>
      <c r="D61" s="70">
        <v>168.85</v>
      </c>
      <c r="E61" s="70">
        <v>166</v>
      </c>
      <c r="F61" s="70">
        <v>39.9</v>
      </c>
      <c r="G61" s="70">
        <v>-5.0000000000000001E-4</v>
      </c>
      <c r="H61" s="70">
        <v>168.31358974358974</v>
      </c>
      <c r="I61" s="70">
        <v>172.94383190883192</v>
      </c>
      <c r="J61" s="70">
        <v>-4.6302421652421799</v>
      </c>
      <c r="K61" s="70">
        <v>-4.1023801836024258</v>
      </c>
      <c r="L61" s="70">
        <v>-0.52786198163975406</v>
      </c>
      <c r="M61" s="70">
        <v>-0.46488194553151863</v>
      </c>
      <c r="N61" s="70">
        <v>0.42807017543859693</v>
      </c>
      <c r="O61" s="70">
        <v>0</v>
      </c>
      <c r="P61" s="70">
        <v>0.20959168640506617</v>
      </c>
      <c r="Q61" s="70">
        <v>0.18230704892064806</v>
      </c>
      <c r="R61" s="70">
        <v>6.9621652291736419E-2</v>
      </c>
      <c r="S61" s="70">
        <v>-0.2942714930503636</v>
      </c>
      <c r="T61" s="70">
        <v>37.776454829587735</v>
      </c>
      <c r="U61" s="70"/>
      <c r="V61" s="70">
        <v>-84.599999999999937</v>
      </c>
      <c r="W61" s="70">
        <v>161.55000000000007</v>
      </c>
      <c r="AT61" s="70"/>
      <c r="AX61" s="68"/>
      <c r="BD61" s="58"/>
    </row>
    <row r="62" spans="1:56" x14ac:dyDescent="0.25">
      <c r="A62" s="68">
        <v>44118</v>
      </c>
      <c r="B62" s="70">
        <v>167.24</v>
      </c>
      <c r="C62" s="70">
        <v>166.68</v>
      </c>
      <c r="D62" s="70">
        <v>167.63</v>
      </c>
      <c r="E62" s="70">
        <v>165.71</v>
      </c>
      <c r="F62" s="70">
        <v>26.69</v>
      </c>
      <c r="G62" s="70">
        <v>5.1999999999999998E-3</v>
      </c>
      <c r="H62" s="70">
        <v>168.62769230769231</v>
      </c>
      <c r="I62" s="70">
        <v>173.18230769230772</v>
      </c>
      <c r="J62" s="70">
        <v>-4.5546153846154027</v>
      </c>
      <c r="K62" s="70">
        <v>-3.902678062678079</v>
      </c>
      <c r="L62" s="70">
        <v>-0.65193732193732368</v>
      </c>
      <c r="M62" s="70">
        <v>-0.37626041764503415</v>
      </c>
      <c r="N62" s="70">
        <v>0</v>
      </c>
      <c r="O62" s="70">
        <v>5.7291666666659344E-2</v>
      </c>
      <c r="P62" s="70">
        <v>0.12359976471632302</v>
      </c>
      <c r="Q62" s="70">
        <v>0.19049157273017081</v>
      </c>
      <c r="R62" s="70">
        <v>-0.21296928644281052</v>
      </c>
      <c r="S62" s="70">
        <v>-0.34202300582754536</v>
      </c>
      <c r="T62" s="70">
        <v>50.344397601092567</v>
      </c>
      <c r="U62" s="70"/>
      <c r="V62" s="70">
        <v>-84.599999999999937</v>
      </c>
      <c r="W62" s="70">
        <v>161.55000000000007</v>
      </c>
      <c r="AT62" s="70"/>
      <c r="AX62" s="68"/>
      <c r="BD62" s="58"/>
    </row>
    <row r="63" spans="1:56" x14ac:dyDescent="0.25">
      <c r="A63" s="68">
        <v>44117</v>
      </c>
      <c r="B63" s="70">
        <v>166.37</v>
      </c>
      <c r="C63" s="70">
        <v>169.13</v>
      </c>
      <c r="D63" s="70">
        <v>169.47</v>
      </c>
      <c r="E63" s="70">
        <v>165.82</v>
      </c>
      <c r="F63" s="70">
        <v>34.700000000000003</v>
      </c>
      <c r="G63" s="70">
        <v>-1.5900000000000001E-2</v>
      </c>
      <c r="H63" s="70">
        <v>168.88166666666666</v>
      </c>
      <c r="I63" s="70">
        <v>173.32121082621083</v>
      </c>
      <c r="J63" s="70">
        <v>-4.4395441595441696</v>
      </c>
      <c r="K63" s="70">
        <v>-3.6707951883507546</v>
      </c>
      <c r="L63" s="70">
        <v>-0.76874897119341501</v>
      </c>
      <c r="M63" s="70">
        <v>-0.27445607700308655</v>
      </c>
      <c r="N63" s="70">
        <v>0</v>
      </c>
      <c r="O63" s="70">
        <v>0.28767123287671498</v>
      </c>
      <c r="P63" s="70">
        <v>0.12359976471632302</v>
      </c>
      <c r="Q63" s="70">
        <v>0.24685138271945894</v>
      </c>
      <c r="R63" s="70">
        <v>-0.33270680589402607</v>
      </c>
      <c r="S63" s="70">
        <v>-0.35943721092722763</v>
      </c>
      <c r="T63" s="70">
        <v>50.426451082244668</v>
      </c>
      <c r="U63" s="70"/>
      <c r="V63" s="70">
        <v>-84.599999999999937</v>
      </c>
      <c r="W63" s="70">
        <v>161.55000000000007</v>
      </c>
      <c r="AT63" s="70"/>
      <c r="AX63" s="68"/>
      <c r="BD63" s="58"/>
    </row>
    <row r="64" spans="1:56" x14ac:dyDescent="0.25">
      <c r="A64" s="68">
        <v>44116</v>
      </c>
      <c r="B64" s="70">
        <v>169.05</v>
      </c>
      <c r="C64" s="70">
        <v>167.5</v>
      </c>
      <c r="D64" s="70">
        <v>169.8</v>
      </c>
      <c r="E64" s="70">
        <v>166.87</v>
      </c>
      <c r="F64" s="70">
        <v>38.97</v>
      </c>
      <c r="G64" s="70">
        <v>1.2500000000000001E-2</v>
      </c>
      <c r="H64" s="70">
        <v>169.81576923076923</v>
      </c>
      <c r="I64" s="70">
        <v>173.89971509971505</v>
      </c>
      <c r="J64" s="70">
        <v>-4.0839458689458183</v>
      </c>
      <c r="K64" s="70">
        <v>-3.3636805951250341</v>
      </c>
      <c r="L64" s="70">
        <v>-0.7202652738207842</v>
      </c>
      <c r="M64" s="70">
        <v>-0.14544912320980319</v>
      </c>
      <c r="N64" s="70">
        <v>0.54948805460751193</v>
      </c>
      <c r="O64" s="70">
        <v>0</v>
      </c>
      <c r="P64" s="70">
        <v>0.20209805823168187</v>
      </c>
      <c r="Q64" s="70">
        <v>0.23591353971975321</v>
      </c>
      <c r="R64" s="70">
        <v>-7.7202251370112496E-2</v>
      </c>
      <c r="S64" s="70">
        <v>-0.32280688791275353</v>
      </c>
      <c r="T64" s="70">
        <v>50.350711040738709</v>
      </c>
      <c r="U64" s="70"/>
      <c r="V64" s="70">
        <v>-84.599999999999937</v>
      </c>
      <c r="W64" s="70">
        <v>161.55000000000007</v>
      </c>
      <c r="AT64" s="70"/>
      <c r="AX64" s="68"/>
      <c r="BD64" s="58"/>
    </row>
    <row r="65" spans="1:56" x14ac:dyDescent="0.25">
      <c r="A65" s="68">
        <v>44113</v>
      </c>
      <c r="B65" s="70">
        <v>166.97</v>
      </c>
      <c r="C65" s="70">
        <v>167.8</v>
      </c>
      <c r="D65" s="70">
        <v>168.19</v>
      </c>
      <c r="E65" s="70">
        <v>165.77</v>
      </c>
      <c r="F65" s="70">
        <v>41.54</v>
      </c>
      <c r="G65" s="70">
        <v>-2.7000000000000001E-3</v>
      </c>
      <c r="H65" s="70">
        <v>169.86102564102566</v>
      </c>
      <c r="I65" s="70">
        <v>174.11957264957272</v>
      </c>
      <c r="J65" s="70">
        <v>-4.2585470085470547</v>
      </c>
      <c r="K65" s="70">
        <v>-3.1838050015827943</v>
      </c>
      <c r="L65" s="70">
        <v>-1.0747420069642604</v>
      </c>
      <c r="M65" s="70">
        <v>-8.2793393374601093E-2</v>
      </c>
      <c r="N65" s="70">
        <v>0</v>
      </c>
      <c r="O65" s="70">
        <v>0.15702479338842867</v>
      </c>
      <c r="P65" s="70">
        <v>8.7369783093849698E-2</v>
      </c>
      <c r="Q65" s="70">
        <v>0.2583456530609573</v>
      </c>
      <c r="R65" s="70">
        <v>-0.49455665581141939</v>
      </c>
      <c r="S65" s="70">
        <v>-0.38362873453803376</v>
      </c>
      <c r="T65" s="70">
        <v>37.817014920958854</v>
      </c>
      <c r="U65" s="70"/>
      <c r="V65" s="70">
        <v>-84.599999999999937</v>
      </c>
      <c r="W65" s="70">
        <v>161.55000000000007</v>
      </c>
      <c r="AT65" s="70"/>
      <c r="AX65" s="68"/>
      <c r="BD65" s="58"/>
    </row>
    <row r="66" spans="1:56" x14ac:dyDescent="0.25">
      <c r="A66" s="68">
        <v>44112</v>
      </c>
      <c r="B66" s="70">
        <v>167.43</v>
      </c>
      <c r="C66" s="70">
        <v>168.19</v>
      </c>
      <c r="D66" s="70">
        <v>168.86</v>
      </c>
      <c r="E66" s="70">
        <v>166.15</v>
      </c>
      <c r="F66" s="70">
        <v>36.67</v>
      </c>
      <c r="G66" s="70">
        <v>-4.7999999999999996E-3</v>
      </c>
      <c r="H66" s="70">
        <v>170.63903846153846</v>
      </c>
      <c r="I66" s="70">
        <v>174.58669515669521</v>
      </c>
      <c r="J66" s="70">
        <v>-3.947656695156752</v>
      </c>
      <c r="K66" s="70">
        <v>-2.8902353592909273</v>
      </c>
      <c r="L66" s="70">
        <v>-1.0574213358658247</v>
      </c>
      <c r="M66" s="70">
        <v>5.3697998740723868E-2</v>
      </c>
      <c r="N66" s="70">
        <v>0</v>
      </c>
      <c r="O66" s="70">
        <v>0.32841328413283533</v>
      </c>
      <c r="P66" s="70">
        <v>8.7369783093849698E-2</v>
      </c>
      <c r="Q66" s="70">
        <v>0.27247644008674538</v>
      </c>
      <c r="R66" s="70">
        <v>-0.51440489039118442</v>
      </c>
      <c r="S66" s="70">
        <v>-0.36273177757665503</v>
      </c>
      <c r="T66" s="70">
        <v>37.692438077129992</v>
      </c>
      <c r="U66" s="70"/>
      <c r="V66" s="70">
        <v>-84.599999999999937</v>
      </c>
      <c r="W66" s="70">
        <v>161.55000000000007</v>
      </c>
      <c r="AT66" s="70"/>
      <c r="AX66" s="68"/>
      <c r="BD66" s="58"/>
    </row>
    <row r="67" spans="1:56" x14ac:dyDescent="0.25">
      <c r="A67" s="68">
        <v>44111</v>
      </c>
      <c r="B67" s="70">
        <v>168.23</v>
      </c>
      <c r="C67" s="70">
        <v>171.75</v>
      </c>
      <c r="D67" s="70">
        <v>172.26</v>
      </c>
      <c r="E67" s="70">
        <v>167.04</v>
      </c>
      <c r="F67" s="70">
        <v>65.84</v>
      </c>
      <c r="G67" s="70">
        <v>-1.8200000000000001E-2</v>
      </c>
      <c r="H67" s="70">
        <v>171.57794871794869</v>
      </c>
      <c r="I67" s="70">
        <v>175.16304843304843</v>
      </c>
      <c r="J67" s="70">
        <v>-3.5850997150997443</v>
      </c>
      <c r="K67" s="70">
        <v>-2.6372782526115892</v>
      </c>
      <c r="L67" s="70">
        <v>-0.94782146248815513</v>
      </c>
      <c r="M67" s="70">
        <v>0.185084290827875</v>
      </c>
      <c r="N67" s="70">
        <v>0</v>
      </c>
      <c r="O67" s="70">
        <v>0.6628352490421473</v>
      </c>
      <c r="P67" s="70">
        <v>8.7369783093849698E-2</v>
      </c>
      <c r="Q67" s="70">
        <v>0.36420232751344167</v>
      </c>
      <c r="R67" s="70">
        <v>-0.61304172227841314</v>
      </c>
      <c r="S67" s="70">
        <v>-0.37116916128813371</v>
      </c>
      <c r="T67" s="70">
        <v>37.545513272257459</v>
      </c>
      <c r="U67" s="70"/>
      <c r="V67" s="70">
        <v>-84.599999999999937</v>
      </c>
      <c r="W67" s="70">
        <v>161.55000000000007</v>
      </c>
      <c r="AT67" s="70"/>
      <c r="AX67" s="68"/>
      <c r="BD67" s="58"/>
    </row>
    <row r="68" spans="1:56" x14ac:dyDescent="0.25">
      <c r="A68" s="68">
        <v>44110</v>
      </c>
      <c r="B68" s="70">
        <v>171.35</v>
      </c>
      <c r="C68" s="70">
        <v>170.7</v>
      </c>
      <c r="D68" s="70">
        <v>173.41</v>
      </c>
      <c r="E68" s="70">
        <v>170.5</v>
      </c>
      <c r="F68" s="70">
        <v>64.13</v>
      </c>
      <c r="G68" s="70">
        <v>4.1999999999999997E-3</v>
      </c>
      <c r="H68" s="70">
        <v>172.6883333333333</v>
      </c>
      <c r="I68" s="70">
        <v>175.96360398860398</v>
      </c>
      <c r="J68" s="70">
        <v>-3.2752706552706741</v>
      </c>
      <c r="K68" s="70">
        <v>-2.4660557138334931</v>
      </c>
      <c r="L68" s="70">
        <v>-0.80921494143718098</v>
      </c>
      <c r="M68" s="70">
        <v>0.31340939718717226</v>
      </c>
      <c r="N68" s="70">
        <v>0.86941580756013892</v>
      </c>
      <c r="O68" s="70">
        <v>0</v>
      </c>
      <c r="P68" s="70">
        <v>0.21157204131672669</v>
      </c>
      <c r="Q68" s="70">
        <v>0.2258081546365098</v>
      </c>
      <c r="R68" s="70">
        <v>-3.2548600625953349E-2</v>
      </c>
      <c r="S68" s="70">
        <v>-0.24888548294317367</v>
      </c>
      <c r="T68" s="70">
        <v>37.393440465571949</v>
      </c>
      <c r="U68" s="70"/>
      <c r="V68" s="70">
        <v>-84.599999999999937</v>
      </c>
      <c r="W68" s="70">
        <v>161.55000000000007</v>
      </c>
      <c r="AT68" s="70"/>
      <c r="AX68" s="68"/>
      <c r="BD68" s="58"/>
    </row>
    <row r="69" spans="1:56" x14ac:dyDescent="0.25">
      <c r="A69" s="68">
        <v>44109</v>
      </c>
      <c r="B69" s="70">
        <v>170.64</v>
      </c>
      <c r="C69" s="70">
        <v>170.11</v>
      </c>
      <c r="D69" s="70">
        <v>170.88</v>
      </c>
      <c r="E69" s="70">
        <v>168.58</v>
      </c>
      <c r="F69" s="70">
        <v>37.44</v>
      </c>
      <c r="G69" s="70">
        <v>6.8999999999999999E-3</v>
      </c>
      <c r="H69" s="70">
        <v>173.29621794871795</v>
      </c>
      <c r="I69" s="70">
        <v>176.25502849002854</v>
      </c>
      <c r="J69" s="70">
        <v>-2.9588105413105836</v>
      </c>
      <c r="K69" s="70">
        <v>-2.3570068059512566</v>
      </c>
      <c r="L69" s="70">
        <v>-0.60180373535932707</v>
      </c>
      <c r="M69" s="70">
        <v>0.42999923470008206</v>
      </c>
      <c r="N69" s="70">
        <v>0.40434782608696246</v>
      </c>
      <c r="O69" s="70">
        <v>0</v>
      </c>
      <c r="P69" s="70">
        <v>8.7809639069340653E-2</v>
      </c>
      <c r="Q69" s="70">
        <v>0.24060668943504443</v>
      </c>
      <c r="R69" s="70">
        <v>-0.46525412138167671</v>
      </c>
      <c r="S69" s="70">
        <v>-0.31319905007140503</v>
      </c>
      <c r="T69" s="70">
        <v>24.813593451330021</v>
      </c>
      <c r="U69" s="70"/>
      <c r="V69" s="70">
        <v>-84.599999999999937</v>
      </c>
      <c r="W69" s="70">
        <v>161.55000000000007</v>
      </c>
      <c r="AT69" s="70"/>
      <c r="AX69" s="68"/>
      <c r="BD69" s="58"/>
    </row>
    <row r="70" spans="1:56" x14ac:dyDescent="0.25">
      <c r="A70" s="68">
        <v>44106</v>
      </c>
      <c r="B70" s="70">
        <v>169.47</v>
      </c>
      <c r="C70" s="70">
        <v>167.38</v>
      </c>
      <c r="D70" s="70">
        <v>169.95</v>
      </c>
      <c r="E70" s="70">
        <v>167.22</v>
      </c>
      <c r="F70" s="70">
        <v>40.35</v>
      </c>
      <c r="G70" s="70">
        <v>6.4000000000000003E-3</v>
      </c>
      <c r="H70" s="70">
        <v>174.05121794871798</v>
      </c>
      <c r="I70" s="70">
        <v>176.60497150997151</v>
      </c>
      <c r="J70" s="70">
        <v>-2.5537535612535294</v>
      </c>
      <c r="K70" s="70">
        <v>-2.2860378284267022</v>
      </c>
      <c r="L70" s="70">
        <v>-0.26771573282682715</v>
      </c>
      <c r="M70" s="70">
        <v>0.52636735787163191</v>
      </c>
      <c r="N70" s="70">
        <v>0</v>
      </c>
      <c r="O70" s="70">
        <v>0.27472527472527575</v>
      </c>
      <c r="P70" s="70">
        <v>3.1776904976880904E-2</v>
      </c>
      <c r="Q70" s="70">
        <v>0.27985315725294097</v>
      </c>
      <c r="R70" s="70">
        <v>-0.79606008002240825</v>
      </c>
      <c r="S70" s="70">
        <v>-0.32286803363917937</v>
      </c>
      <c r="T70" s="70">
        <v>12.307010791419145</v>
      </c>
      <c r="U70" s="70"/>
      <c r="V70" s="70">
        <v>-84.599999999999937</v>
      </c>
      <c r="W70" s="70">
        <v>161.55000000000007</v>
      </c>
      <c r="AT70" s="70"/>
      <c r="AX70" s="68"/>
      <c r="BD70" s="58"/>
    </row>
    <row r="71" spans="1:56" x14ac:dyDescent="0.25">
      <c r="A71" s="68">
        <v>44105</v>
      </c>
      <c r="B71" s="70">
        <v>168.4</v>
      </c>
      <c r="C71" s="70">
        <v>171.16</v>
      </c>
      <c r="D71" s="70">
        <v>171.4</v>
      </c>
      <c r="E71" s="70">
        <v>167.97</v>
      </c>
      <c r="F71" s="70">
        <v>60.36</v>
      </c>
      <c r="G71" s="70">
        <v>-9.1999999999999998E-3</v>
      </c>
      <c r="H71" s="70">
        <v>174.85897435897436</v>
      </c>
      <c r="I71" s="70">
        <v>177.06381766381764</v>
      </c>
      <c r="J71" s="70">
        <v>-2.2048433048432798</v>
      </c>
      <c r="K71" s="70">
        <v>-2.3081411839189516</v>
      </c>
      <c r="L71" s="70">
        <v>0.10329787907567178</v>
      </c>
      <c r="M71" s="70">
        <v>0.56949793542955718</v>
      </c>
      <c r="N71" s="70">
        <v>0</v>
      </c>
      <c r="O71" s="70">
        <v>0.53352769679300549</v>
      </c>
      <c r="P71" s="70">
        <v>6.0472905332800003E-2</v>
      </c>
      <c r="Q71" s="70">
        <v>0.29871117745655457</v>
      </c>
      <c r="R71" s="70">
        <v>-0.66327625175826821</v>
      </c>
      <c r="S71" s="70">
        <v>-0.24901110528284487</v>
      </c>
      <c r="T71" s="70">
        <v>12.909740002163645</v>
      </c>
      <c r="U71" s="70"/>
      <c r="V71" s="70">
        <v>-84.599999999999937</v>
      </c>
      <c r="W71" s="70">
        <v>161.55000000000007</v>
      </c>
      <c r="AT71" s="70"/>
      <c r="AX71" s="68"/>
      <c r="BD71" s="58"/>
    </row>
    <row r="72" spans="1:56" x14ac:dyDescent="0.25">
      <c r="A72" s="68">
        <v>44104</v>
      </c>
      <c r="B72" s="70">
        <v>169.97</v>
      </c>
      <c r="C72" s="70">
        <v>171.04</v>
      </c>
      <c r="D72" s="70">
        <v>171.98</v>
      </c>
      <c r="E72" s="70">
        <v>169.8</v>
      </c>
      <c r="F72" s="70">
        <v>48.63</v>
      </c>
      <c r="G72" s="70">
        <v>-8.6E-3</v>
      </c>
      <c r="H72" s="70">
        <v>176.07500000000002</v>
      </c>
      <c r="I72" s="70">
        <v>177.85960113960112</v>
      </c>
      <c r="J72" s="70">
        <v>-1.7846011396011079</v>
      </c>
      <c r="K72" s="70">
        <v>-2.3534349477682701</v>
      </c>
      <c r="L72" s="70">
        <v>0.56883380816716222</v>
      </c>
      <c r="M72" s="70">
        <v>0.55776995084687053</v>
      </c>
      <c r="N72" s="70">
        <v>0</v>
      </c>
      <c r="O72" s="70">
        <v>9.1743119266050735E-2</v>
      </c>
      <c r="P72" s="70">
        <v>0.11133058423925941</v>
      </c>
      <c r="Q72" s="70">
        <v>0.20042144461470349</v>
      </c>
      <c r="R72" s="70">
        <v>-0.28577475727408269</v>
      </c>
      <c r="S72" s="70">
        <v>-0.15058619340067089</v>
      </c>
      <c r="T72" s="70">
        <v>12.82859845770146</v>
      </c>
      <c r="U72" s="70"/>
      <c r="V72" s="70">
        <v>-84.599999999999937</v>
      </c>
      <c r="W72" s="70">
        <v>161.55000000000007</v>
      </c>
      <c r="AT72" s="70"/>
      <c r="AX72" s="68"/>
      <c r="BD72" s="58"/>
    </row>
    <row r="73" spans="1:56" x14ac:dyDescent="0.25">
      <c r="A73" s="68">
        <v>44103</v>
      </c>
      <c r="B73" s="70">
        <v>171.44</v>
      </c>
      <c r="C73" s="70">
        <v>172.75</v>
      </c>
      <c r="D73" s="70">
        <v>173.47</v>
      </c>
      <c r="E73" s="70">
        <v>170</v>
      </c>
      <c r="F73" s="70">
        <v>48.79</v>
      </c>
      <c r="G73" s="70">
        <v>-7.4999999999999997E-3</v>
      </c>
      <c r="H73" s="70">
        <v>176.88076923076923</v>
      </c>
      <c r="I73" s="70">
        <v>178.54826210826207</v>
      </c>
      <c r="J73" s="70">
        <v>-1.6674928774928333</v>
      </c>
      <c r="K73" s="70">
        <v>-2.515885406774288</v>
      </c>
      <c r="L73" s="70">
        <v>0.8483925292814547</v>
      </c>
      <c r="M73" s="70">
        <v>0.46895949128427644</v>
      </c>
      <c r="N73" s="70">
        <v>0</v>
      </c>
      <c r="O73" s="70">
        <v>0.37175792507204392</v>
      </c>
      <c r="P73" s="70">
        <v>0.15762471563977395</v>
      </c>
      <c r="Q73" s="70">
        <v>0.23437456285516073</v>
      </c>
      <c r="R73" s="70">
        <v>-0.19579078693732474</v>
      </c>
      <c r="S73" s="70">
        <v>-0.12786475057654334</v>
      </c>
      <c r="T73" s="70">
        <v>12.723279336399244</v>
      </c>
      <c r="U73" s="70"/>
      <c r="V73" s="70">
        <v>-84.599999999999937</v>
      </c>
      <c r="W73" s="70">
        <v>161.55000000000007</v>
      </c>
      <c r="AT73" s="70"/>
      <c r="AX73" s="68"/>
      <c r="BD73" s="58"/>
    </row>
    <row r="74" spans="1:56" x14ac:dyDescent="0.25">
      <c r="A74" s="68">
        <v>44102</v>
      </c>
      <c r="B74" s="70">
        <v>172.74</v>
      </c>
      <c r="C74" s="70">
        <v>174.2</v>
      </c>
      <c r="D74" s="70">
        <v>175.38</v>
      </c>
      <c r="E74" s="70">
        <v>171.29</v>
      </c>
      <c r="F74" s="70">
        <v>50.55</v>
      </c>
      <c r="G74" s="70">
        <v>-5.8999999999999999E-3</v>
      </c>
      <c r="H74" s="70">
        <v>177.546858974359</v>
      </c>
      <c r="I74" s="70">
        <v>179.20225071225073</v>
      </c>
      <c r="J74" s="70">
        <v>-1.6553917378917333</v>
      </c>
      <c r="K74" s="70">
        <v>-2.7404528331750608</v>
      </c>
      <c r="L74" s="70">
        <v>1.0850610952833275</v>
      </c>
      <c r="M74" s="70">
        <v>0.32486352267548013</v>
      </c>
      <c r="N74" s="70">
        <v>5.134474327628552E-2</v>
      </c>
      <c r="O74" s="70">
        <v>0</v>
      </c>
      <c r="P74" s="70">
        <v>0.16495967896495761</v>
      </c>
      <c r="Q74" s="70">
        <v>0.17954218719105111</v>
      </c>
      <c r="R74" s="70">
        <v>-4.2329257570668036E-2</v>
      </c>
      <c r="S74" s="70">
        <v>-0.14264899246219245</v>
      </c>
      <c r="T74" s="70">
        <v>25.568401992489413</v>
      </c>
      <c r="U74" s="70"/>
      <c r="V74" s="70">
        <v>-84.599999999999937</v>
      </c>
      <c r="W74" s="70">
        <v>161.55000000000007</v>
      </c>
      <c r="AT74" s="70"/>
      <c r="AX74" s="68"/>
      <c r="BD74" s="58"/>
    </row>
    <row r="75" spans="1:56" x14ac:dyDescent="0.25">
      <c r="A75" s="68">
        <v>44099</v>
      </c>
      <c r="B75" s="70">
        <v>173.77</v>
      </c>
      <c r="C75" s="70">
        <v>175.1</v>
      </c>
      <c r="D75" s="70">
        <v>175.17</v>
      </c>
      <c r="E75" s="70">
        <v>169.6</v>
      </c>
      <c r="F75" s="70">
        <v>96.33</v>
      </c>
      <c r="G75" s="70">
        <v>-2.5999999999999999E-3</v>
      </c>
      <c r="H75" s="70">
        <v>177.7800641025641</v>
      </c>
      <c r="I75" s="70">
        <v>179.69770655270656</v>
      </c>
      <c r="J75" s="70">
        <v>-1.9176424501424663</v>
      </c>
      <c r="K75" s="70">
        <v>-3.0628295346628778</v>
      </c>
      <c r="L75" s="70">
        <v>1.1451870845204115</v>
      </c>
      <c r="M75" s="70">
        <v>0.12411957463238793</v>
      </c>
      <c r="N75" s="70">
        <v>0</v>
      </c>
      <c r="O75" s="70">
        <v>0.41292639138240828</v>
      </c>
      <c r="P75" s="70">
        <v>0.15423934795122765</v>
      </c>
      <c r="Q75" s="70">
        <v>0.24005994472570402</v>
      </c>
      <c r="R75" s="70">
        <v>-0.21765343831035808</v>
      </c>
      <c r="S75" s="70">
        <v>-0.21002819277456955</v>
      </c>
      <c r="T75" s="70">
        <v>38.197013672762871</v>
      </c>
      <c r="U75" s="70"/>
      <c r="V75" s="70">
        <v>-84.599999999999937</v>
      </c>
      <c r="W75" s="70">
        <v>161.55000000000007</v>
      </c>
      <c r="AT75" s="70"/>
      <c r="AX75" s="68"/>
      <c r="BD75" s="58"/>
    </row>
    <row r="76" spans="1:56" x14ac:dyDescent="0.25">
      <c r="A76" s="68">
        <v>44098</v>
      </c>
      <c r="B76" s="70">
        <v>174.23</v>
      </c>
      <c r="C76" s="70">
        <v>176</v>
      </c>
      <c r="D76" s="70">
        <v>178.49</v>
      </c>
      <c r="E76" s="70">
        <v>171.9</v>
      </c>
      <c r="F76" s="70">
        <v>49.89</v>
      </c>
      <c r="G76" s="70">
        <v>-1.5599999999999999E-2</v>
      </c>
      <c r="H76" s="70">
        <v>177.84519230769226</v>
      </c>
      <c r="I76" s="70">
        <v>180.20115384615383</v>
      </c>
      <c r="J76" s="70">
        <v>-2.3559615384615711</v>
      </c>
      <c r="K76" s="70">
        <v>-3.4387700221589212</v>
      </c>
      <c r="L76" s="70">
        <v>1.0828084836973502</v>
      </c>
      <c r="M76" s="70">
        <v>-0.10484245605613923</v>
      </c>
      <c r="N76" s="70">
        <v>0</v>
      </c>
      <c r="O76" s="70">
        <v>0.74506828528072744</v>
      </c>
      <c r="P76" s="70">
        <v>0.15423934795122765</v>
      </c>
      <c r="Q76" s="70">
        <v>0.30668577206953107</v>
      </c>
      <c r="R76" s="70">
        <v>-0.3307401083096484</v>
      </c>
      <c r="S76" s="70">
        <v>-0.26399022087871282</v>
      </c>
      <c r="T76" s="70">
        <v>50.641729819926297</v>
      </c>
      <c r="U76" s="70"/>
      <c r="V76" s="70">
        <v>-84.599999999999937</v>
      </c>
      <c r="W76" s="70">
        <v>161.55000000000007</v>
      </c>
      <c r="AT76" s="70"/>
      <c r="AX76" s="68"/>
      <c r="BD76" s="58"/>
    </row>
    <row r="77" spans="1:56" x14ac:dyDescent="0.25">
      <c r="A77" s="68">
        <v>44097</v>
      </c>
      <c r="B77" s="70">
        <v>177</v>
      </c>
      <c r="C77" s="70">
        <v>179.82</v>
      </c>
      <c r="D77" s="70">
        <v>180.37</v>
      </c>
      <c r="E77" s="70">
        <v>176.81</v>
      </c>
      <c r="F77" s="70">
        <v>31.92</v>
      </c>
      <c r="G77" s="70">
        <v>-1.12E-2</v>
      </c>
      <c r="H77" s="70">
        <v>178.18108974358975</v>
      </c>
      <c r="I77" s="70">
        <v>180.94159544159547</v>
      </c>
      <c r="J77" s="70">
        <v>-2.7605056980057157</v>
      </c>
      <c r="K77" s="70">
        <v>-3.7585519151630264</v>
      </c>
      <c r="L77" s="70">
        <v>0.99804621715731079</v>
      </c>
      <c r="M77" s="70">
        <v>-0.32788183769380791</v>
      </c>
      <c r="N77" s="70">
        <v>0</v>
      </c>
      <c r="O77" s="70">
        <v>0</v>
      </c>
      <c r="P77" s="70">
        <v>0.15423934795122765</v>
      </c>
      <c r="Q77" s="70">
        <v>0.18677145413387347</v>
      </c>
      <c r="R77" s="70">
        <v>-9.5399048897363822E-2</v>
      </c>
      <c r="S77" s="70">
        <v>-0.26062545267038673</v>
      </c>
      <c r="T77" s="70">
        <v>62.857598491256773</v>
      </c>
      <c r="U77" s="70"/>
      <c r="V77" s="70">
        <v>-84.599999999999937</v>
      </c>
      <c r="W77" s="70">
        <v>161.55000000000007</v>
      </c>
      <c r="AT77" s="70"/>
      <c r="AX77" s="68"/>
      <c r="BD77" s="58"/>
    </row>
    <row r="78" spans="1:56" x14ac:dyDescent="0.25">
      <c r="A78" s="68">
        <v>44096</v>
      </c>
      <c r="B78" s="70">
        <v>179</v>
      </c>
      <c r="C78" s="70">
        <v>176.51</v>
      </c>
      <c r="D78" s="70">
        <v>180.9</v>
      </c>
      <c r="E78" s="70">
        <v>176.42</v>
      </c>
      <c r="F78" s="70">
        <v>36.409999999999997</v>
      </c>
      <c r="G78" s="70">
        <v>1.03E-2</v>
      </c>
      <c r="H78" s="70">
        <v>178.49160256410258</v>
      </c>
      <c r="I78" s="70">
        <v>181.5633903133903</v>
      </c>
      <c r="J78" s="70">
        <v>-3.0717877492877221</v>
      </c>
      <c r="K78" s="70">
        <v>-4.0296370686926135</v>
      </c>
      <c r="L78" s="70">
        <v>0.95784931940489138</v>
      </c>
      <c r="M78" s="70">
        <v>-0.53235891870079888</v>
      </c>
      <c r="N78" s="70">
        <v>0</v>
      </c>
      <c r="O78" s="70">
        <v>0</v>
      </c>
      <c r="P78" s="70">
        <v>0.15423934795122765</v>
      </c>
      <c r="Q78" s="70">
        <v>0.20222475083717001</v>
      </c>
      <c r="R78" s="70">
        <v>-0.13461496697435216</v>
      </c>
      <c r="S78" s="70">
        <v>-0.30859733606295853</v>
      </c>
      <c r="T78" s="70">
        <v>75.148097082400881</v>
      </c>
      <c r="U78" s="70"/>
      <c r="V78" s="70">
        <v>-84.599999999999937</v>
      </c>
      <c r="W78" s="70">
        <v>161.55000000000007</v>
      </c>
      <c r="AT78" s="70"/>
      <c r="AX78" s="68"/>
      <c r="BD78" s="58"/>
    </row>
    <row r="79" spans="1:56" x14ac:dyDescent="0.25">
      <c r="A79" s="68">
        <v>44095</v>
      </c>
      <c r="B79" s="70">
        <v>177.17</v>
      </c>
      <c r="C79" s="70">
        <v>181.37</v>
      </c>
      <c r="D79" s="70">
        <v>181.37</v>
      </c>
      <c r="E79" s="70">
        <v>175.36</v>
      </c>
      <c r="F79" s="70">
        <v>41.36</v>
      </c>
      <c r="G79" s="70">
        <v>-2.4E-2</v>
      </c>
      <c r="H79" s="70">
        <v>178.24884615384616</v>
      </c>
      <c r="I79" s="70">
        <v>181.83631054131055</v>
      </c>
      <c r="J79" s="70">
        <v>-3.5874643874643937</v>
      </c>
      <c r="K79" s="70">
        <v>-4.2852687559354106</v>
      </c>
      <c r="L79" s="70">
        <v>0.6978043684710169</v>
      </c>
      <c r="M79" s="70">
        <v>-0.76346305166818595</v>
      </c>
      <c r="N79" s="70">
        <v>0</v>
      </c>
      <c r="O79" s="70">
        <v>0.99500831946755386</v>
      </c>
      <c r="P79" s="70">
        <v>0.15423934795122765</v>
      </c>
      <c r="Q79" s="70">
        <v>0.38568086786265121</v>
      </c>
      <c r="R79" s="70">
        <v>-0.42865874092628165</v>
      </c>
      <c r="S79" s="70">
        <v>-0.3924380576024768</v>
      </c>
      <c r="T79" s="70">
        <v>75.058236157178527</v>
      </c>
      <c r="U79" s="70"/>
      <c r="V79" s="70">
        <v>-84.599999999999937</v>
      </c>
      <c r="W79" s="70">
        <v>161.55000000000007</v>
      </c>
      <c r="AT79" s="70"/>
      <c r="AX79" s="68"/>
      <c r="BD79" s="58"/>
    </row>
    <row r="80" spans="1:56" x14ac:dyDescent="0.25">
      <c r="A80" s="68">
        <v>44092</v>
      </c>
      <c r="B80" s="70">
        <v>181.52</v>
      </c>
      <c r="C80" s="70">
        <v>184.4</v>
      </c>
      <c r="D80" s="70">
        <v>184.7</v>
      </c>
      <c r="E80" s="70">
        <v>181.34</v>
      </c>
      <c r="F80" s="70">
        <v>45.24</v>
      </c>
      <c r="G80" s="70">
        <v>-1.29E-2</v>
      </c>
      <c r="H80" s="70">
        <v>179.05628205128207</v>
      </c>
      <c r="I80" s="70">
        <v>182.71622507122507</v>
      </c>
      <c r="J80" s="70">
        <v>-3.6599430199430003</v>
      </c>
      <c r="K80" s="70">
        <v>-4.3580715416270763</v>
      </c>
      <c r="L80" s="70">
        <v>0.69812852168407602</v>
      </c>
      <c r="M80" s="70">
        <v>-0.92081619931192971</v>
      </c>
      <c r="N80" s="70">
        <v>0</v>
      </c>
      <c r="O80" s="70">
        <v>0</v>
      </c>
      <c r="P80" s="70">
        <v>0.17227911165573107</v>
      </c>
      <c r="Q80" s="70">
        <v>0.17793187808371139</v>
      </c>
      <c r="R80" s="70">
        <v>-1.6141030960182001E-2</v>
      </c>
      <c r="S80" s="70">
        <v>-0.33256403366958376</v>
      </c>
      <c r="T80" s="70">
        <v>87.34726026919833</v>
      </c>
      <c r="U80" s="70"/>
      <c r="V80" s="70">
        <v>-84.599999999999937</v>
      </c>
      <c r="W80" s="70">
        <v>161.55000000000007</v>
      </c>
      <c r="AT80" s="70"/>
      <c r="AX80" s="68"/>
      <c r="BD80" s="58"/>
    </row>
    <row r="81" spans="1:56" x14ac:dyDescent="0.25">
      <c r="A81" s="68">
        <v>44091</v>
      </c>
      <c r="B81" s="70">
        <v>183.9</v>
      </c>
      <c r="C81" s="70">
        <v>181.8</v>
      </c>
      <c r="D81" s="70">
        <v>184.84</v>
      </c>
      <c r="E81" s="70">
        <v>180.34</v>
      </c>
      <c r="F81" s="70">
        <v>49.88</v>
      </c>
      <c r="G81" s="70">
        <v>3.5000000000000001E-3</v>
      </c>
      <c r="H81" s="70">
        <v>179.45275641025637</v>
      </c>
      <c r="I81" s="70">
        <v>183.3284188034188</v>
      </c>
      <c r="J81" s="70">
        <v>-3.875662393162429</v>
      </c>
      <c r="K81" s="70">
        <v>-4.385335707502362</v>
      </c>
      <c r="L81" s="70">
        <v>0.50967331433993301</v>
      </c>
      <c r="M81" s="70">
        <v>-1.0904229047306109</v>
      </c>
      <c r="N81" s="70">
        <v>0</v>
      </c>
      <c r="O81" s="70">
        <v>0.22444444444444242</v>
      </c>
      <c r="P81" s="70">
        <v>0.18235711655238887</v>
      </c>
      <c r="Q81" s="70">
        <v>0.20999537014720315</v>
      </c>
      <c r="R81" s="70">
        <v>-7.0442407100061902E-2</v>
      </c>
      <c r="S81" s="70">
        <v>-0.38171253708217762</v>
      </c>
      <c r="T81" s="70">
        <v>87.872179291193916</v>
      </c>
      <c r="U81" s="70"/>
      <c r="V81" s="70">
        <v>-84.599999999999937</v>
      </c>
      <c r="W81" s="70">
        <v>161.55000000000007</v>
      </c>
      <c r="AT81" s="70"/>
      <c r="AX81" s="68"/>
      <c r="BD81" s="58"/>
    </row>
    <row r="82" spans="1:56" x14ac:dyDescent="0.25">
      <c r="A82" s="68">
        <v>44090</v>
      </c>
      <c r="B82" s="70">
        <v>183.26</v>
      </c>
      <c r="C82" s="70">
        <v>182.67</v>
      </c>
      <c r="D82" s="70">
        <v>184.16</v>
      </c>
      <c r="E82" s="70">
        <v>181.35</v>
      </c>
      <c r="F82" s="70">
        <v>37.43</v>
      </c>
      <c r="G82" s="70">
        <v>5.7000000000000002E-3</v>
      </c>
      <c r="H82" s="70">
        <v>179.37685897435898</v>
      </c>
      <c r="I82" s="70">
        <v>183.59796296296298</v>
      </c>
      <c r="J82" s="70">
        <v>-4.2211039886039998</v>
      </c>
      <c r="K82" s="70">
        <v>-4.3570261158594299</v>
      </c>
      <c r="L82" s="70">
        <v>0.13592212725543007</v>
      </c>
      <c r="M82" s="70">
        <v>-1.2756323012220518</v>
      </c>
      <c r="N82" s="70">
        <v>0.43060498220640819</v>
      </c>
      <c r="O82" s="70">
        <v>0</v>
      </c>
      <c r="P82" s="70">
        <v>0.24387211401044717</v>
      </c>
      <c r="Q82" s="70">
        <v>0.19758695333560364</v>
      </c>
      <c r="R82" s="70">
        <v>0.10484587156199815</v>
      </c>
      <c r="S82" s="70">
        <v>-0.40299842690479337</v>
      </c>
      <c r="T82" s="70">
        <v>75.33892333709133</v>
      </c>
      <c r="U82" s="70"/>
      <c r="V82" s="70">
        <v>-84.599999999999937</v>
      </c>
      <c r="W82" s="70">
        <v>161.55000000000007</v>
      </c>
      <c r="AT82" s="70"/>
      <c r="AX82" s="68"/>
      <c r="BD82" s="58"/>
    </row>
    <row r="83" spans="1:56" x14ac:dyDescent="0.25">
      <c r="A83" s="68">
        <v>44089</v>
      </c>
      <c r="B83" s="70">
        <v>182.22</v>
      </c>
      <c r="C83" s="70">
        <v>178.03</v>
      </c>
      <c r="D83" s="70">
        <v>182.95</v>
      </c>
      <c r="E83" s="70">
        <v>178.01</v>
      </c>
      <c r="F83" s="70">
        <v>42.49</v>
      </c>
      <c r="G83" s="70">
        <v>2.2599999999999999E-2</v>
      </c>
      <c r="H83" s="70">
        <v>179.05820512820515</v>
      </c>
      <c r="I83" s="70">
        <v>183.75027065527067</v>
      </c>
      <c r="J83" s="70">
        <v>-4.6920655270655232</v>
      </c>
      <c r="K83" s="70">
        <v>-4.274634061411815</v>
      </c>
      <c r="L83" s="70">
        <v>-0.41743146565370814</v>
      </c>
      <c r="M83" s="70">
        <v>-1.4287277932577109</v>
      </c>
      <c r="N83" s="70">
        <v>0.43522267206477294</v>
      </c>
      <c r="O83" s="70">
        <v>0</v>
      </c>
      <c r="P83" s="70">
        <v>0.21614024670187898</v>
      </c>
      <c r="Q83" s="70">
        <v>0.20095584721544679</v>
      </c>
      <c r="R83" s="70">
        <v>3.6405038809694402E-2</v>
      </c>
      <c r="S83" s="70">
        <v>-0.45604382412727462</v>
      </c>
      <c r="T83" s="70">
        <v>75.274286642788013</v>
      </c>
      <c r="U83" s="70"/>
      <c r="V83" s="70">
        <v>-84.599999999999937</v>
      </c>
      <c r="W83" s="70">
        <v>161.55000000000007</v>
      </c>
      <c r="AT83" s="70"/>
      <c r="AX83" s="68"/>
      <c r="BD83" s="58"/>
    </row>
    <row r="84" spans="1:56" x14ac:dyDescent="0.25">
      <c r="A84" s="68">
        <v>44088</v>
      </c>
      <c r="B84" s="70">
        <v>178.19</v>
      </c>
      <c r="C84" s="70">
        <v>178.44</v>
      </c>
      <c r="D84" s="70">
        <v>180.8</v>
      </c>
      <c r="E84" s="70">
        <v>177.52</v>
      </c>
      <c r="F84" s="70">
        <v>37.72</v>
      </c>
      <c r="G84" s="70">
        <v>8.0000000000000004E-4</v>
      </c>
      <c r="H84" s="70">
        <v>178.48615384615383</v>
      </c>
      <c r="I84" s="70">
        <v>183.6469088319088</v>
      </c>
      <c r="J84" s="70">
        <v>-5.160754985754977</v>
      </c>
      <c r="K84" s="70">
        <v>-4.0775172522950056</v>
      </c>
      <c r="L84" s="70">
        <v>-1.0832377334599714</v>
      </c>
      <c r="M84" s="70">
        <v>-1.525320657183906</v>
      </c>
      <c r="N84" s="70">
        <v>0.77134146341463428</v>
      </c>
      <c r="O84" s="70">
        <v>0</v>
      </c>
      <c r="P84" s="70">
        <v>0.23546121653879717</v>
      </c>
      <c r="Q84" s="70">
        <v>0.23006959061490448</v>
      </c>
      <c r="R84" s="70">
        <v>1.15816737389682E-2</v>
      </c>
      <c r="S84" s="70">
        <v>-0.48742964690922264</v>
      </c>
      <c r="T84" s="70">
        <v>62.53752478051544</v>
      </c>
      <c r="U84" s="70"/>
      <c r="V84" s="70">
        <v>-84.599999999999937</v>
      </c>
      <c r="W84" s="70">
        <v>161.55000000000007</v>
      </c>
      <c r="AT84" s="70"/>
      <c r="AX84" s="68"/>
      <c r="BD84" s="58"/>
    </row>
    <row r="85" spans="1:56" x14ac:dyDescent="0.25">
      <c r="A85" s="68">
        <v>44085</v>
      </c>
      <c r="B85" s="70">
        <v>178.05</v>
      </c>
      <c r="C85" s="70">
        <v>174.43</v>
      </c>
      <c r="D85" s="70">
        <v>178.27</v>
      </c>
      <c r="E85" s="70">
        <v>173.1</v>
      </c>
      <c r="F85" s="70">
        <v>36.950000000000003</v>
      </c>
      <c r="G85" s="70">
        <v>2.4500000000000001E-2</v>
      </c>
      <c r="H85" s="70">
        <v>178.91519230769234</v>
      </c>
      <c r="I85" s="70">
        <v>183.95847578347576</v>
      </c>
      <c r="J85" s="70">
        <v>-5.0432834757834257</v>
      </c>
      <c r="K85" s="70">
        <v>-3.6594480848369448</v>
      </c>
      <c r="L85" s="70">
        <v>-1.3838353909464809</v>
      </c>
      <c r="M85" s="70">
        <v>-1.494998890315123</v>
      </c>
      <c r="N85" s="70">
        <v>0.70212765957447054</v>
      </c>
      <c r="O85" s="70">
        <v>0</v>
      </c>
      <c r="P85" s="70">
        <v>0.17493563158923728</v>
      </c>
      <c r="Q85" s="70">
        <v>0.23006959061490448</v>
      </c>
      <c r="R85" s="70">
        <v>-0.1361314768377902</v>
      </c>
      <c r="S85" s="70">
        <v>-0.51568246513288507</v>
      </c>
      <c r="T85" s="70">
        <v>49.788865664896619</v>
      </c>
      <c r="U85" s="70"/>
      <c r="V85" s="70">
        <v>-84.599999999999937</v>
      </c>
      <c r="W85" s="70">
        <v>161.55000000000007</v>
      </c>
      <c r="AT85" s="70"/>
      <c r="AX85" s="68"/>
      <c r="BD85" s="58"/>
    </row>
    <row r="86" spans="1:56" x14ac:dyDescent="0.25">
      <c r="A86" s="68">
        <v>44084</v>
      </c>
      <c r="B86" s="70">
        <v>173.8</v>
      </c>
      <c r="C86" s="70">
        <v>173.9</v>
      </c>
      <c r="D86" s="70">
        <v>174.64</v>
      </c>
      <c r="E86" s="70">
        <v>171.11</v>
      </c>
      <c r="F86" s="70">
        <v>34.020000000000003</v>
      </c>
      <c r="G86" s="70">
        <v>5.9999999999999995E-4</v>
      </c>
      <c r="H86" s="70">
        <v>178.92628205128204</v>
      </c>
      <c r="I86" s="70">
        <v>184.0361111111111</v>
      </c>
      <c r="J86" s="70">
        <v>-5.1098290598290532</v>
      </c>
      <c r="K86" s="70">
        <v>-3.2599841722063729</v>
      </c>
      <c r="L86" s="70">
        <v>-1.8498448876226803</v>
      </c>
      <c r="M86" s="70">
        <v>-1.4598613137416547</v>
      </c>
      <c r="N86" s="70">
        <v>0</v>
      </c>
      <c r="O86" s="70">
        <v>0.34560906515580969</v>
      </c>
      <c r="P86" s="70">
        <v>3.9461394300615092E-2</v>
      </c>
      <c r="Q86" s="70">
        <v>0.27944231420859156</v>
      </c>
      <c r="R86" s="70">
        <v>-0.75251843583075895</v>
      </c>
      <c r="S86" s="70">
        <v>-0.6017722143904235</v>
      </c>
      <c r="T86" s="70">
        <v>50.006679181343287</v>
      </c>
      <c r="U86" s="70"/>
      <c r="V86" s="70">
        <v>-84.599999999999937</v>
      </c>
      <c r="W86" s="70">
        <v>161.55000000000007</v>
      </c>
      <c r="AT86" s="70"/>
      <c r="AX86" s="68"/>
      <c r="BD86" s="58"/>
    </row>
    <row r="87" spans="1:56" x14ac:dyDescent="0.25">
      <c r="A87" s="68">
        <v>44083</v>
      </c>
      <c r="B87" s="70">
        <v>173.69</v>
      </c>
      <c r="C87" s="70">
        <v>172.72</v>
      </c>
      <c r="D87" s="70">
        <v>175.35</v>
      </c>
      <c r="E87" s="70">
        <v>172.33</v>
      </c>
      <c r="F87" s="70">
        <v>41.98</v>
      </c>
      <c r="G87" s="70">
        <v>4.3E-3</v>
      </c>
      <c r="H87" s="70">
        <v>179.78724358974361</v>
      </c>
      <c r="I87" s="70">
        <v>184.5746153846153</v>
      </c>
      <c r="J87" s="70">
        <v>-4.7873717948716887</v>
      </c>
      <c r="K87" s="70">
        <v>-2.6975433681544354</v>
      </c>
      <c r="L87" s="70">
        <v>-2.0898284267172533</v>
      </c>
      <c r="M87" s="70">
        <v>-1.3412147535908094</v>
      </c>
      <c r="N87" s="70">
        <v>0</v>
      </c>
      <c r="O87" s="70">
        <v>2.3178807947017748E-2</v>
      </c>
      <c r="P87" s="70">
        <v>3.9461394300615092E-2</v>
      </c>
      <c r="Q87" s="70">
        <v>0.21059343800365585</v>
      </c>
      <c r="R87" s="70">
        <v>-0.68437807070572576</v>
      </c>
      <c r="S87" s="70">
        <v>-0.55924669324734033</v>
      </c>
      <c r="T87" s="70">
        <v>37.596709431005777</v>
      </c>
      <c r="U87" s="70"/>
      <c r="V87" s="70">
        <v>-84.599999999999937</v>
      </c>
      <c r="W87" s="70">
        <v>161.55000000000007</v>
      </c>
      <c r="AT87" s="70"/>
      <c r="AX87" s="68"/>
      <c r="BD87" s="58"/>
    </row>
    <row r="88" spans="1:56" x14ac:dyDescent="0.25">
      <c r="A88" s="68">
        <v>44082</v>
      </c>
      <c r="B88" s="70">
        <v>172.95</v>
      </c>
      <c r="C88" s="70">
        <v>176.99</v>
      </c>
      <c r="D88" s="70">
        <v>177.43</v>
      </c>
      <c r="E88" s="70">
        <v>172.4</v>
      </c>
      <c r="F88" s="70">
        <v>63.85</v>
      </c>
      <c r="G88" s="70">
        <v>-2.3099999999999999E-2</v>
      </c>
      <c r="H88" s="70">
        <v>180.61897435897436</v>
      </c>
      <c r="I88" s="70">
        <v>184.86239316239312</v>
      </c>
      <c r="J88" s="70">
        <v>-4.2434188034187628</v>
      </c>
      <c r="K88" s="70">
        <v>-2.0511687242798113</v>
      </c>
      <c r="L88" s="70">
        <v>-2.1922500791389514</v>
      </c>
      <c r="M88" s="70">
        <v>-1.1627271044877849</v>
      </c>
      <c r="N88" s="70">
        <v>0</v>
      </c>
      <c r="O88" s="70">
        <v>0.70377733598409364</v>
      </c>
      <c r="P88" s="70">
        <v>3.9461394300615092E-2</v>
      </c>
      <c r="Q88" s="70">
        <v>0.33826155806838998</v>
      </c>
      <c r="R88" s="70">
        <v>-0.79105641289140172</v>
      </c>
      <c r="S88" s="70">
        <v>-0.54375111917027907</v>
      </c>
      <c r="T88" s="70">
        <v>25.283753258036498</v>
      </c>
      <c r="U88" s="70"/>
      <c r="V88" s="70">
        <v>-84.599999999999937</v>
      </c>
      <c r="W88" s="70">
        <v>161.55000000000007</v>
      </c>
      <c r="AT88" s="70"/>
      <c r="AX88" s="68"/>
      <c r="BD88" s="58"/>
    </row>
    <row r="89" spans="1:56" x14ac:dyDescent="0.25">
      <c r="A89" s="68">
        <v>44081</v>
      </c>
      <c r="B89" s="70">
        <v>177.04</v>
      </c>
      <c r="C89" s="70">
        <v>178.63</v>
      </c>
      <c r="D89" s="70">
        <v>179.75</v>
      </c>
      <c r="E89" s="70">
        <v>175.94</v>
      </c>
      <c r="F89" s="70">
        <v>39</v>
      </c>
      <c r="G89" s="70">
        <v>-1.4E-2</v>
      </c>
      <c r="H89" s="70">
        <v>182.06333333333333</v>
      </c>
      <c r="I89" s="70">
        <v>185.54462962962958</v>
      </c>
      <c r="J89" s="70">
        <v>-3.4812962962962501</v>
      </c>
      <c r="K89" s="70">
        <v>-1.3649924026590448</v>
      </c>
      <c r="L89" s="70">
        <v>-2.1163038936372054</v>
      </c>
      <c r="M89" s="70">
        <v>-0.89395639877690469</v>
      </c>
      <c r="N89" s="70">
        <v>0</v>
      </c>
      <c r="O89" s="70">
        <v>0.54068241469816303</v>
      </c>
      <c r="P89" s="70">
        <v>3.9461394300615092E-2</v>
      </c>
      <c r="Q89" s="70">
        <v>0.33567084229389771</v>
      </c>
      <c r="R89" s="70">
        <v>-0.78961341920998596</v>
      </c>
      <c r="S89" s="70">
        <v>-0.50781238510320303</v>
      </c>
      <c r="T89" s="70">
        <v>25.081013251699545</v>
      </c>
      <c r="U89" s="70"/>
      <c r="V89" s="70">
        <v>-84.599999999999937</v>
      </c>
      <c r="W89" s="70">
        <v>161.55000000000007</v>
      </c>
      <c r="AT89" s="70"/>
      <c r="AX89" s="68"/>
      <c r="BD89" s="58"/>
    </row>
    <row r="90" spans="1:56" x14ac:dyDescent="0.25">
      <c r="A90" s="68">
        <v>44078</v>
      </c>
      <c r="B90" s="70">
        <v>179.55</v>
      </c>
      <c r="C90" s="70">
        <v>178.98</v>
      </c>
      <c r="D90" s="70">
        <v>180.56</v>
      </c>
      <c r="E90" s="70">
        <v>178</v>
      </c>
      <c r="F90" s="70">
        <v>43.04</v>
      </c>
      <c r="G90" s="70">
        <v>2.3E-3</v>
      </c>
      <c r="H90" s="70">
        <v>183.14826923076922</v>
      </c>
      <c r="I90" s="70">
        <v>185.92820512820512</v>
      </c>
      <c r="J90" s="70">
        <v>-2.7799358974359052</v>
      </c>
      <c r="K90" s="70">
        <v>-0.7638396644507629</v>
      </c>
      <c r="L90" s="70">
        <v>-2.0160962329851424</v>
      </c>
      <c r="M90" s="70">
        <v>-0.58669385568530652</v>
      </c>
      <c r="N90" s="70">
        <v>0</v>
      </c>
      <c r="O90" s="70">
        <v>0.23437499999999756</v>
      </c>
      <c r="P90" s="70">
        <v>3.9461394300615092E-2</v>
      </c>
      <c r="Q90" s="70">
        <v>0.26177613198112348</v>
      </c>
      <c r="R90" s="70">
        <v>-0.73800479118456175</v>
      </c>
      <c r="S90" s="70">
        <v>-0.42412395080896492</v>
      </c>
      <c r="T90" s="70">
        <v>37.735655316876823</v>
      </c>
      <c r="U90" s="70"/>
      <c r="V90" s="70">
        <v>-84.599999999999937</v>
      </c>
      <c r="W90" s="70">
        <v>161.55000000000007</v>
      </c>
      <c r="AT90" s="70"/>
      <c r="AX90" s="68"/>
      <c r="BD90" s="58"/>
    </row>
    <row r="91" spans="1:56" x14ac:dyDescent="0.25">
      <c r="A91" s="68">
        <v>44077</v>
      </c>
      <c r="B91" s="70">
        <v>179.13</v>
      </c>
      <c r="C91" s="70">
        <v>182.48</v>
      </c>
      <c r="D91" s="70">
        <v>182.59</v>
      </c>
      <c r="E91" s="70">
        <v>178.6</v>
      </c>
      <c r="F91" s="70">
        <v>62.96</v>
      </c>
      <c r="G91" s="70">
        <v>-1.55E-2</v>
      </c>
      <c r="H91" s="70">
        <v>183.76833333333335</v>
      </c>
      <c r="I91" s="70">
        <v>186.00286324786325</v>
      </c>
      <c r="J91" s="70">
        <v>-2.2345299145299009</v>
      </c>
      <c r="K91" s="70">
        <v>-0.25073061095281574</v>
      </c>
      <c r="L91" s="70">
        <v>-1.9837993035770851</v>
      </c>
      <c r="M91" s="70">
        <v>-0.28411847538342755</v>
      </c>
      <c r="N91" s="70">
        <v>0</v>
      </c>
      <c r="O91" s="70">
        <v>0.62656641604009877</v>
      </c>
      <c r="P91" s="70">
        <v>3.9461394300615092E-2</v>
      </c>
      <c r="Q91" s="70">
        <v>0.30235018042641282</v>
      </c>
      <c r="R91" s="70">
        <v>-0.76910440009453107</v>
      </c>
      <c r="S91" s="70">
        <v>-0.3483667432386689</v>
      </c>
      <c r="T91" s="70">
        <v>25.328445268207588</v>
      </c>
      <c r="U91" s="70"/>
      <c r="V91" s="70">
        <v>-84.599999999999937</v>
      </c>
      <c r="W91" s="70">
        <v>161.55000000000007</v>
      </c>
      <c r="AT91" s="70"/>
      <c r="AX91" s="68"/>
      <c r="BD91" s="58"/>
    </row>
    <row r="92" spans="1:56" x14ac:dyDescent="0.25">
      <c r="A92" s="68">
        <v>44076</v>
      </c>
      <c r="B92" s="70">
        <v>181.95</v>
      </c>
      <c r="C92" s="70">
        <v>184.8</v>
      </c>
      <c r="D92" s="70">
        <v>186.29</v>
      </c>
      <c r="E92" s="70">
        <v>181.1</v>
      </c>
      <c r="F92" s="70">
        <v>50.33</v>
      </c>
      <c r="G92" s="70">
        <v>-1.23E-2</v>
      </c>
      <c r="H92" s="70">
        <v>184.98980769230769</v>
      </c>
      <c r="I92" s="70">
        <v>186.40975783475784</v>
      </c>
      <c r="J92" s="70">
        <v>-1.4199501424501477</v>
      </c>
      <c r="K92" s="70">
        <v>0.26947056030390842</v>
      </c>
      <c r="L92" s="70">
        <v>-1.6894207027540562</v>
      </c>
      <c r="M92" s="70">
        <v>5.1356521920626591E-2</v>
      </c>
      <c r="N92" s="70">
        <v>0.27360308285163548</v>
      </c>
      <c r="O92" s="70">
        <v>0</v>
      </c>
      <c r="P92" s="70">
        <v>7.8547548993705876E-2</v>
      </c>
      <c r="Q92" s="70">
        <v>0.18969658445686327</v>
      </c>
      <c r="R92" s="70">
        <v>-0.41435774953728655</v>
      </c>
      <c r="S92" s="70">
        <v>-0.24130483696316074</v>
      </c>
      <c r="T92" s="70">
        <v>37.87216450128431</v>
      </c>
      <c r="U92" s="70"/>
      <c r="V92" s="70">
        <v>-84.599999999999937</v>
      </c>
      <c r="W92" s="70">
        <v>161.55000000000007</v>
      </c>
      <c r="AT92" s="70"/>
      <c r="AX92" s="68"/>
      <c r="BD92" s="58"/>
    </row>
    <row r="93" spans="1:56" x14ac:dyDescent="0.25">
      <c r="A93" s="68">
        <v>44075</v>
      </c>
      <c r="B93" s="70">
        <v>184.22</v>
      </c>
      <c r="C93" s="70">
        <v>181.4</v>
      </c>
      <c r="D93" s="70">
        <v>184.87</v>
      </c>
      <c r="E93" s="70">
        <v>181.01</v>
      </c>
      <c r="F93" s="70">
        <v>48.04</v>
      </c>
      <c r="G93" s="70">
        <v>1.77E-2</v>
      </c>
      <c r="H93" s="70">
        <v>185.93980769230768</v>
      </c>
      <c r="I93" s="70">
        <v>186.66159544159547</v>
      </c>
      <c r="J93" s="70">
        <v>-0.72178774928778466</v>
      </c>
      <c r="K93" s="70">
        <v>0.74413247863249499</v>
      </c>
      <c r="L93" s="70">
        <v>-1.4659202279202797</v>
      </c>
      <c r="M93" s="70">
        <v>0.35434150464919439</v>
      </c>
      <c r="N93" s="70">
        <v>0.15284974093264284</v>
      </c>
      <c r="O93" s="70">
        <v>0</v>
      </c>
      <c r="P93" s="70">
        <v>4.3257307872203485E-2</v>
      </c>
      <c r="Q93" s="70">
        <v>0.19969781917719895</v>
      </c>
      <c r="R93" s="70">
        <v>-0.64390701774811654</v>
      </c>
      <c r="S93" s="70">
        <v>-0.23355540666395597</v>
      </c>
      <c r="T93" s="70">
        <v>37.806569466526845</v>
      </c>
      <c r="U93" s="70"/>
      <c r="V93" s="70">
        <v>-84.599999999999937</v>
      </c>
      <c r="W93" s="70">
        <v>161.55000000000007</v>
      </c>
      <c r="AT93" s="70"/>
      <c r="AX93" s="68"/>
      <c r="BD93" s="58"/>
    </row>
    <row r="94" spans="1:56" x14ac:dyDescent="0.25">
      <c r="A94" s="68">
        <v>44074</v>
      </c>
      <c r="B94" s="70">
        <v>181.01</v>
      </c>
      <c r="C94" s="70">
        <v>183.11</v>
      </c>
      <c r="D94" s="70">
        <v>184.28</v>
      </c>
      <c r="E94" s="70">
        <v>180.51</v>
      </c>
      <c r="F94" s="70">
        <v>47.47</v>
      </c>
      <c r="G94" s="70">
        <v>-1.03E-2</v>
      </c>
      <c r="H94" s="70">
        <v>186.05307692307693</v>
      </c>
      <c r="I94" s="70">
        <v>186.45266381766376</v>
      </c>
      <c r="J94" s="70">
        <v>-0.39958689458683239</v>
      </c>
      <c r="K94" s="70">
        <v>1.0899547325103314</v>
      </c>
      <c r="L94" s="70">
        <v>-1.4895416270971638</v>
      </c>
      <c r="M94" s="70">
        <v>0.60182495503863853</v>
      </c>
      <c r="N94" s="70">
        <v>0</v>
      </c>
      <c r="O94" s="70">
        <v>0.52254641909814148</v>
      </c>
      <c r="P94" s="70">
        <v>3.5112959813615729E-2</v>
      </c>
      <c r="Q94" s="70">
        <v>0.27434730761979059</v>
      </c>
      <c r="R94" s="70">
        <v>-0.77306967317753128</v>
      </c>
      <c r="S94" s="70">
        <v>-0.18537551036342195</v>
      </c>
      <c r="T94" s="70">
        <v>25.296127716473748</v>
      </c>
      <c r="U94" s="70"/>
      <c r="V94" s="70">
        <v>-84.599999999999937</v>
      </c>
      <c r="W94" s="70">
        <v>161.55000000000007</v>
      </c>
      <c r="AT94" s="70"/>
      <c r="AX94" s="68"/>
      <c r="BD94" s="58"/>
    </row>
    <row r="95" spans="1:56" x14ac:dyDescent="0.25">
      <c r="A95" s="68">
        <v>44071</v>
      </c>
      <c r="B95" s="70">
        <v>182.9</v>
      </c>
      <c r="C95" s="70">
        <v>184.95</v>
      </c>
      <c r="D95" s="70">
        <v>185.22</v>
      </c>
      <c r="E95" s="70">
        <v>182.48</v>
      </c>
      <c r="F95" s="70">
        <v>34.31</v>
      </c>
      <c r="G95" s="70">
        <v>-9.1000000000000004E-3</v>
      </c>
      <c r="H95" s="70">
        <v>187.24288461538464</v>
      </c>
      <c r="I95" s="70">
        <v>186.75078347578346</v>
      </c>
      <c r="J95" s="70">
        <v>0.49210113960117496</v>
      </c>
      <c r="K95" s="70">
        <v>1.4791945235834434</v>
      </c>
      <c r="L95" s="70">
        <v>-0.98709338398226842</v>
      </c>
      <c r="M95" s="70">
        <v>0.90427612020774861</v>
      </c>
      <c r="N95" s="70">
        <v>0</v>
      </c>
      <c r="O95" s="70">
        <v>5.109489051095413E-2</v>
      </c>
      <c r="P95" s="70">
        <v>4.9894148398330534E-2</v>
      </c>
      <c r="Q95" s="70">
        <v>0.17254347919976545</v>
      </c>
      <c r="R95" s="70">
        <v>-0.55138751534897579</v>
      </c>
      <c r="S95" s="70">
        <v>-8.5013969693232022E-2</v>
      </c>
      <c r="T95" s="70">
        <v>25.155974023357487</v>
      </c>
      <c r="U95" s="70"/>
      <c r="V95" s="70">
        <v>-84.599999999999937</v>
      </c>
      <c r="W95" s="70">
        <v>161.55000000000007</v>
      </c>
      <c r="AT95" s="70"/>
      <c r="AX95" s="68"/>
      <c r="BD95" s="58"/>
    </row>
    <row r="96" spans="1:56" x14ac:dyDescent="0.25">
      <c r="A96" s="68">
        <v>44070</v>
      </c>
      <c r="B96" s="70">
        <v>184.58</v>
      </c>
      <c r="C96" s="70">
        <v>187.5</v>
      </c>
      <c r="D96" s="70">
        <v>188.01</v>
      </c>
      <c r="E96" s="70">
        <v>182.62</v>
      </c>
      <c r="F96" s="70">
        <v>38.19</v>
      </c>
      <c r="G96" s="70">
        <v>-1.55E-2</v>
      </c>
      <c r="H96" s="70">
        <v>188.19942307692307</v>
      </c>
      <c r="I96" s="70">
        <v>186.93897435897432</v>
      </c>
      <c r="J96" s="70">
        <v>1.2604487179487478</v>
      </c>
      <c r="K96" s="70">
        <v>1.7002917062361753</v>
      </c>
      <c r="L96" s="70">
        <v>-0.43984298828742752</v>
      </c>
      <c r="M96" s="70">
        <v>1.1565831724464231</v>
      </c>
      <c r="N96" s="70">
        <v>0</v>
      </c>
      <c r="O96" s="70">
        <v>0.44155844155844182</v>
      </c>
      <c r="P96" s="70">
        <v>9.9695410965550527E-2</v>
      </c>
      <c r="Q96" s="70">
        <v>0.22495509261242058</v>
      </c>
      <c r="R96" s="70">
        <v>-0.38582931572994322</v>
      </c>
      <c r="S96" s="70">
        <v>-7.4102199081621523E-4</v>
      </c>
      <c r="T96" s="70">
        <v>25.031575148854273</v>
      </c>
      <c r="U96" s="70"/>
      <c r="V96" s="70">
        <v>-84.599999999999937</v>
      </c>
      <c r="W96" s="70">
        <v>161.55000000000007</v>
      </c>
      <c r="AT96" s="70"/>
      <c r="AX96" s="68"/>
      <c r="BD96" s="58"/>
    </row>
    <row r="97" spans="1:56" x14ac:dyDescent="0.25">
      <c r="A97" s="68">
        <v>44069</v>
      </c>
      <c r="B97" s="70">
        <v>187.48</v>
      </c>
      <c r="C97" s="70">
        <v>186.22</v>
      </c>
      <c r="D97" s="70">
        <v>188</v>
      </c>
      <c r="E97" s="70">
        <v>185</v>
      </c>
      <c r="F97" s="70">
        <v>25.46</v>
      </c>
      <c r="G97" s="70">
        <v>6.6E-3</v>
      </c>
      <c r="H97" s="70">
        <v>189.00660256410256</v>
      </c>
      <c r="I97" s="70">
        <v>187.24531339031336</v>
      </c>
      <c r="J97" s="70">
        <v>1.7612891737892085</v>
      </c>
      <c r="K97" s="70">
        <v>1.7333518518518729</v>
      </c>
      <c r="L97" s="70">
        <v>2.7937321937335557E-2</v>
      </c>
      <c r="M97" s="70">
        <v>1.3372509522765952</v>
      </c>
      <c r="N97" s="70">
        <v>3.3333333333303017E-3</v>
      </c>
      <c r="O97" s="70">
        <v>0</v>
      </c>
      <c r="P97" s="70">
        <v>0.10931097691774984</v>
      </c>
      <c r="Q97" s="70">
        <v>0.1327615718474712</v>
      </c>
      <c r="R97" s="70">
        <v>-9.6874243070268137E-2</v>
      </c>
      <c r="S97" s="70">
        <v>5.555893872378085E-2</v>
      </c>
      <c r="T97" s="70">
        <v>24.933436285212196</v>
      </c>
      <c r="U97" s="70"/>
      <c r="V97" s="70">
        <v>-84.599999999999937</v>
      </c>
      <c r="W97" s="70">
        <v>161.55000000000007</v>
      </c>
      <c r="AT97" s="70"/>
      <c r="AX97" s="68"/>
      <c r="BD97" s="58"/>
    </row>
    <row r="98" spans="1:56" x14ac:dyDescent="0.25">
      <c r="A98" s="68">
        <v>44068</v>
      </c>
      <c r="B98" s="70">
        <v>186.25</v>
      </c>
      <c r="C98" s="70">
        <v>187.45</v>
      </c>
      <c r="D98" s="70">
        <v>187.99</v>
      </c>
      <c r="E98" s="70">
        <v>184.73</v>
      </c>
      <c r="F98" s="70">
        <v>19.559999999999999</v>
      </c>
      <c r="G98" s="70">
        <v>-4.4999999999999997E-3</v>
      </c>
      <c r="H98" s="70">
        <v>188.83288461538461</v>
      </c>
      <c r="I98" s="70">
        <v>187.12927350427347</v>
      </c>
      <c r="J98" s="70">
        <v>1.7036111111111438</v>
      </c>
      <c r="K98" s="70">
        <v>1.5448393478949174</v>
      </c>
      <c r="L98" s="70">
        <v>0.15877176321622644</v>
      </c>
      <c r="M98" s="70">
        <v>1.4203849875986656</v>
      </c>
      <c r="N98" s="70">
        <v>0.16871165644172029</v>
      </c>
      <c r="O98" s="70">
        <v>0</v>
      </c>
      <c r="P98" s="70">
        <v>0.13271667142773982</v>
      </c>
      <c r="Q98" s="70">
        <v>0.16429525555506788</v>
      </c>
      <c r="R98" s="70">
        <v>-0.10632092942569259</v>
      </c>
      <c r="S98" s="70">
        <v>2.8056910691386799E-2</v>
      </c>
      <c r="T98" s="70">
        <v>12.409877493085347</v>
      </c>
      <c r="U98" s="70"/>
      <c r="V98" s="70">
        <v>-84.599999999999937</v>
      </c>
      <c r="W98" s="70">
        <v>161.55000000000007</v>
      </c>
      <c r="AT98" s="70"/>
      <c r="AX98" s="68"/>
      <c r="BD98" s="58"/>
    </row>
    <row r="99" spans="1:56" x14ac:dyDescent="0.25">
      <c r="A99" s="68">
        <v>44067</v>
      </c>
      <c r="B99" s="70">
        <v>187.1</v>
      </c>
      <c r="C99" s="70">
        <v>185.4</v>
      </c>
      <c r="D99" s="70">
        <v>187.44</v>
      </c>
      <c r="E99" s="70">
        <v>184.84</v>
      </c>
      <c r="F99" s="70">
        <v>24.3</v>
      </c>
      <c r="G99" s="70">
        <v>1.4E-2</v>
      </c>
      <c r="H99" s="70">
        <v>189.03275641025638</v>
      </c>
      <c r="I99" s="70">
        <v>187.26737891737889</v>
      </c>
      <c r="J99" s="70">
        <v>1.7653774928774908</v>
      </c>
      <c r="K99" s="70">
        <v>1.2957852168407771</v>
      </c>
      <c r="L99" s="70">
        <v>0.46959227603671372</v>
      </c>
      <c r="M99" s="70">
        <v>1.5165417140630799</v>
      </c>
      <c r="N99" s="70">
        <v>0</v>
      </c>
      <c r="O99" s="70">
        <v>0</v>
      </c>
      <c r="P99" s="70">
        <v>9.7491160742105926E-2</v>
      </c>
      <c r="Q99" s="70">
        <v>0.16429525555506788</v>
      </c>
      <c r="R99" s="70">
        <v>-0.25518548959823611</v>
      </c>
      <c r="S99" s="70">
        <v>9.2464869140746614E-3</v>
      </c>
      <c r="T99" s="70">
        <v>25.13628743779617</v>
      </c>
      <c r="U99" s="70"/>
      <c r="V99" s="70">
        <v>-84.599999999999937</v>
      </c>
      <c r="W99" s="70">
        <v>161.55000000000007</v>
      </c>
      <c r="AT99" s="70"/>
      <c r="AX99" s="68"/>
      <c r="BD99" s="58"/>
    </row>
    <row r="100" spans="1:56" x14ac:dyDescent="0.25">
      <c r="A100" s="68">
        <v>44064</v>
      </c>
      <c r="B100" s="70">
        <v>184.51</v>
      </c>
      <c r="C100" s="70">
        <v>187.25</v>
      </c>
      <c r="D100" s="70">
        <v>187.79</v>
      </c>
      <c r="E100" s="70">
        <v>183.5</v>
      </c>
      <c r="F100" s="70">
        <v>33.85</v>
      </c>
      <c r="G100" s="70">
        <v>-1.3100000000000001E-2</v>
      </c>
      <c r="H100" s="70">
        <v>188.77320512820512</v>
      </c>
      <c r="I100" s="70">
        <v>186.98827635327632</v>
      </c>
      <c r="J100" s="70">
        <v>1.784928774928801</v>
      </c>
      <c r="K100" s="70">
        <v>0.94578094333650908</v>
      </c>
      <c r="L100" s="70">
        <v>0.83914783159229189</v>
      </c>
      <c r="M100" s="70">
        <v>1.5814413519370811</v>
      </c>
      <c r="N100" s="70">
        <v>0</v>
      </c>
      <c r="O100" s="70">
        <v>0.48484848484848864</v>
      </c>
      <c r="P100" s="70">
        <v>0.14988254746632615</v>
      </c>
      <c r="Q100" s="70">
        <v>0.23355932481913769</v>
      </c>
      <c r="R100" s="70">
        <v>-0.21822545580133215</v>
      </c>
      <c r="S100" s="70">
        <v>5.7824574686305634E-2</v>
      </c>
      <c r="T100" s="70">
        <v>25.416863920887906</v>
      </c>
      <c r="U100" s="70"/>
      <c r="V100" s="70">
        <v>-84.599999999999937</v>
      </c>
      <c r="W100" s="70">
        <v>161.55000000000007</v>
      </c>
      <c r="AT100" s="70"/>
      <c r="AX100" s="68"/>
      <c r="BD100" s="58"/>
    </row>
    <row r="101" spans="1:56" x14ac:dyDescent="0.25">
      <c r="A101" s="68">
        <v>44063</v>
      </c>
      <c r="B101" s="70">
        <v>186.95</v>
      </c>
      <c r="C101" s="70">
        <v>188.78</v>
      </c>
      <c r="D101" s="70">
        <v>188.94</v>
      </c>
      <c r="E101" s="70">
        <v>185.58</v>
      </c>
      <c r="F101" s="70">
        <v>37.700000000000003</v>
      </c>
      <c r="G101" s="70">
        <v>-1.2200000000000001E-2</v>
      </c>
      <c r="H101" s="70">
        <v>189.47576923076926</v>
      </c>
      <c r="I101" s="70">
        <v>187.12663817663812</v>
      </c>
      <c r="J101" s="70">
        <v>2.349131054131135</v>
      </c>
      <c r="K101" s="70">
        <v>0.62957549857551642</v>
      </c>
      <c r="L101" s="70">
        <v>1.7195555555556186</v>
      </c>
      <c r="M101" s="70">
        <v>1.6439812988531037</v>
      </c>
      <c r="N101" s="70">
        <v>0</v>
      </c>
      <c r="O101" s="70">
        <v>1.0178571428571437</v>
      </c>
      <c r="P101" s="70">
        <v>0.1669571063735544</v>
      </c>
      <c r="Q101" s="70">
        <v>0.27773538685234189</v>
      </c>
      <c r="R101" s="70">
        <v>-0.24911209918381505</v>
      </c>
      <c r="S101" s="70">
        <v>8.1212773914338399E-2</v>
      </c>
      <c r="T101" s="70">
        <v>37.761046347808424</v>
      </c>
      <c r="U101" s="70"/>
      <c r="V101" s="70">
        <v>-84.599999999999937</v>
      </c>
      <c r="W101" s="70">
        <v>161.55000000000007</v>
      </c>
      <c r="AT101" s="70"/>
      <c r="AX101" s="68"/>
      <c r="BD101" s="58"/>
    </row>
    <row r="102" spans="1:56" x14ac:dyDescent="0.25">
      <c r="A102" s="68">
        <v>44062</v>
      </c>
      <c r="B102" s="70">
        <v>189.26</v>
      </c>
      <c r="C102" s="70">
        <v>190.48</v>
      </c>
      <c r="D102" s="70">
        <v>191.99</v>
      </c>
      <c r="E102" s="70">
        <v>189</v>
      </c>
      <c r="F102" s="70">
        <v>31.49</v>
      </c>
      <c r="G102" s="70">
        <v>-5.4999999999999997E-3</v>
      </c>
      <c r="H102" s="70">
        <v>189.57448717948719</v>
      </c>
      <c r="I102" s="70">
        <v>187.13072649572646</v>
      </c>
      <c r="J102" s="70">
        <v>2.4437606837607291</v>
      </c>
      <c r="K102" s="70">
        <v>0.11703260525483378</v>
      </c>
      <c r="L102" s="70">
        <v>2.3267280785058952</v>
      </c>
      <c r="M102" s="70">
        <v>1.5809510103698183</v>
      </c>
      <c r="N102" s="70">
        <v>0</v>
      </c>
      <c r="O102" s="70">
        <v>8.3612040133779014E-2</v>
      </c>
      <c r="P102" s="70">
        <v>0.1669571063735544</v>
      </c>
      <c r="Q102" s="70">
        <v>7.7160340780401238E-2</v>
      </c>
      <c r="R102" s="70">
        <v>0.36784247353087279</v>
      </c>
      <c r="S102" s="70">
        <v>0.18662872098108074</v>
      </c>
      <c r="T102" s="70">
        <v>50.036022582884691</v>
      </c>
      <c r="U102" s="70"/>
      <c r="V102" s="70">
        <v>-84.599999999999937</v>
      </c>
      <c r="W102" s="70">
        <v>161.55000000000007</v>
      </c>
      <c r="AT102" s="70"/>
      <c r="AX102" s="68"/>
      <c r="BD102" s="58"/>
    </row>
    <row r="103" spans="1:56" x14ac:dyDescent="0.25">
      <c r="A103" s="68">
        <v>44061</v>
      </c>
      <c r="B103" s="70">
        <v>190.3</v>
      </c>
      <c r="C103" s="70">
        <v>190.07</v>
      </c>
      <c r="D103" s="70">
        <v>191.95</v>
      </c>
      <c r="E103" s="70">
        <v>189.25</v>
      </c>
      <c r="F103" s="70">
        <v>27.79</v>
      </c>
      <c r="G103" s="70">
        <v>-8.9999999999999998E-4</v>
      </c>
      <c r="H103" s="70">
        <v>189.33538461538461</v>
      </c>
      <c r="I103" s="70">
        <v>187.36232193732195</v>
      </c>
      <c r="J103" s="70">
        <v>1.9730626780626608</v>
      </c>
      <c r="K103" s="70">
        <v>-0.52992434314657355</v>
      </c>
      <c r="L103" s="70">
        <v>2.5029870212092344</v>
      </c>
      <c r="M103" s="70">
        <v>1.3738338533894034</v>
      </c>
      <c r="N103" s="70">
        <v>0</v>
      </c>
      <c r="O103" s="70">
        <v>0</v>
      </c>
      <c r="P103" s="70">
        <v>0.16920253895954457</v>
      </c>
      <c r="Q103" s="70">
        <v>5.9702881851370439E-2</v>
      </c>
      <c r="R103" s="70">
        <v>0.47836200960319425</v>
      </c>
      <c r="S103" s="70">
        <v>0.14989452635396161</v>
      </c>
      <c r="T103" s="70">
        <v>50.102637084450969</v>
      </c>
      <c r="U103" s="70"/>
      <c r="V103" s="70">
        <v>-84.599999999999937</v>
      </c>
      <c r="W103" s="70">
        <v>161.55000000000007</v>
      </c>
      <c r="AT103" s="70"/>
      <c r="AX103" s="68"/>
      <c r="BD103" s="58"/>
    </row>
    <row r="104" spans="1:56" x14ac:dyDescent="0.25">
      <c r="A104" s="68">
        <v>44060</v>
      </c>
      <c r="B104" s="70">
        <v>190.47</v>
      </c>
      <c r="C104" s="70">
        <v>193.83</v>
      </c>
      <c r="D104" s="70">
        <v>194.68</v>
      </c>
      <c r="E104" s="70">
        <v>189.2</v>
      </c>
      <c r="F104" s="70">
        <v>55.76</v>
      </c>
      <c r="G104" s="70">
        <v>-1.2200000000000001E-2</v>
      </c>
      <c r="H104" s="70">
        <v>188.81788461538463</v>
      </c>
      <c r="I104" s="70">
        <v>187.56722222222226</v>
      </c>
      <c r="J104" s="70">
        <v>1.2506623931623722</v>
      </c>
      <c r="K104" s="70">
        <v>-1.2157554605887992</v>
      </c>
      <c r="L104" s="70">
        <v>2.4664178537511714</v>
      </c>
      <c r="M104" s="70">
        <v>1.0749087171138418</v>
      </c>
      <c r="N104" s="70">
        <v>0</v>
      </c>
      <c r="O104" s="70">
        <v>0.27554744525547709</v>
      </c>
      <c r="P104" s="70">
        <v>0.16920253895954457</v>
      </c>
      <c r="Q104" s="70">
        <v>0.14238997157977204</v>
      </c>
      <c r="R104" s="70">
        <v>8.6050102209980217E-2</v>
      </c>
      <c r="S104" s="70">
        <v>2.3174663965534647E-2</v>
      </c>
      <c r="T104" s="70">
        <v>50.143085930321099</v>
      </c>
      <c r="U104" s="70"/>
      <c r="V104" s="70">
        <v>-84.599999999999937</v>
      </c>
      <c r="W104" s="70">
        <v>161.55000000000007</v>
      </c>
      <c r="AT104" s="70"/>
      <c r="AX104" s="68"/>
      <c r="BD104" s="58"/>
    </row>
    <row r="105" spans="1:56" x14ac:dyDescent="0.25">
      <c r="A105" s="68">
        <v>44057</v>
      </c>
      <c r="B105" s="70">
        <v>192.83</v>
      </c>
      <c r="C105" s="70">
        <v>194.27</v>
      </c>
      <c r="D105" s="70">
        <v>194.27</v>
      </c>
      <c r="E105" s="70">
        <v>190.71</v>
      </c>
      <c r="F105" s="70">
        <v>29.79</v>
      </c>
      <c r="G105" s="70">
        <v>-4.7999999999999996E-3</v>
      </c>
      <c r="H105" s="70">
        <v>188.62038461538464</v>
      </c>
      <c r="I105" s="70">
        <v>188.11490028490033</v>
      </c>
      <c r="J105" s="70">
        <v>0.50548433048430752</v>
      </c>
      <c r="K105" s="70">
        <v>-1.9161161760050658</v>
      </c>
      <c r="L105" s="70">
        <v>2.4216005064893733</v>
      </c>
      <c r="M105" s="70">
        <v>0.77975188976898169</v>
      </c>
      <c r="N105" s="70">
        <v>0</v>
      </c>
      <c r="O105" s="70">
        <v>0.15168539325842464</v>
      </c>
      <c r="P105" s="70">
        <v>0.16920253895954457</v>
      </c>
      <c r="Q105" s="70">
        <v>0.11267672042299681</v>
      </c>
      <c r="R105" s="70">
        <v>0.20053202445745028</v>
      </c>
      <c r="S105" s="70">
        <v>1.1760496542943984E-3</v>
      </c>
      <c r="T105" s="70">
        <v>62.612334454488121</v>
      </c>
      <c r="U105" s="70"/>
      <c r="V105" s="70">
        <v>-84.599999999999937</v>
      </c>
      <c r="W105" s="70">
        <v>161.55000000000007</v>
      </c>
      <c r="AT105" s="70"/>
      <c r="AX105" s="68"/>
      <c r="BD105" s="58"/>
    </row>
    <row r="106" spans="1:56" x14ac:dyDescent="0.25">
      <c r="A106" s="68">
        <v>44056</v>
      </c>
      <c r="B106" s="70">
        <v>193.76</v>
      </c>
      <c r="C106" s="70">
        <v>192.51</v>
      </c>
      <c r="D106" s="70">
        <v>194.44</v>
      </c>
      <c r="E106" s="70">
        <v>191.25</v>
      </c>
      <c r="F106" s="70">
        <v>37.89</v>
      </c>
      <c r="G106" s="70">
        <v>5.0000000000000001E-3</v>
      </c>
      <c r="H106" s="70">
        <v>188.18948717948714</v>
      </c>
      <c r="I106" s="70">
        <v>188.41918803418804</v>
      </c>
      <c r="J106" s="70">
        <v>-0.2297008547008943</v>
      </c>
      <c r="K106" s="70">
        <v>-2.568459322570432</v>
      </c>
      <c r="L106" s="70">
        <v>2.3387584678695377</v>
      </c>
      <c r="M106" s="70">
        <v>0.47885410252930916</v>
      </c>
      <c r="N106" s="70">
        <v>0.36050156739812117</v>
      </c>
      <c r="O106" s="70">
        <v>0</v>
      </c>
      <c r="P106" s="70">
        <v>0.22070276287356189</v>
      </c>
      <c r="Q106" s="70">
        <v>0.10227519733571816</v>
      </c>
      <c r="R106" s="70">
        <v>0.36667382957371519</v>
      </c>
      <c r="S106" s="70">
        <v>-2.3979849094038261E-2</v>
      </c>
      <c r="T106" s="70">
        <v>63.006372626791475</v>
      </c>
      <c r="U106" s="70"/>
      <c r="V106" s="70">
        <v>-84.599999999999937</v>
      </c>
      <c r="W106" s="70">
        <v>161.55000000000007</v>
      </c>
      <c r="AT106" s="70"/>
      <c r="AX106" s="68"/>
      <c r="BD106" s="58"/>
    </row>
    <row r="107" spans="1:56" x14ac:dyDescent="0.25">
      <c r="A107" s="68">
        <v>44055</v>
      </c>
      <c r="B107" s="70">
        <v>192.8</v>
      </c>
      <c r="C107" s="70">
        <v>190.5</v>
      </c>
      <c r="D107" s="70">
        <v>193.29</v>
      </c>
      <c r="E107" s="70">
        <v>189.32</v>
      </c>
      <c r="F107" s="70">
        <v>35.619999999999997</v>
      </c>
      <c r="G107" s="70">
        <v>1.6299999999999999E-2</v>
      </c>
      <c r="H107" s="70">
        <v>187.37474358974359</v>
      </c>
      <c r="I107" s="70">
        <v>188.6119658119658</v>
      </c>
      <c r="J107" s="70">
        <v>-1.2372222222222149</v>
      </c>
      <c r="K107" s="70">
        <v>-3.2462187401076146</v>
      </c>
      <c r="L107" s="70">
        <v>2.0089965178853997</v>
      </c>
      <c r="M107" s="70">
        <v>0.17569728909899882</v>
      </c>
      <c r="N107" s="70">
        <v>0.22418136020150797</v>
      </c>
      <c r="O107" s="70">
        <v>0</v>
      </c>
      <c r="P107" s="70">
        <v>0.17745911344559817</v>
      </c>
      <c r="Q107" s="70">
        <v>0.10227519733571816</v>
      </c>
      <c r="R107" s="70">
        <v>0.26876901835847877</v>
      </c>
      <c r="S107" s="70">
        <v>-8.9692663260806049E-2</v>
      </c>
      <c r="T107" s="70">
        <v>62.756229368544346</v>
      </c>
      <c r="U107" s="70"/>
      <c r="V107" s="70">
        <v>-84.599999999999937</v>
      </c>
      <c r="W107" s="70">
        <v>161.55000000000007</v>
      </c>
      <c r="AT107" s="70"/>
      <c r="AX107" s="68"/>
      <c r="BD107" s="58"/>
    </row>
    <row r="108" spans="1:56" x14ac:dyDescent="0.25">
      <c r="A108" s="68">
        <v>44054</v>
      </c>
      <c r="B108" s="70">
        <v>189.7</v>
      </c>
      <c r="C108" s="70">
        <v>187.88</v>
      </c>
      <c r="D108" s="70">
        <v>192.4</v>
      </c>
      <c r="E108" s="70">
        <v>187.88</v>
      </c>
      <c r="F108" s="70">
        <v>51.93</v>
      </c>
      <c r="G108" s="70">
        <v>1.0699999999999999E-2</v>
      </c>
      <c r="H108" s="70">
        <v>186.3499358974359</v>
      </c>
      <c r="I108" s="70">
        <v>188.56609686609687</v>
      </c>
      <c r="J108" s="70">
        <v>-2.2161609686609722</v>
      </c>
      <c r="K108" s="70">
        <v>-3.8700153529597823</v>
      </c>
      <c r="L108" s="70">
        <v>1.65385438429881</v>
      </c>
      <c r="M108" s="70">
        <v>-9.5719976762713432E-2</v>
      </c>
      <c r="N108" s="70">
        <v>0.75531914893616992</v>
      </c>
      <c r="O108" s="70">
        <v>0</v>
      </c>
      <c r="P108" s="70">
        <v>0.23855475182297786</v>
      </c>
      <c r="Q108" s="70">
        <v>0.11019860440075621</v>
      </c>
      <c r="R108" s="70">
        <v>0.36804275896309357</v>
      </c>
      <c r="S108" s="70">
        <v>-0.11772298475571685</v>
      </c>
      <c r="T108" s="70">
        <v>62.501423928703048</v>
      </c>
      <c r="U108" s="70"/>
      <c r="V108" s="70">
        <v>-84.599999999999937</v>
      </c>
      <c r="W108" s="70">
        <v>161.55000000000007</v>
      </c>
      <c r="AT108" s="70"/>
      <c r="AX108" s="68"/>
      <c r="BD108" s="58"/>
    </row>
    <row r="109" spans="1:56" x14ac:dyDescent="0.25">
      <c r="A109" s="68">
        <v>44053</v>
      </c>
      <c r="B109" s="70">
        <v>187.7</v>
      </c>
      <c r="C109" s="70">
        <v>187.49</v>
      </c>
      <c r="D109" s="70">
        <v>188.85</v>
      </c>
      <c r="E109" s="70">
        <v>186.83</v>
      </c>
      <c r="F109" s="70">
        <v>24.24</v>
      </c>
      <c r="G109" s="70">
        <v>2.5000000000000001E-3</v>
      </c>
      <c r="H109" s="70">
        <v>185.7425641025641</v>
      </c>
      <c r="I109" s="70">
        <v>188.78440170940172</v>
      </c>
      <c r="J109" s="70">
        <v>-3.0418376068376176</v>
      </c>
      <c r="K109" s="70">
        <v>-4.328598607154146</v>
      </c>
      <c r="L109" s="70">
        <v>1.2867610003165284</v>
      </c>
      <c r="M109" s="70">
        <v>-0.32600829306812307</v>
      </c>
      <c r="N109" s="70">
        <v>0.13861386138614043</v>
      </c>
      <c r="O109" s="70">
        <v>0</v>
      </c>
      <c r="P109" s="70">
        <v>0.10065273389146796</v>
      </c>
      <c r="Q109" s="70">
        <v>0.13843190955713802</v>
      </c>
      <c r="R109" s="70">
        <v>-0.15801590232118415</v>
      </c>
      <c r="S109" s="70">
        <v>-0.24623641841882549</v>
      </c>
      <c r="T109" s="70">
        <v>50.030636223462629</v>
      </c>
      <c r="U109" s="70"/>
      <c r="V109" s="70">
        <v>-84.599999999999937</v>
      </c>
      <c r="W109" s="70">
        <v>161.55000000000007</v>
      </c>
      <c r="AT109" s="70"/>
      <c r="AX109" s="68"/>
      <c r="BD109" s="58"/>
    </row>
    <row r="110" spans="1:56" x14ac:dyDescent="0.25">
      <c r="A110" s="68">
        <v>44050</v>
      </c>
      <c r="B110" s="70">
        <v>187.23</v>
      </c>
      <c r="C110" s="70">
        <v>188.45</v>
      </c>
      <c r="D110" s="70">
        <v>188.57</v>
      </c>
      <c r="E110" s="70">
        <v>185.81</v>
      </c>
      <c r="F110" s="70">
        <v>28.84</v>
      </c>
      <c r="G110" s="70">
        <v>-9.7000000000000003E-3</v>
      </c>
      <c r="H110" s="70">
        <v>185.45801282051283</v>
      </c>
      <c r="I110" s="70">
        <v>189.08790598290597</v>
      </c>
      <c r="J110" s="70">
        <v>-3.629893162393131</v>
      </c>
      <c r="K110" s="70">
        <v>-4.6352220639442665</v>
      </c>
      <c r="L110" s="70">
        <v>1.0053289015511355</v>
      </c>
      <c r="M110" s="70">
        <v>-0.48990218075687297</v>
      </c>
      <c r="N110" s="70">
        <v>0</v>
      </c>
      <c r="O110" s="70">
        <v>0.47826086956521652</v>
      </c>
      <c r="P110" s="70">
        <v>7.1711378217438643E-2</v>
      </c>
      <c r="Q110" s="70">
        <v>0.21146446706174526</v>
      </c>
      <c r="R110" s="70">
        <v>-0.49352051445815803</v>
      </c>
      <c r="S110" s="70">
        <v>-0.2958847581070147</v>
      </c>
      <c r="T110" s="70">
        <v>49.929157445889778</v>
      </c>
      <c r="U110" s="70"/>
      <c r="V110" s="70">
        <v>-84.599999999999937</v>
      </c>
      <c r="W110" s="70">
        <v>161.55000000000007</v>
      </c>
      <c r="AT110" s="70"/>
      <c r="AX110" s="68"/>
      <c r="BD110" s="58"/>
    </row>
    <row r="111" spans="1:56" x14ac:dyDescent="0.25">
      <c r="A111" s="68">
        <v>44049</v>
      </c>
      <c r="B111" s="70">
        <v>189.07</v>
      </c>
      <c r="C111" s="70">
        <v>189.58</v>
      </c>
      <c r="D111" s="70">
        <v>189.92</v>
      </c>
      <c r="E111" s="70">
        <v>187.13</v>
      </c>
      <c r="F111" s="70">
        <v>42.87</v>
      </c>
      <c r="G111" s="70">
        <v>-4.0000000000000002E-4</v>
      </c>
      <c r="H111" s="70">
        <v>185.73544871794871</v>
      </c>
      <c r="I111" s="70">
        <v>189.51088319088316</v>
      </c>
      <c r="J111" s="70">
        <v>-3.7754344729344496</v>
      </c>
      <c r="K111" s="70">
        <v>-4.7191388097499072</v>
      </c>
      <c r="L111" s="70">
        <v>0.94370433681545762</v>
      </c>
      <c r="M111" s="70">
        <v>-0.57991224792933171</v>
      </c>
      <c r="N111" s="70">
        <v>0</v>
      </c>
      <c r="O111" s="70">
        <v>0</v>
      </c>
      <c r="P111" s="70">
        <v>9.7185903691964295E-2</v>
      </c>
      <c r="Q111" s="70">
        <v>0.11160780198768906</v>
      </c>
      <c r="R111" s="70">
        <v>-6.9072476341082337E-2</v>
      </c>
      <c r="S111" s="70">
        <v>-0.20111295519336267</v>
      </c>
      <c r="T111" s="70">
        <v>50.028055136794144</v>
      </c>
      <c r="U111" s="70"/>
      <c r="V111" s="70">
        <v>-84.599999999999937</v>
      </c>
      <c r="W111" s="70">
        <v>161.55000000000007</v>
      </c>
      <c r="AT111" s="70"/>
      <c r="AX111" s="68"/>
      <c r="BD111" s="58"/>
    </row>
    <row r="112" spans="1:56" x14ac:dyDescent="0.25">
      <c r="A112" s="68">
        <v>44048</v>
      </c>
      <c r="B112" s="70">
        <v>189.15</v>
      </c>
      <c r="C112" s="70">
        <v>183.58</v>
      </c>
      <c r="D112" s="70">
        <v>189.98</v>
      </c>
      <c r="E112" s="70">
        <v>183.35</v>
      </c>
      <c r="F112" s="70">
        <v>75.45</v>
      </c>
      <c r="G112" s="70">
        <v>3.1899999999999998E-2</v>
      </c>
      <c r="H112" s="70">
        <v>185.58628205128207</v>
      </c>
      <c r="I112" s="70">
        <v>189.7034188034188</v>
      </c>
      <c r="J112" s="70">
        <v>-4.1171367521367301</v>
      </c>
      <c r="K112" s="70">
        <v>-4.7703364988920436</v>
      </c>
      <c r="L112" s="70">
        <v>0.65319974675531345</v>
      </c>
      <c r="M112" s="70">
        <v>-0.68160191881558274</v>
      </c>
      <c r="N112" s="70">
        <v>0.79460269865067357</v>
      </c>
      <c r="O112" s="70">
        <v>0</v>
      </c>
      <c r="P112" s="70">
        <v>0.26135191034732197</v>
      </c>
      <c r="Q112" s="70">
        <v>0.11160780198768906</v>
      </c>
      <c r="R112" s="70">
        <v>0.40150210172064188</v>
      </c>
      <c r="S112" s="70">
        <v>-0.12475879964134982</v>
      </c>
      <c r="T112" s="70">
        <v>50.165063483347907</v>
      </c>
      <c r="U112" s="70"/>
      <c r="V112" s="70">
        <v>-84.599999999999937</v>
      </c>
      <c r="W112" s="70">
        <v>161.55000000000007</v>
      </c>
      <c r="AT112" s="70"/>
      <c r="AX112" s="68"/>
      <c r="BD112" s="58"/>
    </row>
    <row r="113" spans="1:56" x14ac:dyDescent="0.25">
      <c r="A113" s="68">
        <v>44047</v>
      </c>
      <c r="B113" s="70">
        <v>183.31</v>
      </c>
      <c r="C113" s="70">
        <v>184.05</v>
      </c>
      <c r="D113" s="70">
        <v>184.68</v>
      </c>
      <c r="E113" s="70">
        <v>182.17</v>
      </c>
      <c r="F113" s="70">
        <v>32.450000000000003</v>
      </c>
      <c r="G113" s="70">
        <v>-1.6000000000000001E-3</v>
      </c>
      <c r="H113" s="70">
        <v>184.63211538461542</v>
      </c>
      <c r="I113" s="70">
        <v>189.58386039886039</v>
      </c>
      <c r="J113" s="70">
        <v>-4.9517450142449775</v>
      </c>
      <c r="K113" s="70">
        <v>-4.8318653054764047</v>
      </c>
      <c r="L113" s="70">
        <v>-0.11987970876857279</v>
      </c>
      <c r="M113" s="70">
        <v>-0.84833767814962924</v>
      </c>
      <c r="N113" s="70">
        <v>0.25896414342629509</v>
      </c>
      <c r="O113" s="70">
        <v>0</v>
      </c>
      <c r="P113" s="70">
        <v>0.16860844579898521</v>
      </c>
      <c r="Q113" s="70">
        <v>0.11160780198768906</v>
      </c>
      <c r="R113" s="70">
        <v>0.20341662648587797</v>
      </c>
      <c r="S113" s="70">
        <v>-0.18356005497680727</v>
      </c>
      <c r="T113" s="70">
        <v>50.039755621852677</v>
      </c>
      <c r="U113" s="70"/>
      <c r="V113" s="70">
        <v>-84.599999999999937</v>
      </c>
      <c r="W113" s="70">
        <v>161.55000000000007</v>
      </c>
      <c r="AT113" s="70"/>
      <c r="AX113" s="68"/>
      <c r="BD113" s="58"/>
    </row>
    <row r="114" spans="1:56" x14ac:dyDescent="0.25">
      <c r="A114" s="68">
        <v>44046</v>
      </c>
      <c r="B114" s="70">
        <v>183.6</v>
      </c>
      <c r="C114" s="70">
        <v>182.5</v>
      </c>
      <c r="D114" s="70">
        <v>184.03</v>
      </c>
      <c r="E114" s="70">
        <v>181.72</v>
      </c>
      <c r="F114" s="70">
        <v>28.66</v>
      </c>
      <c r="G114" s="70">
        <v>5.4999999999999997E-3</v>
      </c>
      <c r="H114" s="70">
        <v>184.77121794871798</v>
      </c>
      <c r="I114" s="70">
        <v>189.95042735042733</v>
      </c>
      <c r="J114" s="70">
        <v>-5.1792094017093575</v>
      </c>
      <c r="K114" s="70">
        <v>-4.6272651155428797</v>
      </c>
      <c r="L114" s="70">
        <v>-0.55194428616647784</v>
      </c>
      <c r="M114" s="70">
        <v>-0.9206106397559245</v>
      </c>
      <c r="N114" s="70">
        <v>0</v>
      </c>
      <c r="O114" s="70">
        <v>0</v>
      </c>
      <c r="P114" s="70">
        <v>0.11453900925942907</v>
      </c>
      <c r="Q114" s="70">
        <v>0.11160780198768906</v>
      </c>
      <c r="R114" s="70">
        <v>1.2961523779952763E-2</v>
      </c>
      <c r="S114" s="70">
        <v>-0.24111024466719669</v>
      </c>
      <c r="T114" s="70">
        <v>49.992871061261347</v>
      </c>
      <c r="U114" s="70"/>
      <c r="V114" s="70">
        <v>-84.599999999999937</v>
      </c>
      <c r="W114" s="70">
        <v>161.55000000000007</v>
      </c>
      <c r="AT114" s="70"/>
      <c r="AX114" s="68"/>
      <c r="BD114" s="58"/>
    </row>
    <row r="115" spans="1:56" x14ac:dyDescent="0.25">
      <c r="A115" s="68">
        <v>44043</v>
      </c>
      <c r="B115" s="70">
        <v>182.59</v>
      </c>
      <c r="C115" s="70">
        <v>182.6</v>
      </c>
      <c r="D115" s="70">
        <v>184.84</v>
      </c>
      <c r="E115" s="70">
        <v>181.61</v>
      </c>
      <c r="F115" s="70">
        <v>44.97</v>
      </c>
      <c r="G115" s="70">
        <v>4.0000000000000002E-4</v>
      </c>
      <c r="H115" s="70">
        <v>184.59608974358974</v>
      </c>
      <c r="I115" s="70">
        <v>190.18366096866097</v>
      </c>
      <c r="J115" s="70">
        <v>-5.5875712250712297</v>
      </c>
      <c r="K115" s="70">
        <v>-4.3911280468502669</v>
      </c>
      <c r="L115" s="70">
        <v>-1.1964431782209628</v>
      </c>
      <c r="M115" s="70">
        <v>-0.97819190243121235</v>
      </c>
      <c r="N115" s="70">
        <v>3.4055727554183901E-2</v>
      </c>
      <c r="O115" s="70">
        <v>0</v>
      </c>
      <c r="P115" s="70">
        <v>0.11940411319574105</v>
      </c>
      <c r="Q115" s="70">
        <v>0.29864224405568796</v>
      </c>
      <c r="R115" s="70">
        <v>-0.42875180647046335</v>
      </c>
      <c r="S115" s="70">
        <v>-0.34007570326850578</v>
      </c>
      <c r="T115" s="70">
        <v>50.113111445252713</v>
      </c>
      <c r="U115" s="70"/>
      <c r="V115" s="70">
        <v>-84.599999999999937</v>
      </c>
      <c r="W115" s="70">
        <v>161.55000000000007</v>
      </c>
      <c r="AT115" s="70"/>
      <c r="AX115" s="68"/>
      <c r="BD115" s="58"/>
    </row>
    <row r="116" spans="1:56" x14ac:dyDescent="0.25">
      <c r="A116" s="68">
        <v>44042</v>
      </c>
      <c r="B116" s="70">
        <v>182.52</v>
      </c>
      <c r="C116" s="70">
        <v>184.44</v>
      </c>
      <c r="D116" s="70">
        <v>184.73</v>
      </c>
      <c r="E116" s="70">
        <v>180.91</v>
      </c>
      <c r="F116" s="70">
        <v>34.049999999999997</v>
      </c>
      <c r="G116" s="70">
        <v>-1.17E-2</v>
      </c>
      <c r="H116" s="70">
        <v>184.56205128205133</v>
      </c>
      <c r="I116" s="70">
        <v>190.61437321937322</v>
      </c>
      <c r="J116" s="70">
        <v>-6.0523219373218922</v>
      </c>
      <c r="K116" s="70">
        <v>-4.1008442545109087</v>
      </c>
      <c r="L116" s="70">
        <v>-1.9514776828109834</v>
      </c>
      <c r="M116" s="70">
        <v>-0.95013838013836593</v>
      </c>
      <c r="N116" s="70">
        <v>0</v>
      </c>
      <c r="O116" s="70">
        <v>0.65706806282722396</v>
      </c>
      <c r="P116" s="70">
        <v>0.11229357667343894</v>
      </c>
      <c r="Q116" s="70">
        <v>0.44025992051460117</v>
      </c>
      <c r="R116" s="70">
        <v>-0.59354677060265104</v>
      </c>
      <c r="S116" s="70">
        <v>-0.34912154278086266</v>
      </c>
      <c r="T116" s="70">
        <v>37.639216268970223</v>
      </c>
      <c r="U116" s="70"/>
      <c r="V116" s="70">
        <v>-84.599999999999937</v>
      </c>
      <c r="W116" s="70">
        <v>161.55000000000007</v>
      </c>
      <c r="AT116" s="70"/>
      <c r="AX116" s="68"/>
      <c r="BD116" s="58"/>
    </row>
    <row r="117" spans="1:56" x14ac:dyDescent="0.25">
      <c r="A117" s="68">
        <v>44041</v>
      </c>
      <c r="B117" s="70">
        <v>184.69</v>
      </c>
      <c r="C117" s="70">
        <v>184.5</v>
      </c>
      <c r="D117" s="70">
        <v>185.35</v>
      </c>
      <c r="E117" s="70">
        <v>183.42</v>
      </c>
      <c r="F117" s="70">
        <v>27.91</v>
      </c>
      <c r="G117" s="70">
        <v>2.0999999999999999E-3</v>
      </c>
      <c r="H117" s="70">
        <v>185.6771794871795</v>
      </c>
      <c r="I117" s="70">
        <v>191.19462962962962</v>
      </c>
      <c r="J117" s="70">
        <v>-5.5174501424501159</v>
      </c>
      <c r="K117" s="70">
        <v>-3.6044270338714721</v>
      </c>
      <c r="L117" s="70">
        <v>-1.9130231085786438</v>
      </c>
      <c r="M117" s="70">
        <v>-0.76945686665344004</v>
      </c>
      <c r="N117" s="70">
        <v>0</v>
      </c>
      <c r="O117" s="70">
        <v>9.3264248704666416E-2</v>
      </c>
      <c r="P117" s="70">
        <v>0.11229357667343894</v>
      </c>
      <c r="Q117" s="70">
        <v>0.33299753596260595</v>
      </c>
      <c r="R117" s="70">
        <v>-0.49563971304668197</v>
      </c>
      <c r="S117" s="70">
        <v>-0.29163510603415654</v>
      </c>
      <c r="T117" s="70">
        <v>50.163140367990856</v>
      </c>
      <c r="U117" s="70"/>
      <c r="V117" s="70">
        <v>-84.599999999999937</v>
      </c>
      <c r="W117" s="70">
        <v>161.55000000000007</v>
      </c>
      <c r="AT117" s="70"/>
      <c r="AX117" s="68"/>
      <c r="BD117" s="58"/>
    </row>
    <row r="118" spans="1:56" x14ac:dyDescent="0.25">
      <c r="A118" s="68">
        <v>44040</v>
      </c>
      <c r="B118" s="70">
        <v>184.3</v>
      </c>
      <c r="C118" s="70">
        <v>185.1</v>
      </c>
      <c r="D118" s="70">
        <v>185.46</v>
      </c>
      <c r="E118" s="70">
        <v>183.6</v>
      </c>
      <c r="F118" s="70">
        <v>26.64</v>
      </c>
      <c r="G118" s="70">
        <v>-3.8999999999999998E-3</v>
      </c>
      <c r="H118" s="70">
        <v>186.39352564102563</v>
      </c>
      <c r="I118" s="70">
        <v>191.5617521367522</v>
      </c>
      <c r="J118" s="70">
        <v>-5.1682264957265716</v>
      </c>
      <c r="K118" s="70">
        <v>-3.2057016460905539</v>
      </c>
      <c r="L118" s="70">
        <v>-1.9625248496360177</v>
      </c>
      <c r="M118" s="70">
        <v>-0.59138021838877175</v>
      </c>
      <c r="N118" s="70">
        <v>0</v>
      </c>
      <c r="O118" s="70">
        <v>0.32258064516128487</v>
      </c>
      <c r="P118" s="70">
        <v>0.11229357667343894</v>
      </c>
      <c r="Q118" s="70">
        <v>0.37697429205672894</v>
      </c>
      <c r="R118" s="70">
        <v>-0.54097301764416894</v>
      </c>
      <c r="S118" s="70">
        <v>-0.26318085618838988</v>
      </c>
      <c r="T118" s="70">
        <v>50.161799234396973</v>
      </c>
      <c r="U118" s="70"/>
      <c r="V118" s="70">
        <v>-84.599999999999937</v>
      </c>
      <c r="W118" s="70">
        <v>161.55000000000007</v>
      </c>
      <c r="AT118" s="70"/>
      <c r="AX118" s="68"/>
      <c r="BD118" s="58"/>
    </row>
    <row r="119" spans="1:56" x14ac:dyDescent="0.25">
      <c r="A119" s="68">
        <v>44039</v>
      </c>
      <c r="B119" s="70">
        <v>185.03</v>
      </c>
      <c r="C119" s="70">
        <v>185.52</v>
      </c>
      <c r="D119" s="70">
        <v>185.92</v>
      </c>
      <c r="E119" s="70">
        <v>184.2</v>
      </c>
      <c r="F119" s="70">
        <v>22.79</v>
      </c>
      <c r="G119" s="70">
        <v>-2.3E-3</v>
      </c>
      <c r="H119" s="70">
        <v>187.67916666666665</v>
      </c>
      <c r="I119" s="70">
        <v>191.92565527065526</v>
      </c>
      <c r="J119" s="70">
        <v>-4.2464886039886096</v>
      </c>
      <c r="K119" s="70">
        <v>-2.7018529597974066</v>
      </c>
      <c r="L119" s="70">
        <v>-1.544635644191203</v>
      </c>
      <c r="M119" s="70">
        <v>-0.36465735087957113</v>
      </c>
      <c r="N119" s="70">
        <v>0</v>
      </c>
      <c r="O119" s="70">
        <v>0</v>
      </c>
      <c r="P119" s="70">
        <v>0.12712874150860382</v>
      </c>
      <c r="Q119" s="70">
        <v>0.30962228922085633</v>
      </c>
      <c r="R119" s="70">
        <v>-0.41784342765591737</v>
      </c>
      <c r="S119" s="70">
        <v>-0.19341139940928909</v>
      </c>
      <c r="T119" s="70">
        <v>62.53610065772201</v>
      </c>
      <c r="U119" s="70"/>
      <c r="V119" s="70">
        <v>-84.599999999999937</v>
      </c>
      <c r="W119" s="70">
        <v>161.55000000000007</v>
      </c>
      <c r="AT119" s="70"/>
      <c r="AX119" s="68"/>
      <c r="BD119" s="58"/>
    </row>
    <row r="120" spans="1:56" x14ac:dyDescent="0.25">
      <c r="A120" s="68">
        <v>44036</v>
      </c>
      <c r="B120" s="70">
        <v>185.45</v>
      </c>
      <c r="C120" s="70">
        <v>184.86</v>
      </c>
      <c r="D120" s="70">
        <v>186.45</v>
      </c>
      <c r="E120" s="70">
        <v>184.12</v>
      </c>
      <c r="F120" s="70">
        <v>30.44</v>
      </c>
      <c r="G120" s="70">
        <v>4.1000000000000003E-3</v>
      </c>
      <c r="H120" s="70">
        <v>188.7598717948718</v>
      </c>
      <c r="I120" s="70">
        <v>192.34245014245016</v>
      </c>
      <c r="J120" s="70">
        <v>-3.5825783475783624</v>
      </c>
      <c r="K120" s="70">
        <v>-2.2445542893320702</v>
      </c>
      <c r="L120" s="70">
        <v>-1.3380240582462921</v>
      </c>
      <c r="M120" s="70">
        <v>-0.20470262184792276</v>
      </c>
      <c r="N120" s="70">
        <v>0</v>
      </c>
      <c r="O120" s="70">
        <v>0.12017167381974379</v>
      </c>
      <c r="P120" s="70">
        <v>0.14977093448046722</v>
      </c>
      <c r="Q120" s="70">
        <v>0.32678967119510544</v>
      </c>
      <c r="R120" s="70">
        <v>-0.37145062895766706</v>
      </c>
      <c r="S120" s="70">
        <v>-0.15203717959782315</v>
      </c>
      <c r="T120" s="70">
        <v>62.652934590533235</v>
      </c>
      <c r="U120" s="70"/>
      <c r="V120" s="70">
        <v>-84.599999999999937</v>
      </c>
      <c r="W120" s="70">
        <v>161.55000000000007</v>
      </c>
      <c r="AT120" s="70"/>
      <c r="AX120" s="68"/>
      <c r="BD120" s="58"/>
    </row>
    <row r="121" spans="1:56" x14ac:dyDescent="0.25">
      <c r="A121" s="68">
        <v>44035</v>
      </c>
      <c r="B121" s="70">
        <v>184.69</v>
      </c>
      <c r="C121" s="70">
        <v>187.5</v>
      </c>
      <c r="D121" s="70">
        <v>188.3</v>
      </c>
      <c r="E121" s="70">
        <v>184.4</v>
      </c>
      <c r="F121" s="70">
        <v>29.81</v>
      </c>
      <c r="G121" s="70">
        <v>-1.3100000000000001E-2</v>
      </c>
      <c r="H121" s="70">
        <v>189.75141025641025</v>
      </c>
      <c r="I121" s="70">
        <v>192.68287749287748</v>
      </c>
      <c r="J121" s="70">
        <v>-2.9314672364672276</v>
      </c>
      <c r="K121" s="70">
        <v>-1.8879844887622685</v>
      </c>
      <c r="L121" s="70">
        <v>-1.0434827477049591</v>
      </c>
      <c r="M121" s="70">
        <v>-8.9874783020082213E-2</v>
      </c>
      <c r="N121" s="70">
        <v>0</v>
      </c>
      <c r="O121" s="70">
        <v>0.42820512820512435</v>
      </c>
      <c r="P121" s="70">
        <v>0.14977093448046722</v>
      </c>
      <c r="Q121" s="70">
        <v>0.3863544092770983</v>
      </c>
      <c r="R121" s="70">
        <v>-0.4412838854781197</v>
      </c>
      <c r="S121" s="70">
        <v>-0.14634189255518151</v>
      </c>
      <c r="T121" s="70">
        <v>49.870875564290557</v>
      </c>
      <c r="U121" s="70"/>
      <c r="V121" s="70">
        <v>-84.599999999999937</v>
      </c>
      <c r="W121" s="70">
        <v>161.55000000000007</v>
      </c>
      <c r="AT121" s="70"/>
      <c r="AX121" s="68"/>
      <c r="BD121" s="58"/>
    </row>
    <row r="122" spans="1:56" x14ac:dyDescent="0.25">
      <c r="A122" s="68">
        <v>44034</v>
      </c>
      <c r="B122" s="70">
        <v>187.15</v>
      </c>
      <c r="C122" s="70">
        <v>187.03</v>
      </c>
      <c r="D122" s="70">
        <v>188.59</v>
      </c>
      <c r="E122" s="70">
        <v>186.07</v>
      </c>
      <c r="F122" s="70">
        <v>22.77</v>
      </c>
      <c r="G122" s="70">
        <v>2E-3</v>
      </c>
      <c r="H122" s="70">
        <v>191.06557692307695</v>
      </c>
      <c r="I122" s="70">
        <v>193.20377492877492</v>
      </c>
      <c r="J122" s="70">
        <v>-2.1381980056979728</v>
      </c>
      <c r="K122" s="70">
        <v>-1.549004590060147</v>
      </c>
      <c r="L122" s="70">
        <v>-0.58919341563782579</v>
      </c>
      <c r="M122" s="70">
        <v>1.8123366345587338E-2</v>
      </c>
      <c r="N122" s="70">
        <v>0</v>
      </c>
      <c r="O122" s="70">
        <v>7.1428571428573839E-2</v>
      </c>
      <c r="P122" s="70">
        <v>0.21164751943397525</v>
      </c>
      <c r="Q122" s="70">
        <v>0.3071530245812093</v>
      </c>
      <c r="R122" s="70">
        <v>-0.18408906129527638</v>
      </c>
      <c r="S122" s="70">
        <v>-6.0155891269060097E-2</v>
      </c>
      <c r="T122" s="70">
        <v>49.505266942776103</v>
      </c>
      <c r="U122" s="70"/>
      <c r="V122" s="70">
        <v>-84.599999999999937</v>
      </c>
      <c r="W122" s="70">
        <v>161.55000000000007</v>
      </c>
      <c r="AT122" s="70"/>
      <c r="AX122" s="68"/>
      <c r="BD122" s="58"/>
    </row>
    <row r="123" spans="1:56" x14ac:dyDescent="0.25">
      <c r="A123" s="68">
        <v>44033</v>
      </c>
      <c r="B123" s="70">
        <v>186.78</v>
      </c>
      <c r="C123" s="70">
        <v>189</v>
      </c>
      <c r="D123" s="70">
        <v>189.77</v>
      </c>
      <c r="E123" s="70">
        <v>186.25</v>
      </c>
      <c r="F123" s="70">
        <v>44.43</v>
      </c>
      <c r="G123" s="70">
        <v>-8.3999999999999995E-3</v>
      </c>
      <c r="H123" s="70">
        <v>191.91403846153847</v>
      </c>
      <c r="I123" s="70">
        <v>193.51789173789172</v>
      </c>
      <c r="J123" s="70">
        <v>-1.6038532763532487</v>
      </c>
      <c r="K123" s="70">
        <v>-1.3775493827160599</v>
      </c>
      <c r="L123" s="70">
        <v>-0.22630389363718884</v>
      </c>
      <c r="M123" s="70">
        <v>3.9795477077525371E-2</v>
      </c>
      <c r="N123" s="70">
        <v>0.38636363636363913</v>
      </c>
      <c r="O123" s="70">
        <v>0</v>
      </c>
      <c r="P123" s="70">
        <v>0.30674338298002368</v>
      </c>
      <c r="Q123" s="70">
        <v>0.29223936681040819</v>
      </c>
      <c r="R123" s="70">
        <v>2.421441381190037E-2</v>
      </c>
      <c r="S123" s="70">
        <v>-1.5621902868328277E-2</v>
      </c>
      <c r="T123" s="70">
        <v>49.96470068157376</v>
      </c>
      <c r="U123" s="70"/>
      <c r="V123" s="70">
        <v>-84.599999999999937</v>
      </c>
      <c r="W123" s="70">
        <v>161.55000000000007</v>
      </c>
      <c r="AT123" s="70"/>
      <c r="AX123" s="68"/>
      <c r="BD123" s="58"/>
    </row>
    <row r="124" spans="1:56" x14ac:dyDescent="0.25">
      <c r="A124" s="68">
        <v>44032</v>
      </c>
      <c r="B124" s="70">
        <v>188.36</v>
      </c>
      <c r="C124" s="70">
        <v>184.68</v>
      </c>
      <c r="D124" s="70">
        <v>188.41</v>
      </c>
      <c r="E124" s="70">
        <v>183.88</v>
      </c>
      <c r="F124" s="70">
        <v>30.03</v>
      </c>
      <c r="G124" s="70">
        <v>2.01E-2</v>
      </c>
      <c r="H124" s="70">
        <v>192.89185897435897</v>
      </c>
      <c r="I124" s="70">
        <v>194.16804843304843</v>
      </c>
      <c r="J124" s="70">
        <v>-1.2761894586894584</v>
      </c>
      <c r="K124" s="70">
        <v>-1.3070270655270881</v>
      </c>
      <c r="L124" s="70">
        <v>3.0837606837629705E-2</v>
      </c>
      <c r="M124" s="70">
        <v>-2.7981758033045642E-2</v>
      </c>
      <c r="N124" s="70">
        <v>0.76821192052979892</v>
      </c>
      <c r="O124" s="70">
        <v>0</v>
      </c>
      <c r="P124" s="70">
        <v>0.335818612386378</v>
      </c>
      <c r="Q124" s="70">
        <v>0.29223936681040819</v>
      </c>
      <c r="R124" s="70">
        <v>6.9387297064042799E-2</v>
      </c>
      <c r="S124" s="70">
        <v>-3.457056470570289E-2</v>
      </c>
      <c r="T124" s="70">
        <v>49.550799269762543</v>
      </c>
      <c r="U124" s="70"/>
      <c r="V124" s="70">
        <v>-84.599999999999937</v>
      </c>
      <c r="W124" s="70">
        <v>161.55000000000007</v>
      </c>
      <c r="AT124" s="70"/>
      <c r="AX124" s="68"/>
      <c r="BD124" s="58"/>
    </row>
    <row r="125" spans="1:56" x14ac:dyDescent="0.25">
      <c r="A125" s="68">
        <v>44029</v>
      </c>
      <c r="B125" s="70">
        <v>184.65</v>
      </c>
      <c r="C125" s="70">
        <v>183.8</v>
      </c>
      <c r="D125" s="70">
        <v>184.93</v>
      </c>
      <c r="E125" s="70">
        <v>182.87</v>
      </c>
      <c r="F125" s="70">
        <v>25.49</v>
      </c>
      <c r="G125" s="70">
        <v>7.3000000000000001E-3</v>
      </c>
      <c r="H125" s="70">
        <v>192.80903846153848</v>
      </c>
      <c r="I125" s="70">
        <v>194.48012820512821</v>
      </c>
      <c r="J125" s="70">
        <v>-1.6710897435897323</v>
      </c>
      <c r="K125" s="70">
        <v>-1.4704692940804283</v>
      </c>
      <c r="L125" s="70">
        <v>-0.20062044950930402</v>
      </c>
      <c r="M125" s="70">
        <v>-0.2172759080109552</v>
      </c>
      <c r="N125" s="70">
        <v>0.54854368932038555</v>
      </c>
      <c r="O125" s="70">
        <v>0</v>
      </c>
      <c r="P125" s="70">
        <v>0.25856757914369249</v>
      </c>
      <c r="Q125" s="70">
        <v>0.29223936681040819</v>
      </c>
      <c r="R125" s="70">
        <v>-6.1131741191806963E-2</v>
      </c>
      <c r="S125" s="70">
        <v>-8.0967870598308955E-2</v>
      </c>
      <c r="T125" s="70">
        <v>49.970150803332729</v>
      </c>
      <c r="U125" s="70"/>
      <c r="V125" s="70">
        <v>-84.599999999999937</v>
      </c>
      <c r="W125" s="70">
        <v>161.55000000000007</v>
      </c>
      <c r="AT125" s="70"/>
      <c r="AX125" s="68"/>
      <c r="BD125" s="58"/>
    </row>
    <row r="126" spans="1:56" x14ac:dyDescent="0.25">
      <c r="A126" s="68">
        <v>44028</v>
      </c>
      <c r="B126" s="70">
        <v>183.32</v>
      </c>
      <c r="C126" s="70">
        <v>181.06</v>
      </c>
      <c r="D126" s="70">
        <v>183.8</v>
      </c>
      <c r="E126" s="70">
        <v>181.06</v>
      </c>
      <c r="F126" s="70">
        <v>29.45</v>
      </c>
      <c r="G126" s="70">
        <v>5.7999999999999996E-3</v>
      </c>
      <c r="H126" s="70">
        <v>193.28557692307692</v>
      </c>
      <c r="I126" s="70">
        <v>195.10311965811968</v>
      </c>
      <c r="J126" s="70">
        <v>-1.817542735042764</v>
      </c>
      <c r="K126" s="70">
        <v>-1.5376630262741742</v>
      </c>
      <c r="L126" s="70">
        <v>-0.27987970876858981</v>
      </c>
      <c r="M126" s="70">
        <v>-0.36916954523792989</v>
      </c>
      <c r="N126" s="70">
        <v>0</v>
      </c>
      <c r="O126" s="70">
        <v>0</v>
      </c>
      <c r="P126" s="70">
        <v>0.17282291013604401</v>
      </c>
      <c r="Q126" s="70">
        <v>0.29223936681040819</v>
      </c>
      <c r="R126" s="70">
        <v>-0.25677519462219017</v>
      </c>
      <c r="S126" s="70">
        <v>-0.12227916801416669</v>
      </c>
      <c r="T126" s="70">
        <v>37.663006066688546</v>
      </c>
      <c r="U126" s="70"/>
      <c r="V126" s="70">
        <v>-84.599999999999937</v>
      </c>
      <c r="W126" s="70">
        <v>161.55000000000007</v>
      </c>
      <c r="AT126" s="70"/>
      <c r="AX126" s="68"/>
      <c r="BD126" s="58"/>
    </row>
    <row r="127" spans="1:56" x14ac:dyDescent="0.25">
      <c r="A127" s="68">
        <v>44027</v>
      </c>
      <c r="B127" s="70">
        <v>182.26</v>
      </c>
      <c r="C127" s="70">
        <v>180.6</v>
      </c>
      <c r="D127" s="70">
        <v>184.27</v>
      </c>
      <c r="E127" s="70">
        <v>179.8</v>
      </c>
      <c r="F127" s="70">
        <v>73.989999999999995</v>
      </c>
      <c r="G127" s="70">
        <v>-5.8599999999999999E-2</v>
      </c>
      <c r="H127" s="70">
        <v>194.15339743589746</v>
      </c>
      <c r="I127" s="70">
        <v>195.72723646723654</v>
      </c>
      <c r="J127" s="70">
        <v>-1.5738390313390767</v>
      </c>
      <c r="K127" s="70">
        <v>-1.5449931940487844</v>
      </c>
      <c r="L127" s="70">
        <v>-2.884583729029222E-2</v>
      </c>
      <c r="M127" s="70">
        <v>-0.49981652282508215</v>
      </c>
      <c r="N127" s="70">
        <v>0</v>
      </c>
      <c r="O127" s="70">
        <v>2.8366890380313157</v>
      </c>
      <c r="P127" s="70">
        <v>0.21368166528051349</v>
      </c>
      <c r="Q127" s="70">
        <v>0.69748065795773895</v>
      </c>
      <c r="R127" s="70">
        <v>-0.5309690494640007</v>
      </c>
      <c r="S127" s="70">
        <v>-0.15800666105142519</v>
      </c>
      <c r="T127" s="70">
        <v>38.324443369444829</v>
      </c>
      <c r="U127" s="70"/>
      <c r="V127" s="70">
        <v>-84.599999999999937</v>
      </c>
      <c r="W127" s="70">
        <v>161.55000000000007</v>
      </c>
      <c r="AT127" s="70"/>
      <c r="AX127" s="68"/>
      <c r="BD127" s="58"/>
    </row>
    <row r="128" spans="1:56" x14ac:dyDescent="0.25">
      <c r="A128" s="68">
        <v>44026</v>
      </c>
      <c r="B128" s="70">
        <v>193.6</v>
      </c>
      <c r="C128" s="70">
        <v>195.02</v>
      </c>
      <c r="D128" s="70">
        <v>196.65</v>
      </c>
      <c r="E128" s="70">
        <v>192.48</v>
      </c>
      <c r="F128" s="70">
        <v>83.2</v>
      </c>
      <c r="G128" s="70">
        <v>-1.0699999999999999E-2</v>
      </c>
      <c r="H128" s="70">
        <v>196.65532051282051</v>
      </c>
      <c r="I128" s="70">
        <v>197.25099715099714</v>
      </c>
      <c r="J128" s="70">
        <v>-0.59567663817662719</v>
      </c>
      <c r="K128" s="70">
        <v>-1.4606199746755435</v>
      </c>
      <c r="L128" s="70">
        <v>0.8649433364989163</v>
      </c>
      <c r="M128" s="70">
        <v>-0.55670729017738219</v>
      </c>
      <c r="N128" s="70">
        <v>0</v>
      </c>
      <c r="O128" s="70">
        <v>0.72422062350119876</v>
      </c>
      <c r="P128" s="70">
        <v>0.21368166528051349</v>
      </c>
      <c r="Q128" s="70">
        <v>0.3265264270122108</v>
      </c>
      <c r="R128" s="70">
        <v>-0.20889128345480198</v>
      </c>
      <c r="S128" s="70">
        <v>-0.12283645701928748</v>
      </c>
      <c r="T128" s="70">
        <v>50.397225725094579</v>
      </c>
      <c r="U128" s="70"/>
      <c r="V128" s="70">
        <v>-84.599999999999937</v>
      </c>
      <c r="W128" s="70">
        <v>161.55000000000007</v>
      </c>
      <c r="AT128" s="70"/>
      <c r="AX128" s="68"/>
      <c r="BD128" s="58"/>
    </row>
    <row r="129" spans="1:56" x14ac:dyDescent="0.25">
      <c r="A129" s="68">
        <v>44025</v>
      </c>
      <c r="B129" s="70">
        <v>195.7</v>
      </c>
      <c r="C129" s="70">
        <v>201.6</v>
      </c>
      <c r="D129" s="70">
        <v>202.33</v>
      </c>
      <c r="E129" s="70">
        <v>195.5</v>
      </c>
      <c r="F129" s="70">
        <v>63.04</v>
      </c>
      <c r="G129" s="70">
        <v>-2.6100000000000002E-2</v>
      </c>
      <c r="H129" s="70">
        <v>196.88320512820511</v>
      </c>
      <c r="I129" s="70">
        <v>197.91937321937326</v>
      </c>
      <c r="J129" s="70">
        <v>-1.0361680911681503</v>
      </c>
      <c r="K129" s="70">
        <v>-1.74170845204181</v>
      </c>
      <c r="L129" s="70">
        <v>0.70554036087365968</v>
      </c>
      <c r="M129" s="70">
        <v>-0.81230946641204771</v>
      </c>
      <c r="N129" s="70">
        <v>0</v>
      </c>
      <c r="O129" s="70">
        <v>0.25183016105417216</v>
      </c>
      <c r="P129" s="70">
        <v>0.24124892560639458</v>
      </c>
      <c r="Q129" s="70">
        <v>0.21129126489332584</v>
      </c>
      <c r="R129" s="70">
        <v>6.6198895351124068E-2</v>
      </c>
      <c r="S129" s="70">
        <v>-8.3276534189522772E-2</v>
      </c>
      <c r="T129" s="70">
        <v>62.643605764385775</v>
      </c>
      <c r="U129" s="70"/>
      <c r="V129" s="70">
        <v>-84.599999999999937</v>
      </c>
      <c r="W129" s="70">
        <v>161.55000000000007</v>
      </c>
      <c r="AT129" s="70"/>
      <c r="AX129" s="68"/>
      <c r="BD129" s="58"/>
    </row>
    <row r="130" spans="1:56" x14ac:dyDescent="0.25">
      <c r="A130" s="68">
        <v>44022</v>
      </c>
      <c r="B130" s="70">
        <v>200.94</v>
      </c>
      <c r="C130" s="70">
        <v>198.22</v>
      </c>
      <c r="D130" s="70">
        <v>201.7</v>
      </c>
      <c r="E130" s="70">
        <v>197.22</v>
      </c>
      <c r="F130" s="70">
        <v>39.06</v>
      </c>
      <c r="G130" s="70">
        <v>7.4999999999999997E-3</v>
      </c>
      <c r="H130" s="70">
        <v>197.62801282051282</v>
      </c>
      <c r="I130" s="70">
        <v>198.53081196581201</v>
      </c>
      <c r="J130" s="70">
        <v>-0.90279914529918415</v>
      </c>
      <c r="K130" s="70">
        <v>-1.7978589743589852</v>
      </c>
      <c r="L130" s="70">
        <v>0.89505982905980108</v>
      </c>
      <c r="M130" s="70">
        <v>-1.0018220468989825</v>
      </c>
      <c r="N130" s="70">
        <v>0</v>
      </c>
      <c r="O130" s="70">
        <v>0.26339285714285926</v>
      </c>
      <c r="P130" s="70">
        <v>0.24124892560639458</v>
      </c>
      <c r="Q130" s="70">
        <v>0.22532089918113377</v>
      </c>
      <c r="R130" s="70">
        <v>3.4138569575334815E-2</v>
      </c>
      <c r="S130" s="70">
        <v>-0.11675546017338378</v>
      </c>
      <c r="T130" s="70">
        <v>62.69849775261774</v>
      </c>
      <c r="U130" s="70"/>
      <c r="V130" s="70">
        <v>-84.599999999999937</v>
      </c>
      <c r="W130" s="70">
        <v>161.55000000000007</v>
      </c>
      <c r="AT130" s="70"/>
      <c r="AX130" s="68"/>
      <c r="BD130" s="58"/>
    </row>
    <row r="131" spans="1:56" x14ac:dyDescent="0.25">
      <c r="A131" s="68">
        <v>44021</v>
      </c>
      <c r="B131" s="70">
        <v>199.44</v>
      </c>
      <c r="C131" s="70">
        <v>201.48</v>
      </c>
      <c r="D131" s="70">
        <v>202</v>
      </c>
      <c r="E131" s="70">
        <v>198.4</v>
      </c>
      <c r="F131" s="70">
        <v>40.53</v>
      </c>
      <c r="G131" s="70">
        <v>-8.6E-3</v>
      </c>
      <c r="H131" s="70">
        <v>196.92903846153845</v>
      </c>
      <c r="I131" s="70">
        <v>198.34064102564108</v>
      </c>
      <c r="J131" s="70">
        <v>-1.4116025641026226</v>
      </c>
      <c r="K131" s="70">
        <v>-1.9822812598923822</v>
      </c>
      <c r="L131" s="70">
        <v>0.5706786957897596</v>
      </c>
      <c r="M131" s="70">
        <v>-1.2317510757681795</v>
      </c>
      <c r="N131" s="70">
        <v>0.22500000000000098</v>
      </c>
      <c r="O131" s="70">
        <v>0</v>
      </c>
      <c r="P131" s="70">
        <v>0.28413022996978377</v>
      </c>
      <c r="Q131" s="70">
        <v>0.170326786151306</v>
      </c>
      <c r="R131" s="70">
        <v>0.25041629853098119</v>
      </c>
      <c r="S131" s="70">
        <v>-9.7920466599916822E-2</v>
      </c>
      <c r="T131" s="70">
        <v>62.627819287685767</v>
      </c>
      <c r="U131" s="70"/>
      <c r="V131" s="70">
        <v>-84.599999999999937</v>
      </c>
      <c r="W131" s="70">
        <v>161.55000000000007</v>
      </c>
      <c r="AT131" s="70"/>
      <c r="AX131" s="68"/>
      <c r="BD131" s="58"/>
    </row>
    <row r="132" spans="1:56" x14ac:dyDescent="0.25">
      <c r="A132" s="68">
        <v>44020</v>
      </c>
      <c r="B132" s="70">
        <v>201.17</v>
      </c>
      <c r="C132" s="70">
        <v>197.98</v>
      </c>
      <c r="D132" s="70">
        <v>201.19</v>
      </c>
      <c r="E132" s="70">
        <v>197.55</v>
      </c>
      <c r="F132" s="70">
        <v>30.74</v>
      </c>
      <c r="G132" s="70">
        <v>1.6199999999999999E-2</v>
      </c>
      <c r="H132" s="70">
        <v>196.93923076923076</v>
      </c>
      <c r="I132" s="70">
        <v>198.4869515669516</v>
      </c>
      <c r="J132" s="70">
        <v>-1.5477207977208423</v>
      </c>
      <c r="K132" s="70">
        <v>-1.9814067742956656</v>
      </c>
      <c r="L132" s="70">
        <v>0.43368597657482333</v>
      </c>
      <c r="M132" s="70">
        <v>-1.4006541296626827</v>
      </c>
      <c r="N132" s="70">
        <v>0.34340659340659468</v>
      </c>
      <c r="O132" s="70">
        <v>0</v>
      </c>
      <c r="P132" s="70">
        <v>0.28621029276413223</v>
      </c>
      <c r="Q132" s="70">
        <v>0.22988013602723678</v>
      </c>
      <c r="R132" s="70">
        <v>0.1091478423051071</v>
      </c>
      <c r="S132" s="70">
        <v>-0.15855577925995543</v>
      </c>
      <c r="T132" s="70">
        <v>75.123188635570926</v>
      </c>
      <c r="U132" s="70"/>
      <c r="V132" s="70">
        <v>-84.599999999999937</v>
      </c>
      <c r="W132" s="70">
        <v>161.55000000000007</v>
      </c>
      <c r="AT132" s="70"/>
      <c r="AX132" s="68"/>
      <c r="BD132" s="58"/>
    </row>
    <row r="133" spans="1:56" x14ac:dyDescent="0.25">
      <c r="A133" s="68">
        <v>44019</v>
      </c>
      <c r="B133" s="70">
        <v>197.96</v>
      </c>
      <c r="C133" s="70">
        <v>199.7</v>
      </c>
      <c r="D133" s="70">
        <v>199.94</v>
      </c>
      <c r="E133" s="70">
        <v>197.75</v>
      </c>
      <c r="F133" s="70">
        <v>35.19</v>
      </c>
      <c r="G133" s="70">
        <v>-1.0200000000000001E-2</v>
      </c>
      <c r="H133" s="70">
        <v>195.86929487179486</v>
      </c>
      <c r="I133" s="70">
        <v>198.09568376068378</v>
      </c>
      <c r="J133" s="70">
        <v>-2.2263888888889198</v>
      </c>
      <c r="K133" s="70">
        <v>-1.9917475466919874</v>
      </c>
      <c r="L133" s="70">
        <v>-0.23464134219693245</v>
      </c>
      <c r="M133" s="70">
        <v>-1.6063494289819098</v>
      </c>
      <c r="N133" s="70">
        <v>0</v>
      </c>
      <c r="O133" s="70">
        <v>0.3561643835616447</v>
      </c>
      <c r="P133" s="70">
        <v>0.21451001501989819</v>
      </c>
      <c r="Q133" s="70">
        <v>0.28076076225032887</v>
      </c>
      <c r="R133" s="70">
        <v>-0.1337667196832881</v>
      </c>
      <c r="S133" s="70">
        <v>-0.19577117581259157</v>
      </c>
      <c r="T133" s="70">
        <v>62.720274502050479</v>
      </c>
      <c r="U133" s="70"/>
      <c r="V133" s="70">
        <v>-84.599999999999937</v>
      </c>
      <c r="W133" s="70">
        <v>161.55000000000007</v>
      </c>
      <c r="AT133" s="70"/>
      <c r="AX133" s="68"/>
      <c r="BD133" s="58"/>
    </row>
    <row r="134" spans="1:56" x14ac:dyDescent="0.25">
      <c r="A134" s="68">
        <v>44018</v>
      </c>
      <c r="B134" s="70">
        <v>199.99</v>
      </c>
      <c r="C134" s="70">
        <v>199.21</v>
      </c>
      <c r="D134" s="70">
        <v>201.75</v>
      </c>
      <c r="E134" s="70">
        <v>198.53</v>
      </c>
      <c r="F134" s="70">
        <v>46.53</v>
      </c>
      <c r="G134" s="70">
        <v>1.41E-2</v>
      </c>
      <c r="H134" s="70">
        <v>196.03352564102562</v>
      </c>
      <c r="I134" s="70">
        <v>198.13102564102567</v>
      </c>
      <c r="J134" s="70">
        <v>-2.0975000000000534</v>
      </c>
      <c r="K134" s="70">
        <v>-1.7076956315289604</v>
      </c>
      <c r="L134" s="70">
        <v>-0.38980436847109301</v>
      </c>
      <c r="M134" s="70">
        <v>-1.6707804180624741</v>
      </c>
      <c r="N134" s="70">
        <v>0.93846153846153835</v>
      </c>
      <c r="O134" s="70">
        <v>0</v>
      </c>
      <c r="P134" s="70">
        <v>0.39065631769681297</v>
      </c>
      <c r="Q134" s="70">
        <v>0.20639677007811735</v>
      </c>
      <c r="R134" s="70">
        <v>0.30861501496522786</v>
      </c>
      <c r="S134" s="70">
        <v>-0.10690113419339257</v>
      </c>
      <c r="T134" s="70">
        <v>75.296523517382411</v>
      </c>
      <c r="U134" s="70"/>
      <c r="V134" s="70">
        <v>-84.599999999999937</v>
      </c>
      <c r="W134" s="70">
        <v>161.55000000000007</v>
      </c>
      <c r="AT134" s="70"/>
      <c r="AX134" s="68"/>
      <c r="BD134" s="58"/>
    </row>
    <row r="135" spans="1:56" x14ac:dyDescent="0.25">
      <c r="A135" s="68">
        <v>44015</v>
      </c>
      <c r="B135" s="70">
        <v>197.2</v>
      </c>
      <c r="C135" s="70">
        <v>195.64</v>
      </c>
      <c r="D135" s="70">
        <v>197.48</v>
      </c>
      <c r="E135" s="70">
        <v>194.77</v>
      </c>
      <c r="F135" s="70">
        <v>26.44</v>
      </c>
      <c r="G135" s="70">
        <v>9.7999999999999997E-3</v>
      </c>
      <c r="H135" s="70">
        <v>195.36455128205128</v>
      </c>
      <c r="I135" s="70">
        <v>197.8128917378917</v>
      </c>
      <c r="J135" s="70">
        <v>-2.4483404558404231</v>
      </c>
      <c r="K135" s="70">
        <v>-1.4015800886356109</v>
      </c>
      <c r="L135" s="70">
        <v>-1.0467603672048122</v>
      </c>
      <c r="M135" s="70">
        <v>-1.7908992065231304</v>
      </c>
      <c r="N135" s="70">
        <v>0.60516605166051618</v>
      </c>
      <c r="O135" s="70">
        <v>0</v>
      </c>
      <c r="P135" s="70">
        <v>0.28116609177173035</v>
      </c>
      <c r="Q135" s="70">
        <v>0.2595281047628501</v>
      </c>
      <c r="R135" s="70">
        <v>4.00189000502734E-2</v>
      </c>
      <c r="S135" s="70">
        <v>-0.18953369973205586</v>
      </c>
      <c r="T135" s="70">
        <v>62.744129663718404</v>
      </c>
      <c r="U135" s="70"/>
      <c r="V135" s="70">
        <v>-84.599999999999937</v>
      </c>
      <c r="W135" s="70">
        <v>161.55000000000007</v>
      </c>
      <c r="AT135" s="70"/>
      <c r="AX135" s="68"/>
      <c r="BD135" s="58"/>
    </row>
    <row r="136" spans="1:56" x14ac:dyDescent="0.25">
      <c r="A136" s="68">
        <v>44014</v>
      </c>
      <c r="B136" s="70">
        <v>195.28</v>
      </c>
      <c r="C136" s="70">
        <v>195.39</v>
      </c>
      <c r="D136" s="70">
        <v>195.84</v>
      </c>
      <c r="E136" s="70">
        <v>194.4</v>
      </c>
      <c r="F136" s="70">
        <v>34.18</v>
      </c>
      <c r="G136" s="70">
        <v>5.0000000000000001E-3</v>
      </c>
      <c r="H136" s="70">
        <v>194.85762820512821</v>
      </c>
      <c r="I136" s="70">
        <v>197.68313390313384</v>
      </c>
      <c r="J136" s="70">
        <v>-2.8255056980056281</v>
      </c>
      <c r="K136" s="70">
        <v>-1.0141071541626723</v>
      </c>
      <c r="L136" s="70">
        <v>-1.8113985438429558</v>
      </c>
      <c r="M136" s="70">
        <v>-1.8548712382900296</v>
      </c>
      <c r="N136" s="70">
        <v>0</v>
      </c>
      <c r="O136" s="70">
        <v>0</v>
      </c>
      <c r="P136" s="70">
        <v>0.15481274032612802</v>
      </c>
      <c r="Q136" s="70">
        <v>0.32977073342132052</v>
      </c>
      <c r="R136" s="70">
        <v>-0.36104820443458985</v>
      </c>
      <c r="S136" s="70">
        <v>-0.26310495726318828</v>
      </c>
      <c r="T136" s="70">
        <v>62.710885139819737</v>
      </c>
      <c r="U136" s="70"/>
      <c r="V136" s="70">
        <v>-84.599999999999937</v>
      </c>
      <c r="W136" s="70">
        <v>161.55000000000007</v>
      </c>
      <c r="AT136" s="70"/>
      <c r="AX136" s="68"/>
      <c r="BD136" s="58"/>
    </row>
    <row r="137" spans="1:56" x14ac:dyDescent="0.25">
      <c r="A137" s="68">
        <v>44012</v>
      </c>
      <c r="B137" s="70">
        <v>194.31</v>
      </c>
      <c r="C137" s="70">
        <v>197.9</v>
      </c>
      <c r="D137" s="70">
        <v>198.48</v>
      </c>
      <c r="E137" s="70">
        <v>193.24</v>
      </c>
      <c r="F137" s="70">
        <v>52.32</v>
      </c>
      <c r="G137" s="70">
        <v>-1.83E-2</v>
      </c>
      <c r="H137" s="70">
        <v>194.81134615384616</v>
      </c>
      <c r="I137" s="70">
        <v>197.57816239316236</v>
      </c>
      <c r="J137" s="70">
        <v>-2.7668162393161992</v>
      </c>
      <c r="K137" s="70">
        <v>-0.42818502690722404</v>
      </c>
      <c r="L137" s="70">
        <v>-2.3386312124089752</v>
      </c>
      <c r="M137" s="70">
        <v>-1.7919183772858933</v>
      </c>
      <c r="N137" s="70">
        <v>7.2519083969465048E-2</v>
      </c>
      <c r="O137" s="70">
        <v>0</v>
      </c>
      <c r="P137" s="70">
        <v>0.16517260946462303</v>
      </c>
      <c r="Q137" s="70">
        <v>0.34423727953343614</v>
      </c>
      <c r="R137" s="70">
        <v>-0.35151392608614107</v>
      </c>
      <c r="S137" s="70">
        <v>-0.21642811758687042</v>
      </c>
      <c r="T137" s="70">
        <v>50.248161291981695</v>
      </c>
      <c r="U137" s="70"/>
      <c r="V137" s="70">
        <v>-84.599999999999937</v>
      </c>
      <c r="W137" s="70">
        <v>161.55000000000007</v>
      </c>
      <c r="AT137" s="70"/>
      <c r="AX137" s="68"/>
      <c r="BD137" s="58"/>
    </row>
    <row r="138" spans="1:56" x14ac:dyDescent="0.25">
      <c r="A138" s="68">
        <v>44011</v>
      </c>
      <c r="B138" s="70">
        <v>197.94</v>
      </c>
      <c r="C138" s="70">
        <v>192.64</v>
      </c>
      <c r="D138" s="70">
        <v>198.1</v>
      </c>
      <c r="E138" s="70">
        <v>192.58</v>
      </c>
      <c r="F138" s="70">
        <v>45.84</v>
      </c>
      <c r="G138" s="70">
        <v>2.5600000000000001E-2</v>
      </c>
      <c r="H138" s="70">
        <v>195.89442307692312</v>
      </c>
      <c r="I138" s="70">
        <v>197.86236467236466</v>
      </c>
      <c r="J138" s="70">
        <v>-1.9679415954415447</v>
      </c>
      <c r="K138" s="70">
        <v>0.36467062361508951</v>
      </c>
      <c r="L138" s="70">
        <v>-2.3326122190566343</v>
      </c>
      <c r="M138" s="70">
        <v>-1.5740990019793391</v>
      </c>
      <c r="N138" s="70">
        <v>0.43659420289855155</v>
      </c>
      <c r="O138" s="70">
        <v>0</v>
      </c>
      <c r="P138" s="70">
        <v>0.21240186267628605</v>
      </c>
      <c r="Q138" s="70">
        <v>0.36461425355279437</v>
      </c>
      <c r="R138" s="70">
        <v>-0.26379226956648583</v>
      </c>
      <c r="S138" s="70">
        <v>-0.15881372414047179</v>
      </c>
      <c r="T138" s="70">
        <v>50.1981387163694</v>
      </c>
      <c r="U138" s="70"/>
      <c r="V138" s="70">
        <v>-84.599999999999937</v>
      </c>
      <c r="W138" s="70">
        <v>161.55000000000007</v>
      </c>
      <c r="AT138" s="70"/>
      <c r="AX138" s="68"/>
      <c r="BD138" s="58"/>
    </row>
    <row r="139" spans="1:56" x14ac:dyDescent="0.25">
      <c r="A139" s="68">
        <v>44008</v>
      </c>
      <c r="B139" s="70">
        <v>193</v>
      </c>
      <c r="C139" s="70">
        <v>192.83</v>
      </c>
      <c r="D139" s="70">
        <v>195.69</v>
      </c>
      <c r="E139" s="70">
        <v>190.51</v>
      </c>
      <c r="F139" s="70">
        <v>60.45</v>
      </c>
      <c r="G139" s="70">
        <v>3.8999999999999998E-3</v>
      </c>
      <c r="H139" s="70">
        <v>195.62096153846153</v>
      </c>
      <c r="I139" s="70">
        <v>197.4537037037037</v>
      </c>
      <c r="J139" s="70">
        <v>-1.8327421652421663</v>
      </c>
      <c r="K139" s="70">
        <v>0.97252342513454315</v>
      </c>
      <c r="L139" s="70">
        <v>-2.8052655903767096</v>
      </c>
      <c r="M139" s="70">
        <v>-1.4134047219004515</v>
      </c>
      <c r="N139" s="70">
        <v>0.61969111969112045</v>
      </c>
      <c r="O139" s="70">
        <v>0</v>
      </c>
      <c r="P139" s="70">
        <v>0.24077795548897363</v>
      </c>
      <c r="Q139" s="70">
        <v>0.36461425355279437</v>
      </c>
      <c r="R139" s="70">
        <v>-0.20455548686335481</v>
      </c>
      <c r="S139" s="70">
        <v>-8.6771352991893244E-2</v>
      </c>
      <c r="T139" s="70">
        <v>50.154920161476944</v>
      </c>
      <c r="U139" s="70"/>
      <c r="V139" s="70">
        <v>-84.599999999999937</v>
      </c>
      <c r="W139" s="70">
        <v>161.55000000000007</v>
      </c>
      <c r="AT139" s="70"/>
      <c r="AX139" s="68"/>
      <c r="BD139" s="58"/>
    </row>
    <row r="140" spans="1:56" x14ac:dyDescent="0.25">
      <c r="A140" s="68">
        <v>44007</v>
      </c>
      <c r="B140" s="70">
        <v>192.25</v>
      </c>
      <c r="C140" s="70">
        <v>191.72</v>
      </c>
      <c r="D140" s="70">
        <v>192.48</v>
      </c>
      <c r="E140" s="70">
        <v>190.55</v>
      </c>
      <c r="F140" s="70">
        <v>49.04</v>
      </c>
      <c r="G140" s="70">
        <v>-1.32E-2</v>
      </c>
      <c r="H140" s="70">
        <v>196.3453846153846</v>
      </c>
      <c r="I140" s="70">
        <v>197.44088319088317</v>
      </c>
      <c r="J140" s="70">
        <v>-1.0954985754985671</v>
      </c>
      <c r="K140" s="70">
        <v>1.7327337765115627</v>
      </c>
      <c r="L140" s="70">
        <v>-2.8282323520101298</v>
      </c>
      <c r="M140" s="70">
        <v>-1.1601388880192312</v>
      </c>
      <c r="N140" s="70">
        <v>0</v>
      </c>
      <c r="O140" s="70">
        <v>1.7875647668393924</v>
      </c>
      <c r="P140" s="70">
        <v>0.11139189753148696</v>
      </c>
      <c r="Q140" s="70">
        <v>0.61998064881556469</v>
      </c>
      <c r="R140" s="70">
        <v>-0.69538944799650948</v>
      </c>
      <c r="S140" s="70">
        <v>-0.10055805049055273</v>
      </c>
      <c r="T140" s="70">
        <v>37.719354590067056</v>
      </c>
      <c r="U140" s="70"/>
      <c r="V140" s="70">
        <v>-84.599999999999937</v>
      </c>
      <c r="W140" s="70">
        <v>161.55000000000007</v>
      </c>
      <c r="AT140" s="70"/>
      <c r="AX140" s="68"/>
      <c r="BD140" s="58"/>
    </row>
    <row r="141" spans="1:56" x14ac:dyDescent="0.25">
      <c r="A141" s="68">
        <v>44005</v>
      </c>
      <c r="B141" s="70">
        <v>194.83</v>
      </c>
      <c r="C141" s="70">
        <v>194.8</v>
      </c>
      <c r="D141" s="70">
        <v>196.32</v>
      </c>
      <c r="E141" s="70">
        <v>194</v>
      </c>
      <c r="F141" s="70">
        <v>33.83</v>
      </c>
      <c r="G141" s="70">
        <v>2.7000000000000001E-3</v>
      </c>
      <c r="H141" s="70">
        <v>197.50384615384615</v>
      </c>
      <c r="I141" s="70">
        <v>197.64089743589744</v>
      </c>
      <c r="J141" s="70">
        <v>-0.13705128205128858</v>
      </c>
      <c r="K141" s="70">
        <v>2.5292652738208319</v>
      </c>
      <c r="L141" s="70">
        <v>-2.6663165558721205</v>
      </c>
      <c r="M141" s="70">
        <v>-0.86085640538632213</v>
      </c>
      <c r="N141" s="70">
        <v>0.41810344827586282</v>
      </c>
      <c r="O141" s="70">
        <v>0</v>
      </c>
      <c r="P141" s="70">
        <v>0.17112096157089593</v>
      </c>
      <c r="Q141" s="70">
        <v>0.2593329530700233</v>
      </c>
      <c r="R141" s="70">
        <v>-0.204927841282877</v>
      </c>
      <c r="S141" s="70">
        <v>5.2908759884624748E-2</v>
      </c>
      <c r="T141" s="70">
        <v>37.610883029212275</v>
      </c>
      <c r="U141" s="70"/>
      <c r="V141" s="70">
        <v>-84.599999999999937</v>
      </c>
      <c r="W141" s="70">
        <v>161.55000000000007</v>
      </c>
      <c r="AT141" s="70"/>
      <c r="AX141" s="68"/>
      <c r="BD141" s="58"/>
    </row>
    <row r="142" spans="1:56" x14ac:dyDescent="0.25">
      <c r="A142" s="68">
        <v>44004</v>
      </c>
      <c r="B142" s="70">
        <v>194.3</v>
      </c>
      <c r="C142" s="70">
        <v>195.35</v>
      </c>
      <c r="D142" s="70">
        <v>195.35</v>
      </c>
      <c r="E142" s="70">
        <v>192.62</v>
      </c>
      <c r="F142" s="70">
        <v>36.799999999999997</v>
      </c>
      <c r="G142" s="70">
        <v>-7.7000000000000002E-3</v>
      </c>
      <c r="H142" s="70">
        <v>197.8898076923077</v>
      </c>
      <c r="I142" s="70">
        <v>197.21061253561251</v>
      </c>
      <c r="J142" s="70">
        <v>0.6791951566951866</v>
      </c>
      <c r="K142" s="70">
        <v>3.2585544476100119</v>
      </c>
      <c r="L142" s="70">
        <v>-2.5793592909148253</v>
      </c>
      <c r="M142" s="70">
        <v>-0.53028197127342369</v>
      </c>
      <c r="N142" s="70">
        <v>0</v>
      </c>
      <c r="O142" s="70">
        <v>0.43956043956043706</v>
      </c>
      <c r="P142" s="70">
        <v>0.14741153574396079</v>
      </c>
      <c r="Q142" s="70">
        <v>0.32212730157865715</v>
      </c>
      <c r="R142" s="70">
        <v>-0.37210077622322429</v>
      </c>
      <c r="S142" s="70">
        <v>9.7341063379750431E-2</v>
      </c>
      <c r="T142" s="70">
        <v>25.021520803443323</v>
      </c>
      <c r="U142" s="70"/>
      <c r="V142" s="70">
        <v>-84.599999999999937</v>
      </c>
      <c r="W142" s="70">
        <v>161.55000000000007</v>
      </c>
      <c r="AT142" s="70"/>
      <c r="AX142" s="68"/>
      <c r="BD142" s="58"/>
    </row>
    <row r="143" spans="1:56" x14ac:dyDescent="0.25">
      <c r="A143" s="68">
        <v>44001</v>
      </c>
      <c r="B143" s="70">
        <v>195.81</v>
      </c>
      <c r="C143" s="70">
        <v>194.17</v>
      </c>
      <c r="D143" s="70">
        <v>196.07</v>
      </c>
      <c r="E143" s="70">
        <v>193.82</v>
      </c>
      <c r="F143" s="70">
        <v>45.22</v>
      </c>
      <c r="G143" s="70">
        <v>1.46E-2</v>
      </c>
      <c r="H143" s="70">
        <v>199.08814102564105</v>
      </c>
      <c r="I143" s="70">
        <v>196.95245014245009</v>
      </c>
      <c r="J143" s="70">
        <v>2.1356908831909607</v>
      </c>
      <c r="K143" s="70">
        <v>4.0250622032288863</v>
      </c>
      <c r="L143" s="70">
        <v>-1.8893713200379256</v>
      </c>
      <c r="M143" s="70">
        <v>-0.13282802667417606</v>
      </c>
      <c r="N143" s="70">
        <v>0.162866449511401</v>
      </c>
      <c r="O143" s="70">
        <v>0</v>
      </c>
      <c r="P143" s="70">
        <v>0.17067817138844665</v>
      </c>
      <c r="Q143" s="70">
        <v>0.23035094606603843</v>
      </c>
      <c r="R143" s="70">
        <v>-0.14879910729764989</v>
      </c>
      <c r="S143" s="70">
        <v>0.20397397272393661</v>
      </c>
      <c r="T143" s="70">
        <v>24.854477162890575</v>
      </c>
      <c r="U143" s="70"/>
      <c r="V143" s="70">
        <v>-84.599999999999937</v>
      </c>
      <c r="W143" s="70">
        <v>161.55000000000007</v>
      </c>
      <c r="AT143" s="70"/>
      <c r="AX143" s="68"/>
      <c r="BD143" s="58"/>
    </row>
    <row r="144" spans="1:56" x14ac:dyDescent="0.25">
      <c r="A144" s="68">
        <v>44000</v>
      </c>
      <c r="B144" s="70">
        <v>193</v>
      </c>
      <c r="C144" s="70">
        <v>195.45</v>
      </c>
      <c r="D144" s="70">
        <v>195.57</v>
      </c>
      <c r="E144" s="70">
        <v>191.85</v>
      </c>
      <c r="F144" s="70">
        <v>45.81</v>
      </c>
      <c r="G144" s="70">
        <v>-1.46E-2</v>
      </c>
      <c r="H144" s="70">
        <v>199.09019230769229</v>
      </c>
      <c r="I144" s="70">
        <v>196.33084045584044</v>
      </c>
      <c r="J144" s="70">
        <v>2.7593518518518465</v>
      </c>
      <c r="K144" s="70">
        <v>4.453551915163021</v>
      </c>
      <c r="L144" s="70">
        <v>-1.6942000633111745</v>
      </c>
      <c r="M144" s="70">
        <v>0.11669882317744687</v>
      </c>
      <c r="N144" s="70">
        <v>0</v>
      </c>
      <c r="O144" s="70">
        <v>0.90322580645161687</v>
      </c>
      <c r="P144" s="70">
        <v>0.16790501449219708</v>
      </c>
      <c r="Q144" s="70">
        <v>0.35938320413055513</v>
      </c>
      <c r="R144" s="70">
        <v>-0.3631376216568778</v>
      </c>
      <c r="S144" s="70">
        <v>0.22508839996007612</v>
      </c>
      <c r="T144" s="70">
        <v>25.285126803493952</v>
      </c>
      <c r="U144" s="70"/>
      <c r="V144" s="70">
        <v>-84.599999999999937</v>
      </c>
      <c r="W144" s="70">
        <v>161.55000000000007</v>
      </c>
      <c r="AT144" s="70"/>
      <c r="AX144" s="68"/>
      <c r="BD144" s="58"/>
    </row>
    <row r="145" spans="1:56" x14ac:dyDescent="0.25">
      <c r="A145" s="68">
        <v>43999</v>
      </c>
      <c r="B145" s="70">
        <v>195.86</v>
      </c>
      <c r="C145" s="70">
        <v>197.98</v>
      </c>
      <c r="D145" s="70">
        <v>199.08</v>
      </c>
      <c r="E145" s="70">
        <v>195.21</v>
      </c>
      <c r="F145" s="70">
        <v>34.5</v>
      </c>
      <c r="G145" s="70">
        <v>-3.7000000000000002E-3</v>
      </c>
      <c r="H145" s="70">
        <v>199.93352564102562</v>
      </c>
      <c r="I145" s="70">
        <v>196.29945868945867</v>
      </c>
      <c r="J145" s="70">
        <v>3.6340669515669504</v>
      </c>
      <c r="K145" s="70">
        <v>4.8720504906616018</v>
      </c>
      <c r="L145" s="70">
        <v>-1.2379835390946514</v>
      </c>
      <c r="M145" s="70">
        <v>0.38139523218154903</v>
      </c>
      <c r="N145" s="70">
        <v>0</v>
      </c>
      <c r="O145" s="70">
        <v>0</v>
      </c>
      <c r="P145" s="70">
        <v>0.19691600350318608</v>
      </c>
      <c r="Q145" s="70">
        <v>0.17079759619010762</v>
      </c>
      <c r="R145" s="70">
        <v>7.1029212231648681E-2</v>
      </c>
      <c r="S145" s="70">
        <v>0.35107279007102909</v>
      </c>
      <c r="T145" s="70">
        <v>37.833085097062465</v>
      </c>
      <c r="U145" s="70"/>
      <c r="V145" s="70">
        <v>-84.599999999999937</v>
      </c>
      <c r="W145" s="70">
        <v>161.55000000000007</v>
      </c>
      <c r="AT145" s="70"/>
      <c r="AX145" s="68"/>
      <c r="BD145" s="58"/>
    </row>
    <row r="146" spans="1:56" x14ac:dyDescent="0.25">
      <c r="A146" s="68">
        <v>43998</v>
      </c>
      <c r="B146" s="70">
        <v>196.59</v>
      </c>
      <c r="C146" s="70">
        <v>196</v>
      </c>
      <c r="D146" s="70">
        <v>199.59</v>
      </c>
      <c r="E146" s="70">
        <v>195.2</v>
      </c>
      <c r="F146" s="70">
        <v>43.44</v>
      </c>
      <c r="G146" s="70">
        <v>1.23E-2</v>
      </c>
      <c r="H146" s="70">
        <v>200.33423076923077</v>
      </c>
      <c r="I146" s="70">
        <v>195.97888888888892</v>
      </c>
      <c r="J146" s="70">
        <v>4.3553418803418538</v>
      </c>
      <c r="K146" s="70">
        <v>5.2309999999999928</v>
      </c>
      <c r="L146" s="70">
        <v>-0.875658119658139</v>
      </c>
      <c r="M146" s="70">
        <v>0.58355551381191395</v>
      </c>
      <c r="N146" s="70">
        <v>0.63821892393320745</v>
      </c>
      <c r="O146" s="70">
        <v>0</v>
      </c>
      <c r="P146" s="70">
        <v>0.28809013549364426</v>
      </c>
      <c r="Q146" s="70">
        <v>0.17079759619010762</v>
      </c>
      <c r="R146" s="70">
        <v>0.25560181980277963</v>
      </c>
      <c r="S146" s="70">
        <v>0.40700884450753738</v>
      </c>
      <c r="T146" s="70">
        <v>37.700961622410418</v>
      </c>
      <c r="U146" s="70"/>
      <c r="V146" s="70">
        <v>-84.599999999999937</v>
      </c>
      <c r="W146" s="70">
        <v>161.55000000000007</v>
      </c>
      <c r="AT146" s="70"/>
      <c r="AX146" s="68"/>
      <c r="BD146" s="58"/>
    </row>
    <row r="147" spans="1:56" x14ac:dyDescent="0.25">
      <c r="A147" s="68">
        <v>43997</v>
      </c>
      <c r="B147" s="70">
        <v>194.2</v>
      </c>
      <c r="C147" s="70">
        <v>193.86</v>
      </c>
      <c r="D147" s="70">
        <v>196.15</v>
      </c>
      <c r="E147" s="70">
        <v>191</v>
      </c>
      <c r="F147" s="70">
        <v>54.4</v>
      </c>
      <c r="G147" s="70">
        <v>-1.29E-2</v>
      </c>
      <c r="H147" s="70">
        <v>199.98557692307693</v>
      </c>
      <c r="I147" s="70">
        <v>195.41937321937323</v>
      </c>
      <c r="J147" s="70">
        <v>4.5662037037037067</v>
      </c>
      <c r="K147" s="70">
        <v>5.3544050332383692</v>
      </c>
      <c r="L147" s="70">
        <v>-0.7882013295346626</v>
      </c>
      <c r="M147" s="70">
        <v>0.71567047577303522</v>
      </c>
      <c r="N147" s="70">
        <v>0</v>
      </c>
      <c r="O147" s="70">
        <v>0.8058252427184468</v>
      </c>
      <c r="P147" s="70">
        <v>0.15483563489220536</v>
      </c>
      <c r="Q147" s="70">
        <v>0.33106598967926948</v>
      </c>
      <c r="R147" s="70">
        <v>-0.36268731338876414</v>
      </c>
      <c r="S147" s="70">
        <v>0.30829932254263492</v>
      </c>
      <c r="T147" s="70">
        <v>38.141118920090406</v>
      </c>
      <c r="U147" s="70"/>
      <c r="V147" s="70">
        <v>-84.599999999999937</v>
      </c>
      <c r="W147" s="70">
        <v>161.55000000000007</v>
      </c>
      <c r="AT147" s="70"/>
      <c r="AX147" s="68"/>
      <c r="BD147" s="58"/>
    </row>
    <row r="148" spans="1:56" x14ac:dyDescent="0.25">
      <c r="A148" s="68">
        <v>43993</v>
      </c>
      <c r="B148" s="70">
        <v>196.74</v>
      </c>
      <c r="C148" s="70">
        <v>200.2</v>
      </c>
      <c r="D148" s="70">
        <v>200.2</v>
      </c>
      <c r="E148" s="70">
        <v>195.15</v>
      </c>
      <c r="F148" s="70">
        <v>48.98</v>
      </c>
      <c r="G148" s="70">
        <v>-2.4799999999999999E-2</v>
      </c>
      <c r="H148" s="70">
        <v>200.41371794871796</v>
      </c>
      <c r="I148" s="70">
        <v>195.35289173789175</v>
      </c>
      <c r="J148" s="70">
        <v>5.0608262108262068</v>
      </c>
      <c r="K148" s="70">
        <v>5.4211130104463461</v>
      </c>
      <c r="L148" s="70">
        <v>-0.36028679962013932</v>
      </c>
      <c r="M148" s="70">
        <v>0.90154248979889706</v>
      </c>
      <c r="N148" s="70">
        <v>0</v>
      </c>
      <c r="O148" s="70">
        <v>1.0653465346534681</v>
      </c>
      <c r="P148" s="70">
        <v>0.20703343709000754</v>
      </c>
      <c r="Q148" s="70">
        <v>0.31500912527096842</v>
      </c>
      <c r="R148" s="70">
        <v>-0.20683311278803185</v>
      </c>
      <c r="S148" s="70">
        <v>0.39168765918884557</v>
      </c>
      <c r="T148" s="70">
        <v>50.404875764149082</v>
      </c>
      <c r="U148" s="70"/>
      <c r="V148" s="70">
        <v>-84.599999999999937</v>
      </c>
      <c r="W148" s="70">
        <v>161.55000000000007</v>
      </c>
      <c r="AT148" s="70"/>
      <c r="AX148" s="68"/>
      <c r="BD148" s="58"/>
    </row>
    <row r="149" spans="1:56" x14ac:dyDescent="0.25">
      <c r="A149" s="68">
        <v>43992</v>
      </c>
      <c r="B149" s="70">
        <v>201.75</v>
      </c>
      <c r="C149" s="70">
        <v>204.84</v>
      </c>
      <c r="D149" s="70">
        <v>205.27</v>
      </c>
      <c r="E149" s="70">
        <v>200.53</v>
      </c>
      <c r="F149" s="70">
        <v>41.52</v>
      </c>
      <c r="G149" s="70">
        <v>-1.5100000000000001E-2</v>
      </c>
      <c r="H149" s="70">
        <v>201.19294871794875</v>
      </c>
      <c r="I149" s="70">
        <v>195.48397435897442</v>
      </c>
      <c r="J149" s="70">
        <v>5.7089743589743307</v>
      </c>
      <c r="K149" s="70">
        <v>5.4232503956948417</v>
      </c>
      <c r="L149" s="70">
        <v>0.28572396327948901</v>
      </c>
      <c r="M149" s="70">
        <v>1.09370814244318</v>
      </c>
      <c r="N149" s="70">
        <v>0</v>
      </c>
      <c r="O149" s="70">
        <v>0.21940928270041984</v>
      </c>
      <c r="P149" s="70">
        <v>0.24391530522187591</v>
      </c>
      <c r="Q149" s="70">
        <v>0.12391831776206252</v>
      </c>
      <c r="R149" s="70">
        <v>0.32622626090125834</v>
      </c>
      <c r="S149" s="70">
        <v>0.51371980919083016</v>
      </c>
      <c r="T149" s="70">
        <v>50.343448021173138</v>
      </c>
      <c r="U149" s="70"/>
      <c r="V149" s="70">
        <v>-84.599999999999937</v>
      </c>
      <c r="W149" s="70">
        <v>161.55000000000007</v>
      </c>
      <c r="AT149" s="70"/>
      <c r="AX149" s="68"/>
      <c r="BD149" s="58"/>
    </row>
    <row r="150" spans="1:56" x14ac:dyDescent="0.25">
      <c r="A150" s="68">
        <v>43991</v>
      </c>
      <c r="B150" s="70">
        <v>204.84</v>
      </c>
      <c r="C150" s="70">
        <v>205.44</v>
      </c>
      <c r="D150" s="70">
        <v>206.1</v>
      </c>
      <c r="E150" s="70">
        <v>201.57</v>
      </c>
      <c r="F150" s="70">
        <v>35.380000000000003</v>
      </c>
      <c r="G150" s="70">
        <v>-2.9999999999999997E-4</v>
      </c>
      <c r="H150" s="70">
        <v>201.37217948717949</v>
      </c>
      <c r="I150" s="70">
        <v>195.14128205128208</v>
      </c>
      <c r="J150" s="70">
        <v>6.2308974358974183</v>
      </c>
      <c r="K150" s="70">
        <v>5.2789759417537283</v>
      </c>
      <c r="L150" s="70">
        <v>0.95192149414368998</v>
      </c>
      <c r="M150" s="70">
        <v>1.2331969708038069</v>
      </c>
      <c r="N150" s="70">
        <v>0</v>
      </c>
      <c r="O150" s="70">
        <v>0.30905077262693276</v>
      </c>
      <c r="P150" s="70">
        <v>0.24391530522187591</v>
      </c>
      <c r="Q150" s="70">
        <v>0.12225769878230591</v>
      </c>
      <c r="R150" s="70">
        <v>0.33224078539165225</v>
      </c>
      <c r="S150" s="70">
        <v>0.5169630128832694</v>
      </c>
      <c r="T150" s="70">
        <v>62.71982253989772</v>
      </c>
      <c r="U150" s="70"/>
      <c r="V150" s="70">
        <v>-84.599999999999937</v>
      </c>
      <c r="W150" s="70">
        <v>161.55000000000007</v>
      </c>
      <c r="AT150" s="70"/>
      <c r="AX150" s="68"/>
      <c r="BD150" s="58"/>
    </row>
    <row r="151" spans="1:56" x14ac:dyDescent="0.25">
      <c r="A151" s="68">
        <v>43990</v>
      </c>
      <c r="B151" s="70">
        <v>204.91</v>
      </c>
      <c r="C151" s="70">
        <v>204.98</v>
      </c>
      <c r="D151" s="70">
        <v>206.5</v>
      </c>
      <c r="E151" s="70">
        <v>202.97</v>
      </c>
      <c r="F151" s="70">
        <v>40.15</v>
      </c>
      <c r="G151" s="70">
        <v>9.1999999999999998E-3</v>
      </c>
      <c r="H151" s="70">
        <v>200.64326923076925</v>
      </c>
      <c r="I151" s="70">
        <v>194.61797720797722</v>
      </c>
      <c r="J151" s="70">
        <v>6.0252920227920299</v>
      </c>
      <c r="K151" s="70">
        <v>4.8966253561253748</v>
      </c>
      <c r="L151" s="70">
        <v>1.1286666666666552</v>
      </c>
      <c r="M151" s="70">
        <v>1.2634386107719466</v>
      </c>
      <c r="N151" s="70">
        <v>0.47025495750708102</v>
      </c>
      <c r="O151" s="70">
        <v>0</v>
      </c>
      <c r="P151" s="70">
        <v>0.32778781529943296</v>
      </c>
      <c r="Q151" s="70">
        <v>5.7730614387671603E-2</v>
      </c>
      <c r="R151" s="70">
        <v>0.7005039969968383</v>
      </c>
      <c r="S151" s="70">
        <v>0.55729650946747267</v>
      </c>
      <c r="T151" s="70">
        <v>75.219825130656631</v>
      </c>
      <c r="U151" s="70"/>
      <c r="V151" s="70">
        <v>-84.599999999999937</v>
      </c>
      <c r="W151" s="70">
        <v>161.55000000000007</v>
      </c>
      <c r="AT151" s="70"/>
      <c r="AX151" s="68"/>
      <c r="BD151" s="58"/>
    </row>
    <row r="152" spans="1:56" x14ac:dyDescent="0.25">
      <c r="A152" s="68">
        <v>43987</v>
      </c>
      <c r="B152" s="70">
        <v>203.05</v>
      </c>
      <c r="C152" s="70">
        <v>202.69</v>
      </c>
      <c r="D152" s="70">
        <v>204.84</v>
      </c>
      <c r="E152" s="70">
        <v>201.51</v>
      </c>
      <c r="F152" s="70">
        <v>44.84</v>
      </c>
      <c r="G152" s="70">
        <v>7.9000000000000008E-3</v>
      </c>
      <c r="H152" s="70">
        <v>199.64000000000004</v>
      </c>
      <c r="I152" s="70">
        <v>194.08703703703705</v>
      </c>
      <c r="J152" s="70">
        <v>5.5529629629629937</v>
      </c>
      <c r="K152" s="70">
        <v>4.46726875593545</v>
      </c>
      <c r="L152" s="70">
        <v>1.0856942070275437</v>
      </c>
      <c r="M152" s="70">
        <v>1.2484760443734866</v>
      </c>
      <c r="N152" s="70">
        <v>0</v>
      </c>
      <c r="O152" s="70">
        <v>0</v>
      </c>
      <c r="P152" s="70">
        <v>0.27198889952479932</v>
      </c>
      <c r="Q152" s="70">
        <v>5.7730614387671603E-2</v>
      </c>
      <c r="R152" s="70">
        <v>0.64981985019547817</v>
      </c>
      <c r="S152" s="70">
        <v>0.518748559714305</v>
      </c>
      <c r="T152" s="70">
        <v>62.927950945324476</v>
      </c>
      <c r="U152" s="70"/>
      <c r="V152" s="70">
        <v>-84.599999999999937</v>
      </c>
      <c r="W152" s="70">
        <v>161.55000000000007</v>
      </c>
      <c r="AT152" s="70"/>
      <c r="AX152" s="68"/>
      <c r="BD152" s="58"/>
    </row>
    <row r="153" spans="1:56" x14ac:dyDescent="0.25">
      <c r="A153" s="68">
        <v>43986</v>
      </c>
      <c r="B153" s="70">
        <v>201.46</v>
      </c>
      <c r="C153" s="70">
        <v>207.99</v>
      </c>
      <c r="D153" s="70">
        <v>207.99</v>
      </c>
      <c r="E153" s="70">
        <v>200.6</v>
      </c>
      <c r="F153" s="70">
        <v>72.25</v>
      </c>
      <c r="G153" s="70">
        <v>-3.1399999999999997E-2</v>
      </c>
      <c r="H153" s="70">
        <v>198.95044871794875</v>
      </c>
      <c r="I153" s="70">
        <v>193.45109686609686</v>
      </c>
      <c r="J153" s="70">
        <v>5.499351851851884</v>
      </c>
      <c r="K153" s="70">
        <v>4.1392841088952466</v>
      </c>
      <c r="L153" s="70">
        <v>1.3600677429566375</v>
      </c>
      <c r="M153" s="70">
        <v>1.2625894757347833</v>
      </c>
      <c r="N153" s="70">
        <v>0</v>
      </c>
      <c r="O153" s="70">
        <v>0.19079837618403164</v>
      </c>
      <c r="P153" s="70">
        <v>0.30986591612521996</v>
      </c>
      <c r="Q153" s="70">
        <v>8.4987525271104689E-2</v>
      </c>
      <c r="R153" s="70">
        <v>0.56952369481414489</v>
      </c>
      <c r="S153" s="70">
        <v>0.47858989528382456</v>
      </c>
      <c r="T153" s="70">
        <v>50.469487973475964</v>
      </c>
      <c r="U153" s="70"/>
      <c r="V153" s="70">
        <v>-84.599999999999937</v>
      </c>
      <c r="W153" s="70">
        <v>161.55000000000007</v>
      </c>
      <c r="AT153" s="70"/>
      <c r="AX153" s="68"/>
      <c r="BD153" s="58"/>
    </row>
    <row r="154" spans="1:56" x14ac:dyDescent="0.25">
      <c r="A154" s="68">
        <v>43985</v>
      </c>
      <c r="B154" s="70">
        <v>208</v>
      </c>
      <c r="C154" s="70">
        <v>203.07</v>
      </c>
      <c r="D154" s="70">
        <v>208.15</v>
      </c>
      <c r="E154" s="70">
        <v>202.01</v>
      </c>
      <c r="F154" s="70">
        <v>65.27</v>
      </c>
      <c r="G154" s="70">
        <v>2.9899999999999999E-2</v>
      </c>
      <c r="H154" s="70">
        <v>199.44467948717949</v>
      </c>
      <c r="I154" s="70">
        <v>193.39529914529916</v>
      </c>
      <c r="J154" s="70">
        <v>6.0493803418803225</v>
      </c>
      <c r="K154" s="70">
        <v>3.8903920544476245</v>
      </c>
      <c r="L154" s="70">
        <v>2.158988287432698</v>
      </c>
      <c r="M154" s="70">
        <v>1.3279676347710552</v>
      </c>
      <c r="N154" s="70">
        <v>0.96440129449838208</v>
      </c>
      <c r="O154" s="70">
        <v>0</v>
      </c>
      <c r="P154" s="70">
        <v>0.48971337285690147</v>
      </c>
      <c r="Q154" s="70">
        <v>4.5150501672240939E-2</v>
      </c>
      <c r="R154" s="70">
        <v>0.83117012076394825</v>
      </c>
      <c r="S154" s="70">
        <v>0.49263611391828482</v>
      </c>
      <c r="T154" s="70">
        <v>62.981613404906433</v>
      </c>
      <c r="U154" s="70"/>
      <c r="V154" s="70">
        <v>-84.599999999999937</v>
      </c>
      <c r="W154" s="70">
        <v>161.55000000000007</v>
      </c>
      <c r="AT154" s="70"/>
      <c r="AX154" s="68"/>
      <c r="BD154" s="58"/>
    </row>
    <row r="155" spans="1:56" x14ac:dyDescent="0.25">
      <c r="A155" s="68">
        <v>43984</v>
      </c>
      <c r="B155" s="70">
        <v>201.97</v>
      </c>
      <c r="C155" s="70">
        <v>199.44</v>
      </c>
      <c r="D155" s="70">
        <v>202.19</v>
      </c>
      <c r="E155" s="70">
        <v>198.72</v>
      </c>
      <c r="F155" s="70">
        <v>45.34</v>
      </c>
      <c r="G155" s="70">
        <v>1.6400000000000001E-2</v>
      </c>
      <c r="H155" s="70">
        <v>197.42403846153846</v>
      </c>
      <c r="I155" s="70">
        <v>192.15482905982904</v>
      </c>
      <c r="J155" s="70">
        <v>5.2692094017094178</v>
      </c>
      <c r="K155" s="70">
        <v>3.3154911364356039</v>
      </c>
      <c r="L155" s="70">
        <v>1.9537182652738139</v>
      </c>
      <c r="M155" s="70">
        <v>1.1453475818262253</v>
      </c>
      <c r="N155" s="70">
        <v>0</v>
      </c>
      <c r="O155" s="70">
        <v>0</v>
      </c>
      <c r="P155" s="70">
        <v>0.33322372996879701</v>
      </c>
      <c r="Q155" s="70">
        <v>4.5150501672240939E-2</v>
      </c>
      <c r="R155" s="70">
        <v>0.7613447328248556</v>
      </c>
      <c r="S155" s="70">
        <v>0.43958724761886486</v>
      </c>
      <c r="T155" s="70">
        <v>50.369072543153337</v>
      </c>
      <c r="U155" s="70"/>
      <c r="V155" s="70">
        <v>-84.599999999999937</v>
      </c>
      <c r="W155" s="70">
        <v>161.55000000000007</v>
      </c>
      <c r="AT155" s="70"/>
      <c r="AX155" s="68"/>
      <c r="BD155" s="58"/>
    </row>
    <row r="156" spans="1:56" x14ac:dyDescent="0.25">
      <c r="A156" s="68">
        <v>43983</v>
      </c>
      <c r="B156" s="70">
        <v>198.72</v>
      </c>
      <c r="C156" s="70">
        <v>200.25</v>
      </c>
      <c r="D156" s="70">
        <v>202.47</v>
      </c>
      <c r="E156" s="70">
        <v>197.15</v>
      </c>
      <c r="F156" s="70">
        <v>54.26</v>
      </c>
      <c r="G156" s="70">
        <v>-6.1999999999999998E-3</v>
      </c>
      <c r="H156" s="70">
        <v>195.64634615384614</v>
      </c>
      <c r="I156" s="70">
        <v>191.44257834757832</v>
      </c>
      <c r="J156" s="70">
        <v>4.2037678062678197</v>
      </c>
      <c r="K156" s="70">
        <v>2.7315196264640917</v>
      </c>
      <c r="L156" s="70">
        <v>1.4722481798037279</v>
      </c>
      <c r="M156" s="70">
        <v>0.92639964657059948</v>
      </c>
      <c r="N156" s="70">
        <v>0.47368421052631832</v>
      </c>
      <c r="O156" s="70">
        <v>0</v>
      </c>
      <c r="P156" s="70">
        <v>0.40089290290112822</v>
      </c>
      <c r="Q156" s="70">
        <v>8.9245208227515596E-2</v>
      </c>
      <c r="R156" s="70">
        <v>0.63583648689545835</v>
      </c>
      <c r="S156" s="70">
        <v>0.34439108988091438</v>
      </c>
      <c r="T156" s="70">
        <v>37.766876779178531</v>
      </c>
      <c r="U156" s="70"/>
      <c r="V156" s="70">
        <v>-84.599999999999937</v>
      </c>
      <c r="W156" s="70">
        <v>161.55000000000007</v>
      </c>
      <c r="AT156" s="70"/>
      <c r="AX156" s="68"/>
      <c r="BD156" s="58"/>
    </row>
    <row r="157" spans="1:56" x14ac:dyDescent="0.25">
      <c r="A157" s="68">
        <v>43980</v>
      </c>
      <c r="B157" s="70">
        <v>199.95</v>
      </c>
      <c r="C157" s="70">
        <v>196.25</v>
      </c>
      <c r="D157" s="70">
        <v>199.95</v>
      </c>
      <c r="E157" s="70">
        <v>193.2</v>
      </c>
      <c r="F157" s="70">
        <v>172.68</v>
      </c>
      <c r="G157" s="70">
        <v>1.5699999999999999E-2</v>
      </c>
      <c r="H157" s="70">
        <v>194.79128205128205</v>
      </c>
      <c r="I157" s="70">
        <v>191.16474358974355</v>
      </c>
      <c r="J157" s="70">
        <v>3.6265384615385017</v>
      </c>
      <c r="K157" s="70">
        <v>2.294645457423262</v>
      </c>
      <c r="L157" s="70">
        <v>1.3318930041152397</v>
      </c>
      <c r="M157" s="70">
        <v>0.77204611975553716</v>
      </c>
      <c r="N157" s="70">
        <v>0.43999999999999984</v>
      </c>
      <c r="O157" s="70">
        <v>0</v>
      </c>
      <c r="P157" s="70">
        <v>0.36484894685717156</v>
      </c>
      <c r="Q157" s="70">
        <v>8.9245208227515596E-2</v>
      </c>
      <c r="R157" s="70">
        <v>0.6069308216007685</v>
      </c>
      <c r="S157" s="70">
        <v>0.29560667724521389</v>
      </c>
      <c r="T157" s="70">
        <v>50.331471325503571</v>
      </c>
      <c r="U157" s="70"/>
      <c r="V157" s="70">
        <v>-84.599999999999937</v>
      </c>
      <c r="W157" s="70">
        <v>161.55000000000007</v>
      </c>
      <c r="AT157" s="70"/>
      <c r="AX157" s="68"/>
      <c r="BD157" s="58"/>
    </row>
    <row r="158" spans="1:56" x14ac:dyDescent="0.25">
      <c r="A158" s="68">
        <v>43979</v>
      </c>
      <c r="B158" s="70">
        <v>196.86</v>
      </c>
      <c r="C158" s="70">
        <v>194.36</v>
      </c>
      <c r="D158" s="70">
        <v>196.98</v>
      </c>
      <c r="E158" s="70">
        <v>194.17</v>
      </c>
      <c r="F158" s="70">
        <v>39.979999999999997</v>
      </c>
      <c r="G158" s="70">
        <v>1.09E-2</v>
      </c>
      <c r="H158" s="70">
        <v>193.20532051282049</v>
      </c>
      <c r="I158" s="70">
        <v>190.29376068376064</v>
      </c>
      <c r="J158" s="70">
        <v>2.9115598290598541</v>
      </c>
      <c r="K158" s="70">
        <v>1.8684841722064107</v>
      </c>
      <c r="L158" s="70">
        <v>1.0430756568534434</v>
      </c>
      <c r="M158" s="70">
        <v>0.61108584229953022</v>
      </c>
      <c r="N158" s="70">
        <v>0</v>
      </c>
      <c r="O158" s="70">
        <v>0</v>
      </c>
      <c r="P158" s="70">
        <v>0.28221158421980902</v>
      </c>
      <c r="Q158" s="70">
        <v>8.9245208227515596E-2</v>
      </c>
      <c r="R158" s="70">
        <v>0.51948538811457468</v>
      </c>
      <c r="S158" s="70">
        <v>0.24815310467161328</v>
      </c>
      <c r="T158" s="70">
        <v>50.149103146172159</v>
      </c>
      <c r="U158" s="70"/>
      <c r="V158" s="70">
        <v>-84.599999999999937</v>
      </c>
      <c r="W158" s="70">
        <v>161.55000000000007</v>
      </c>
      <c r="AT158" s="70"/>
      <c r="AX158" s="68"/>
      <c r="BD158" s="58"/>
    </row>
    <row r="159" spans="1:56" x14ac:dyDescent="0.25">
      <c r="A159" s="68">
        <v>43978</v>
      </c>
      <c r="B159" s="70">
        <v>194.73</v>
      </c>
      <c r="C159" s="70">
        <v>196.05</v>
      </c>
      <c r="D159" s="70">
        <v>197.75</v>
      </c>
      <c r="E159" s="70">
        <v>193.15</v>
      </c>
      <c r="F159" s="70">
        <v>55.32</v>
      </c>
      <c r="G159" s="70">
        <v>-1.0800000000000001E-2</v>
      </c>
      <c r="H159" s="70">
        <v>192.12384615384616</v>
      </c>
      <c r="I159" s="70">
        <v>189.73178062678059</v>
      </c>
      <c r="J159" s="70">
        <v>2.3920655270655686</v>
      </c>
      <c r="K159" s="70">
        <v>1.4534697689142346</v>
      </c>
      <c r="L159" s="70">
        <v>0.938595758151334</v>
      </c>
      <c r="M159" s="70">
        <v>0.48620578914597345</v>
      </c>
      <c r="N159" s="70">
        <v>0</v>
      </c>
      <c r="O159" s="70">
        <v>0.68478260869565422</v>
      </c>
      <c r="P159" s="70">
        <v>0.28221158421980902</v>
      </c>
      <c r="Q159" s="70">
        <v>0.23177235683425201</v>
      </c>
      <c r="R159" s="70">
        <v>9.8133858583437331E-2</v>
      </c>
      <c r="S159" s="70">
        <v>0.13792743559399678</v>
      </c>
      <c r="T159" s="70">
        <v>50.009925272304649</v>
      </c>
      <c r="U159" s="70"/>
      <c r="V159" s="70">
        <v>-84.599999999999937</v>
      </c>
      <c r="W159" s="70">
        <v>161.55000000000007</v>
      </c>
      <c r="AT159" s="70"/>
      <c r="AX159" s="68"/>
      <c r="BD159" s="58"/>
    </row>
    <row r="160" spans="1:56" x14ac:dyDescent="0.25">
      <c r="A160" s="68">
        <v>43977</v>
      </c>
      <c r="B160" s="70">
        <v>196.86</v>
      </c>
      <c r="C160" s="70">
        <v>198.95</v>
      </c>
      <c r="D160" s="70">
        <v>202.3</v>
      </c>
      <c r="E160" s="70">
        <v>196.3</v>
      </c>
      <c r="F160" s="70">
        <v>66.180000000000007</v>
      </c>
      <c r="G160" s="70">
        <v>-3.5000000000000001E-3</v>
      </c>
      <c r="H160" s="70">
        <v>191.78942307692313</v>
      </c>
      <c r="I160" s="70">
        <v>189.53165242165241</v>
      </c>
      <c r="J160" s="70">
        <v>2.2577706552707184</v>
      </c>
      <c r="K160" s="70">
        <v>1.1540612535612753</v>
      </c>
      <c r="L160" s="70">
        <v>1.1037094017094431</v>
      </c>
      <c r="M160" s="70">
        <v>0.38914137524395115</v>
      </c>
      <c r="N160" s="70">
        <v>0.79166666666666663</v>
      </c>
      <c r="O160" s="70">
        <v>0</v>
      </c>
      <c r="P160" s="70">
        <v>0.3953068223150471</v>
      </c>
      <c r="Q160" s="70">
        <v>0.11008697699669796</v>
      </c>
      <c r="R160" s="70">
        <v>0.5643516911105102</v>
      </c>
      <c r="S160" s="70">
        <v>0.19085929690394171</v>
      </c>
      <c r="T160" s="70">
        <v>50.360783858549503</v>
      </c>
      <c r="U160" s="70"/>
      <c r="V160" s="70">
        <v>-84.599999999999937</v>
      </c>
      <c r="W160" s="70">
        <v>161.55000000000007</v>
      </c>
      <c r="AT160" s="70"/>
      <c r="AX160" s="68"/>
      <c r="BD160" s="58"/>
    </row>
    <row r="161" spans="1:56" x14ac:dyDescent="0.25">
      <c r="A161" s="68">
        <v>43976</v>
      </c>
      <c r="B161" s="70">
        <v>197.55</v>
      </c>
      <c r="C161" s="70">
        <v>195.1</v>
      </c>
      <c r="D161" s="70">
        <v>197.55</v>
      </c>
      <c r="E161" s="70">
        <v>195.1</v>
      </c>
      <c r="F161" s="70">
        <v>20.059999999999999</v>
      </c>
      <c r="G161" s="70">
        <v>1.6500000000000001E-2</v>
      </c>
      <c r="H161" s="70">
        <v>191.1192307692308</v>
      </c>
      <c r="I161" s="70">
        <v>189.1354700854701</v>
      </c>
      <c r="J161" s="70">
        <v>1.9837606837606927</v>
      </c>
      <c r="K161" s="70">
        <v>0.8292250712250735</v>
      </c>
      <c r="L161" s="70">
        <v>1.1545356125356192</v>
      </c>
      <c r="M161" s="70">
        <v>0.25277469918495787</v>
      </c>
      <c r="N161" s="70">
        <v>0.5593750000000034</v>
      </c>
      <c r="O161" s="70">
        <v>0</v>
      </c>
      <c r="P161" s="70">
        <v>0.32080361718684286</v>
      </c>
      <c r="Q161" s="70">
        <v>0.11008697699669796</v>
      </c>
      <c r="R161" s="70">
        <v>0.48902585258194037</v>
      </c>
      <c r="S161" s="70">
        <v>0.14832273338470214</v>
      </c>
      <c r="T161" s="70">
        <v>50.784867086302867</v>
      </c>
      <c r="U161" s="70"/>
      <c r="V161" s="70">
        <v>-84.599999999999937</v>
      </c>
      <c r="W161" s="70">
        <v>161.55000000000007</v>
      </c>
      <c r="AT161" s="70"/>
      <c r="AX161" s="68"/>
      <c r="BD161" s="58"/>
    </row>
    <row r="162" spans="1:56" x14ac:dyDescent="0.25">
      <c r="A162" s="68">
        <v>43973</v>
      </c>
      <c r="B162" s="70">
        <v>194.35</v>
      </c>
      <c r="C162" s="70">
        <v>194</v>
      </c>
      <c r="D162" s="70">
        <v>195.76</v>
      </c>
      <c r="E162" s="70">
        <v>192.21</v>
      </c>
      <c r="F162" s="70">
        <v>42.41</v>
      </c>
      <c r="G162" s="70">
        <v>-2E-3</v>
      </c>
      <c r="H162" s="70">
        <v>189.88653846153849</v>
      </c>
      <c r="I162" s="70">
        <v>188.42478632478634</v>
      </c>
      <c r="J162" s="70">
        <v>1.4617521367521533</v>
      </c>
      <c r="K162" s="70">
        <v>0.50387559354225953</v>
      </c>
      <c r="L162" s="70">
        <v>0.95787654320989379</v>
      </c>
      <c r="M162" s="70">
        <v>7.28343299625379E-2</v>
      </c>
      <c r="N162" s="70">
        <v>0</v>
      </c>
      <c r="O162" s="70">
        <v>0</v>
      </c>
      <c r="P162" s="70">
        <v>0.2352207632071332</v>
      </c>
      <c r="Q162" s="70">
        <v>0.11008697699669796</v>
      </c>
      <c r="R162" s="70">
        <v>0.36238338050739966</v>
      </c>
      <c r="S162" s="70">
        <v>0.10757635799510999</v>
      </c>
      <c r="T162" s="70">
        <v>38.27115953532001</v>
      </c>
      <c r="U162" s="70"/>
      <c r="V162" s="70">
        <v>-84.599999999999937</v>
      </c>
      <c r="W162" s="70">
        <v>161.55000000000007</v>
      </c>
      <c r="AT162" s="70"/>
      <c r="AX162" s="68"/>
      <c r="BD162" s="58"/>
    </row>
    <row r="163" spans="1:56" x14ac:dyDescent="0.25">
      <c r="A163" s="68">
        <v>43972</v>
      </c>
      <c r="B163" s="70">
        <v>194.74</v>
      </c>
      <c r="C163" s="70">
        <v>196.05</v>
      </c>
      <c r="D163" s="70">
        <v>199.26</v>
      </c>
      <c r="E163" s="70">
        <v>191.4</v>
      </c>
      <c r="F163" s="70">
        <v>90.17</v>
      </c>
      <c r="G163" s="70">
        <v>-1.0200000000000001E-2</v>
      </c>
      <c r="H163" s="70">
        <v>189.6398076923077</v>
      </c>
      <c r="I163" s="70">
        <v>188.30267806267807</v>
      </c>
      <c r="J163" s="70">
        <v>1.3371296296296293</v>
      </c>
      <c r="K163" s="70">
        <v>0.30949113643557352</v>
      </c>
      <c r="L163" s="70">
        <v>1.0276384931940559</v>
      </c>
      <c r="M163" s="70">
        <v>-9.4618251011414189E-2</v>
      </c>
      <c r="N163" s="70">
        <v>0.25318066157760616</v>
      </c>
      <c r="O163" s="70">
        <v>0</v>
      </c>
      <c r="P163" s="70">
        <v>0.27138942914679121</v>
      </c>
      <c r="Q163" s="70">
        <v>0.20221402802785907</v>
      </c>
      <c r="R163" s="70">
        <v>0.14606185844083144</v>
      </c>
      <c r="S163" s="70">
        <v>2.3568432838820354E-2</v>
      </c>
      <c r="T163" s="70">
        <v>50.7554523811094</v>
      </c>
      <c r="U163" s="70"/>
      <c r="V163" s="70">
        <v>-84.599999999999937</v>
      </c>
      <c r="W163" s="70">
        <v>161.55000000000007</v>
      </c>
      <c r="AT163" s="70"/>
      <c r="AX163" s="68"/>
      <c r="BD163" s="58"/>
    </row>
    <row r="164" spans="1:56" x14ac:dyDescent="0.25">
      <c r="A164" s="68">
        <v>43971</v>
      </c>
      <c r="B164" s="70">
        <v>196.74</v>
      </c>
      <c r="C164" s="70">
        <v>193.57</v>
      </c>
      <c r="D164" s="70">
        <v>197.27</v>
      </c>
      <c r="E164" s="70">
        <v>192.79</v>
      </c>
      <c r="F164" s="70">
        <v>73.86</v>
      </c>
      <c r="G164" s="70">
        <v>1.3100000000000001E-2</v>
      </c>
      <c r="H164" s="70">
        <v>189.31006410256407</v>
      </c>
      <c r="I164" s="70">
        <v>188.21329059829057</v>
      </c>
      <c r="J164" s="70">
        <v>1.0967735042735001</v>
      </c>
      <c r="K164" s="70">
        <v>0.10193209876541749</v>
      </c>
      <c r="L164" s="70">
        <v>0.99484140550808253</v>
      </c>
      <c r="M164" s="70">
        <v>-0.29803746490926164</v>
      </c>
      <c r="N164" s="70">
        <v>0.64285714285714557</v>
      </c>
      <c r="O164" s="70">
        <v>0</v>
      </c>
      <c r="P164" s="70">
        <v>0.32008403098647842</v>
      </c>
      <c r="Q164" s="70">
        <v>0.20221402802785907</v>
      </c>
      <c r="R164" s="70">
        <v>0.22567574381007557</v>
      </c>
      <c r="S164" s="70">
        <v>3.0673380888319168E-2</v>
      </c>
      <c r="T164" s="70">
        <v>51.072061370619345</v>
      </c>
      <c r="U164" s="70"/>
      <c r="V164" s="70">
        <v>-84.599999999999937</v>
      </c>
      <c r="W164" s="70">
        <v>161.55000000000007</v>
      </c>
      <c r="AT164" s="70"/>
      <c r="AX164" s="68"/>
      <c r="BD164" s="58"/>
    </row>
    <row r="165" spans="1:56" x14ac:dyDescent="0.25">
      <c r="A165" s="68">
        <v>43970</v>
      </c>
      <c r="B165" s="70">
        <v>194.2</v>
      </c>
      <c r="C165" s="70">
        <v>193</v>
      </c>
      <c r="D165" s="70">
        <v>194.39</v>
      </c>
      <c r="E165" s="70">
        <v>191.1</v>
      </c>
      <c r="F165" s="70">
        <v>60.4</v>
      </c>
      <c r="G165" s="70">
        <v>8.8000000000000005E-3</v>
      </c>
      <c r="H165" s="70">
        <v>188.44403846153841</v>
      </c>
      <c r="I165" s="70">
        <v>187.85633903133896</v>
      </c>
      <c r="J165" s="70">
        <v>0.58769943019945003</v>
      </c>
      <c r="K165" s="70">
        <v>-0.11757249129472661</v>
      </c>
      <c r="L165" s="70">
        <v>0.70527192149417661</v>
      </c>
      <c r="M165" s="70">
        <v>-0.54018710191359576</v>
      </c>
      <c r="N165" s="70">
        <v>0.57446808510638026</v>
      </c>
      <c r="O165" s="70">
        <v>0</v>
      </c>
      <c r="P165" s="70">
        <v>0.31279841452225227</v>
      </c>
      <c r="Q165" s="70">
        <v>0.20221402802785907</v>
      </c>
      <c r="R165" s="70">
        <v>0.21472177632608011</v>
      </c>
      <c r="S165" s="70">
        <v>2.1059514695367345E-2</v>
      </c>
      <c r="T165" s="70">
        <v>38.29293726019705</v>
      </c>
      <c r="U165" s="70"/>
      <c r="V165" s="70">
        <v>-84.599999999999937</v>
      </c>
      <c r="W165" s="70">
        <v>161.55000000000007</v>
      </c>
      <c r="AT165" s="70"/>
      <c r="AX165" s="68"/>
      <c r="BD165" s="58"/>
    </row>
    <row r="166" spans="1:56" x14ac:dyDescent="0.25">
      <c r="A166" s="68">
        <v>43969</v>
      </c>
      <c r="B166" s="70">
        <v>192.5</v>
      </c>
      <c r="C166" s="70">
        <v>185.5</v>
      </c>
      <c r="D166" s="70">
        <v>192.5</v>
      </c>
      <c r="E166" s="70">
        <v>185.14</v>
      </c>
      <c r="F166" s="70">
        <v>60.17</v>
      </c>
      <c r="G166" s="70">
        <v>4.7E-2</v>
      </c>
      <c r="H166" s="70">
        <v>188.15923076923073</v>
      </c>
      <c r="I166" s="70">
        <v>187.71830484330485</v>
      </c>
      <c r="J166" s="70">
        <v>0.44092592592588176</v>
      </c>
      <c r="K166" s="70">
        <v>-0.17971604938274482</v>
      </c>
      <c r="L166" s="70">
        <v>0.62064197530862653</v>
      </c>
      <c r="M166" s="70">
        <v>-0.78592863926197754</v>
      </c>
      <c r="N166" s="70">
        <v>0.63815028901734183</v>
      </c>
      <c r="O166" s="70">
        <v>0</v>
      </c>
      <c r="P166" s="70">
        <v>0.31341277458786865</v>
      </c>
      <c r="Q166" s="70">
        <v>0.20221402802785907</v>
      </c>
      <c r="R166" s="70">
        <v>0.21565742121221879</v>
      </c>
      <c r="S166" s="70">
        <v>2.3509586425832021E-3</v>
      </c>
      <c r="T166" s="70">
        <v>25.433382363806103</v>
      </c>
      <c r="U166" s="70"/>
      <c r="V166" s="70">
        <v>-84.599999999999937</v>
      </c>
      <c r="W166" s="70">
        <v>161.55000000000007</v>
      </c>
      <c r="AT166" s="70"/>
      <c r="AX166" s="68"/>
      <c r="BD166" s="58"/>
    </row>
    <row r="167" spans="1:56" x14ac:dyDescent="0.25">
      <c r="A167" s="68">
        <v>43966</v>
      </c>
      <c r="B167" s="70">
        <v>183.85</v>
      </c>
      <c r="C167" s="70">
        <v>185.61</v>
      </c>
      <c r="D167" s="70">
        <v>186.98</v>
      </c>
      <c r="E167" s="70">
        <v>183.85</v>
      </c>
      <c r="F167" s="70">
        <v>47.92</v>
      </c>
      <c r="G167" s="70">
        <v>-2.9999999999999997E-4</v>
      </c>
      <c r="H167" s="70">
        <v>186.54641025641027</v>
      </c>
      <c r="I167" s="70">
        <v>187.13490028490025</v>
      </c>
      <c r="J167" s="70">
        <v>-0.58849002848998566</v>
      </c>
      <c r="K167" s="70">
        <v>-0.42249256093701448</v>
      </c>
      <c r="L167" s="70">
        <v>-0.16599746755297118</v>
      </c>
      <c r="M167" s="70">
        <v>-1.125434304220625</v>
      </c>
      <c r="N167" s="70">
        <v>0.68051118210862571</v>
      </c>
      <c r="O167" s="70">
        <v>0</v>
      </c>
      <c r="P167" s="70">
        <v>0.28972147826211092</v>
      </c>
      <c r="Q167" s="70">
        <v>0.20221402802785907</v>
      </c>
      <c r="R167" s="70">
        <v>0.17788398909077899</v>
      </c>
      <c r="S167" s="70">
        <v>-3.0649759337687831E-2</v>
      </c>
      <c r="T167" s="70">
        <v>25.307965042351498</v>
      </c>
      <c r="U167" s="70"/>
      <c r="V167" s="70">
        <v>-84.599999999999937</v>
      </c>
      <c r="W167" s="70">
        <v>161.55000000000007</v>
      </c>
      <c r="AT167" s="70"/>
      <c r="AX167" s="68"/>
      <c r="BD167" s="58"/>
    </row>
    <row r="168" spans="1:56" x14ac:dyDescent="0.25">
      <c r="A168" s="68">
        <v>43965</v>
      </c>
      <c r="B168" s="70">
        <v>183.91</v>
      </c>
      <c r="C168" s="70">
        <v>183.23</v>
      </c>
      <c r="D168" s="70">
        <v>184.85</v>
      </c>
      <c r="E168" s="70">
        <v>181.68</v>
      </c>
      <c r="F168" s="70">
        <v>49.41</v>
      </c>
      <c r="G168" s="70">
        <v>-1.6000000000000001E-3</v>
      </c>
      <c r="H168" s="70">
        <v>186.72769230769231</v>
      </c>
      <c r="I168" s="70">
        <v>187.40180911680912</v>
      </c>
      <c r="J168" s="70">
        <v>-0.6741168091168106</v>
      </c>
      <c r="K168" s="70">
        <v>-0.35030990819882013</v>
      </c>
      <c r="L168" s="70">
        <v>-0.32380690091799047</v>
      </c>
      <c r="M168" s="70">
        <v>-1.3169702541839352</v>
      </c>
      <c r="N168" s="70">
        <v>0</v>
      </c>
      <c r="O168" s="70">
        <v>0.66876971608833213</v>
      </c>
      <c r="P168" s="70">
        <v>0.14763672595371649</v>
      </c>
      <c r="Q168" s="70">
        <v>0.3532759828420976</v>
      </c>
      <c r="R168" s="70">
        <v>-0.41052912668703195</v>
      </c>
      <c r="S168" s="70">
        <v>-0.16252100545624254</v>
      </c>
      <c r="T168" s="70">
        <v>25.27650481783607</v>
      </c>
      <c r="U168" s="70"/>
      <c r="V168" s="70">
        <v>-84.599999999999937</v>
      </c>
      <c r="W168" s="70">
        <v>161.55000000000007</v>
      </c>
      <c r="AT168" s="70"/>
      <c r="AX168" s="68"/>
      <c r="BD168" s="58"/>
    </row>
    <row r="169" spans="1:56" x14ac:dyDescent="0.25">
      <c r="A169" s="68">
        <v>43964</v>
      </c>
      <c r="B169" s="70">
        <v>184.2</v>
      </c>
      <c r="C169" s="70">
        <v>185.55</v>
      </c>
      <c r="D169" s="70">
        <v>185.55</v>
      </c>
      <c r="E169" s="70">
        <v>183.8</v>
      </c>
      <c r="F169" s="70">
        <v>33.28</v>
      </c>
      <c r="G169" s="70">
        <v>-1.06E-2</v>
      </c>
      <c r="H169" s="70">
        <v>186.89923076923077</v>
      </c>
      <c r="I169" s="70">
        <v>187.67934472934476</v>
      </c>
      <c r="J169" s="70">
        <v>-0.7801139601139937</v>
      </c>
      <c r="K169" s="70">
        <v>-0.21543653054766754</v>
      </c>
      <c r="L169" s="70">
        <v>-0.56467742956632616</v>
      </c>
      <c r="M169" s="70">
        <v>-1.4713862573008003</v>
      </c>
      <c r="N169" s="70">
        <v>0</v>
      </c>
      <c r="O169" s="70">
        <v>0</v>
      </c>
      <c r="P169" s="70">
        <v>0.19664395344505137</v>
      </c>
      <c r="Q169" s="70">
        <v>0.21364274541706124</v>
      </c>
      <c r="R169" s="70">
        <v>-4.1431496607504587E-2</v>
      </c>
      <c r="S169" s="70">
        <v>-7.4322598297081932E-2</v>
      </c>
      <c r="T169" s="70">
        <v>25.173491444211706</v>
      </c>
      <c r="U169" s="70"/>
      <c r="V169" s="70">
        <v>-84.599999999999937</v>
      </c>
      <c r="W169" s="70">
        <v>161.55000000000007</v>
      </c>
      <c r="AT169" s="70"/>
      <c r="AX169" s="68"/>
      <c r="BD169" s="58"/>
    </row>
    <row r="170" spans="1:56" x14ac:dyDescent="0.25">
      <c r="A170" s="68">
        <v>43963</v>
      </c>
      <c r="B170" s="70">
        <v>186.17</v>
      </c>
      <c r="C170" s="70">
        <v>184.89</v>
      </c>
      <c r="D170" s="70">
        <v>187.2</v>
      </c>
      <c r="E170" s="70">
        <v>183.2</v>
      </c>
      <c r="F170" s="70">
        <v>49.98</v>
      </c>
      <c r="G170" s="70">
        <v>4.4999999999999997E-3</v>
      </c>
      <c r="H170" s="70">
        <v>187.52173076923077</v>
      </c>
      <c r="I170" s="70">
        <v>188.02363247863252</v>
      </c>
      <c r="J170" s="70">
        <v>-0.50190170940174994</v>
      </c>
      <c r="K170" s="70">
        <v>-1.8334757834777018E-2</v>
      </c>
      <c r="L170" s="70">
        <v>-0.48356695156697294</v>
      </c>
      <c r="M170" s="70">
        <v>-1.5303135155443015</v>
      </c>
      <c r="N170" s="70">
        <v>0.14000000000000057</v>
      </c>
      <c r="O170" s="70">
        <v>0</v>
      </c>
      <c r="P170" s="70">
        <v>0.24912971585782126</v>
      </c>
      <c r="Q170" s="70">
        <v>0.21364274541706124</v>
      </c>
      <c r="R170" s="70">
        <v>7.6683410121245507E-2</v>
      </c>
      <c r="S170" s="70">
        <v>-6.1344482647375603E-2</v>
      </c>
      <c r="T170" s="70">
        <v>37.902099761964919</v>
      </c>
      <c r="U170" s="70"/>
      <c r="V170" s="70">
        <v>-84.599999999999937</v>
      </c>
      <c r="W170" s="70">
        <v>161.55000000000007</v>
      </c>
      <c r="AT170" s="70"/>
      <c r="AX170" s="68"/>
      <c r="BD170" s="58"/>
    </row>
    <row r="171" spans="1:56" x14ac:dyDescent="0.25">
      <c r="A171" s="68">
        <v>43959</v>
      </c>
      <c r="B171" s="70">
        <v>185.34</v>
      </c>
      <c r="C171" s="70">
        <v>186.33</v>
      </c>
      <c r="D171" s="70">
        <v>186.64</v>
      </c>
      <c r="E171" s="70">
        <v>183.1</v>
      </c>
      <c r="F171" s="70">
        <v>61</v>
      </c>
      <c r="G171" s="70">
        <v>-2.7000000000000001E-3</v>
      </c>
      <c r="H171" s="70">
        <v>187.54846153846154</v>
      </c>
      <c r="I171" s="70">
        <v>187.99313390313392</v>
      </c>
      <c r="J171" s="70">
        <v>-0.44467236467238536</v>
      </c>
      <c r="K171" s="70">
        <v>0.17989300411521247</v>
      </c>
      <c r="L171" s="70">
        <v>-0.62456536878759783</v>
      </c>
      <c r="M171" s="70">
        <v>-1.6080488748352133</v>
      </c>
      <c r="N171" s="70">
        <v>0</v>
      </c>
      <c r="O171" s="70">
        <v>0.67796610169491833</v>
      </c>
      <c r="P171" s="70">
        <v>0.21989894662705192</v>
      </c>
      <c r="Q171" s="70">
        <v>0.35828212096920342</v>
      </c>
      <c r="R171" s="70">
        <v>-0.23934227891181084</v>
      </c>
      <c r="S171" s="70">
        <v>-0.14998082836569157</v>
      </c>
      <c r="T171" s="70">
        <v>37.998154430362938</v>
      </c>
      <c r="U171" s="70"/>
      <c r="V171" s="70">
        <v>-84.599999999999937</v>
      </c>
      <c r="W171" s="70">
        <v>161.55000000000007</v>
      </c>
      <c r="AT171" s="70"/>
      <c r="AX171" s="68"/>
      <c r="BD171" s="58"/>
    </row>
    <row r="172" spans="1:56" x14ac:dyDescent="0.25">
      <c r="A172" s="68">
        <v>43958</v>
      </c>
      <c r="B172" s="70">
        <v>185.85</v>
      </c>
      <c r="C172" s="70">
        <v>187.5</v>
      </c>
      <c r="D172" s="70">
        <v>190.3</v>
      </c>
      <c r="E172" s="70">
        <v>185.5</v>
      </c>
      <c r="F172" s="70">
        <v>67.28</v>
      </c>
      <c r="G172" s="70">
        <v>-6.4000000000000003E-3</v>
      </c>
      <c r="H172" s="70">
        <v>187.38576923076923</v>
      </c>
      <c r="I172" s="70">
        <v>187.84287749287756</v>
      </c>
      <c r="J172" s="70">
        <v>-0.45710826210833488</v>
      </c>
      <c r="K172" s="70">
        <v>0.4341858182969045</v>
      </c>
      <c r="L172" s="70">
        <v>-0.89129408040523939</v>
      </c>
      <c r="M172" s="70">
        <v>-1.6184487301239625</v>
      </c>
      <c r="N172" s="70">
        <v>0</v>
      </c>
      <c r="O172" s="70">
        <v>0.32291666666666829</v>
      </c>
      <c r="P172" s="70">
        <v>0.21989894662705192</v>
      </c>
      <c r="Q172" s="70">
        <v>0.27381491010531667</v>
      </c>
      <c r="R172" s="70">
        <v>-0.10920488202438969</v>
      </c>
      <c r="S172" s="70">
        <v>-0.12092046188763719</v>
      </c>
      <c r="T172" s="70">
        <v>50.333718137547599</v>
      </c>
      <c r="U172" s="70"/>
      <c r="V172" s="70">
        <v>-84.599999999999937</v>
      </c>
      <c r="W172" s="70">
        <v>161.55000000000007</v>
      </c>
      <c r="AT172" s="70"/>
      <c r="AX172" s="68"/>
      <c r="BD172" s="58"/>
    </row>
    <row r="173" spans="1:56" x14ac:dyDescent="0.25">
      <c r="A173" s="68">
        <v>43957</v>
      </c>
      <c r="B173" s="70">
        <v>187.05</v>
      </c>
      <c r="C173" s="70">
        <v>190.53</v>
      </c>
      <c r="D173" s="70">
        <v>191.05</v>
      </c>
      <c r="E173" s="70">
        <v>187.05</v>
      </c>
      <c r="F173" s="70">
        <v>46.4</v>
      </c>
      <c r="G173" s="70">
        <v>-1.55E-2</v>
      </c>
      <c r="H173" s="70">
        <v>187.54641025641027</v>
      </c>
      <c r="I173" s="70">
        <v>187.77364672364678</v>
      </c>
      <c r="J173" s="70">
        <v>-0.22723646723650859</v>
      </c>
      <c r="K173" s="70">
        <v>0.84740550807216242</v>
      </c>
      <c r="L173" s="70">
        <v>-1.0746419753086709</v>
      </c>
      <c r="M173" s="70">
        <v>-1.5342257495590943</v>
      </c>
      <c r="N173" s="70">
        <v>0.16500000000000625</v>
      </c>
      <c r="O173" s="70">
        <v>0</v>
      </c>
      <c r="P173" s="70">
        <v>0.24347037519848139</v>
      </c>
      <c r="Q173" s="70">
        <v>0.20639274893315515</v>
      </c>
      <c r="R173" s="70">
        <v>8.2419794547278297E-2</v>
      </c>
      <c r="S173" s="70">
        <v>-8.5590408230086776E-2</v>
      </c>
      <c r="T173" s="70">
        <v>50.338393757630449</v>
      </c>
      <c r="U173" s="70"/>
      <c r="V173" s="70">
        <v>-84.599999999999937</v>
      </c>
      <c r="W173" s="70">
        <v>161.55000000000007</v>
      </c>
      <c r="AT173" s="70"/>
      <c r="AX173" s="68"/>
      <c r="BD173" s="58"/>
    </row>
    <row r="174" spans="1:56" x14ac:dyDescent="0.25">
      <c r="A174" s="68">
        <v>43956</v>
      </c>
      <c r="B174" s="70">
        <v>190</v>
      </c>
      <c r="C174" s="70">
        <v>188.39</v>
      </c>
      <c r="D174" s="70">
        <v>190.39</v>
      </c>
      <c r="E174" s="70">
        <v>187.3</v>
      </c>
      <c r="F174" s="70">
        <v>39.659999999999997</v>
      </c>
      <c r="G174" s="70">
        <v>2.3199999999999998E-2</v>
      </c>
      <c r="H174" s="70">
        <v>187.83314102564103</v>
      </c>
      <c r="I174" s="70">
        <v>187.61431623931625</v>
      </c>
      <c r="J174" s="70">
        <v>0.21882478632477387</v>
      </c>
      <c r="K174" s="70">
        <v>1.3672901234567854</v>
      </c>
      <c r="L174" s="70">
        <v>-1.1484653371320115</v>
      </c>
      <c r="M174" s="70">
        <v>-1.3623108648236901</v>
      </c>
      <c r="N174" s="70">
        <v>0.47334754797441364</v>
      </c>
      <c r="O174" s="70">
        <v>0</v>
      </c>
      <c r="P174" s="70">
        <v>0.2766409040299897</v>
      </c>
      <c r="Q174" s="70">
        <v>0.20639274893315515</v>
      </c>
      <c r="R174" s="70">
        <v>0.1454311820012972</v>
      </c>
      <c r="S174" s="70">
        <v>-6.9658340109680431E-2</v>
      </c>
      <c r="T174" s="70">
        <v>62.790959703075288</v>
      </c>
      <c r="U174" s="70"/>
      <c r="V174" s="70">
        <v>-84.599999999999937</v>
      </c>
      <c r="W174" s="70">
        <v>161.55000000000007</v>
      </c>
      <c r="AT174" s="70"/>
      <c r="AX174" s="68"/>
      <c r="BD174" s="58"/>
    </row>
    <row r="175" spans="1:56" x14ac:dyDescent="0.25">
      <c r="A175" s="68">
        <v>43955</v>
      </c>
      <c r="B175" s="70">
        <v>185.7</v>
      </c>
      <c r="C175" s="70">
        <v>188</v>
      </c>
      <c r="D175" s="70">
        <v>188.17</v>
      </c>
      <c r="E175" s="70">
        <v>184.52</v>
      </c>
      <c r="F175" s="70">
        <v>42.98</v>
      </c>
      <c r="G175" s="70">
        <v>-2.2599999999999999E-2</v>
      </c>
      <c r="H175" s="70">
        <v>186.76967948717947</v>
      </c>
      <c r="I175" s="70">
        <v>186.74380341880342</v>
      </c>
      <c r="J175" s="70">
        <v>2.5876068376049943E-2</v>
      </c>
      <c r="K175" s="70">
        <v>1.7588478949034467</v>
      </c>
      <c r="L175" s="70">
        <v>-1.7329718265273968</v>
      </c>
      <c r="M175" s="70">
        <v>-1.191755542336745</v>
      </c>
      <c r="N175" s="70">
        <v>0</v>
      </c>
      <c r="O175" s="70">
        <v>1.3972602739726099</v>
      </c>
      <c r="P175" s="70">
        <v>0.17781009731005717</v>
      </c>
      <c r="Q175" s="70">
        <v>0.46069233326678927</v>
      </c>
      <c r="R175" s="70">
        <v>-0.44304018655209498</v>
      </c>
      <c r="S175" s="70">
        <v>-0.1740426140600923</v>
      </c>
      <c r="T175" s="70">
        <v>62.750471084689082</v>
      </c>
      <c r="U175" s="70"/>
      <c r="V175" s="70">
        <v>-84.599999999999937</v>
      </c>
      <c r="W175" s="70">
        <v>161.55000000000007</v>
      </c>
      <c r="AT175" s="70"/>
      <c r="AX175" s="68"/>
      <c r="BD175" s="58"/>
    </row>
    <row r="176" spans="1:56" x14ac:dyDescent="0.25">
      <c r="A176" s="68">
        <v>43951</v>
      </c>
      <c r="B176" s="70">
        <v>190</v>
      </c>
      <c r="C176" s="70">
        <v>195.44</v>
      </c>
      <c r="D176" s="70">
        <v>196.2</v>
      </c>
      <c r="E176" s="70">
        <v>189.62</v>
      </c>
      <c r="F176" s="70">
        <v>72.12</v>
      </c>
      <c r="G176" s="70">
        <v>-0.02</v>
      </c>
      <c r="H176" s="70">
        <v>187.32897435897436</v>
      </c>
      <c r="I176" s="70">
        <v>186.91274928774931</v>
      </c>
      <c r="J176" s="70">
        <v>0.41622507122505681</v>
      </c>
      <c r="K176" s="70">
        <v>2.4027176321620791</v>
      </c>
      <c r="L176" s="70">
        <v>-1.9864925609370223</v>
      </c>
      <c r="M176" s="70">
        <v>-0.84063505282309148</v>
      </c>
      <c r="N176" s="70">
        <v>0.14741641337386036</v>
      </c>
      <c r="O176" s="70">
        <v>0</v>
      </c>
      <c r="P176" s="70">
        <v>0.19886958493489437</v>
      </c>
      <c r="Q176" s="70">
        <v>0.16895667166811251</v>
      </c>
      <c r="R176" s="70">
        <v>8.132348555820125E-2</v>
      </c>
      <c r="S176" s="70">
        <v>-5.6639642387125412E-2</v>
      </c>
      <c r="T176" s="70">
        <v>62.908246750655188</v>
      </c>
      <c r="U176" s="70"/>
      <c r="V176" s="70">
        <v>-84.599999999999937</v>
      </c>
      <c r="W176" s="70">
        <v>161.55000000000007</v>
      </c>
      <c r="AT176" s="70"/>
      <c r="AX176" s="68"/>
      <c r="BD176" s="58"/>
    </row>
    <row r="177" spans="1:56" x14ac:dyDescent="0.25">
      <c r="A177" s="68">
        <v>43950</v>
      </c>
      <c r="B177" s="70">
        <v>193.87</v>
      </c>
      <c r="C177" s="70">
        <v>189.9</v>
      </c>
      <c r="D177" s="70">
        <v>195.23</v>
      </c>
      <c r="E177" s="70">
        <v>188.53</v>
      </c>
      <c r="F177" s="70">
        <v>56.26</v>
      </c>
      <c r="G177" s="70">
        <v>2.8500000000000001E-2</v>
      </c>
      <c r="H177" s="70">
        <v>187.9321153846154</v>
      </c>
      <c r="I177" s="70">
        <v>186.85041310541308</v>
      </c>
      <c r="J177" s="70">
        <v>1.0817022792023181</v>
      </c>
      <c r="K177" s="70">
        <v>3.1320631528965053</v>
      </c>
      <c r="L177" s="70">
        <v>-2.0503608736941872</v>
      </c>
      <c r="M177" s="70">
        <v>-0.41296972543126054</v>
      </c>
      <c r="N177" s="70">
        <v>0.68053491827637314</v>
      </c>
      <c r="O177" s="70">
        <v>0</v>
      </c>
      <c r="P177" s="70">
        <v>0.26530960783038343</v>
      </c>
      <c r="Q177" s="70">
        <v>0.21549836526862948</v>
      </c>
      <c r="R177" s="70">
        <v>0.10359903609896318</v>
      </c>
      <c r="S177" s="70">
        <v>-6.4850094616030293E-2</v>
      </c>
      <c r="T177" s="70">
        <v>75.473183489115286</v>
      </c>
      <c r="U177" s="70"/>
      <c r="V177" s="70">
        <v>-84.599999999999937</v>
      </c>
      <c r="W177" s="70">
        <v>161.55000000000007</v>
      </c>
      <c r="AT177" s="70"/>
      <c r="AX177" s="68"/>
      <c r="BD177" s="58"/>
    </row>
    <row r="178" spans="1:56" x14ac:dyDescent="0.25">
      <c r="A178" s="68">
        <v>43949</v>
      </c>
      <c r="B178" s="70">
        <v>188.5</v>
      </c>
      <c r="C178" s="70">
        <v>185.93</v>
      </c>
      <c r="D178" s="70">
        <v>190.65</v>
      </c>
      <c r="E178" s="70">
        <v>185.76</v>
      </c>
      <c r="F178" s="70">
        <v>44.19</v>
      </c>
      <c r="G178" s="70">
        <v>1.1900000000000001E-2</v>
      </c>
      <c r="H178" s="70">
        <v>186.69698717948719</v>
      </c>
      <c r="I178" s="70">
        <v>185.88568376068372</v>
      </c>
      <c r="J178" s="70">
        <v>0.81130341880347601</v>
      </c>
      <c r="K178" s="70">
        <v>3.6497465970243987</v>
      </c>
      <c r="L178" s="70">
        <v>-2.8384431782209227</v>
      </c>
      <c r="M178" s="70">
        <v>-7.0387346113776617E-3</v>
      </c>
      <c r="N178" s="70">
        <v>0.44580777096114527</v>
      </c>
      <c r="O178" s="70">
        <v>0</v>
      </c>
      <c r="P178" s="70">
        <v>0.18690672404185377</v>
      </c>
      <c r="Q178" s="70">
        <v>0.21549836526862948</v>
      </c>
      <c r="R178" s="70">
        <v>-7.1051887727779928E-2</v>
      </c>
      <c r="S178" s="70">
        <v>-6.4526673568803261E-2</v>
      </c>
      <c r="T178" s="70">
        <v>75.321876887964024</v>
      </c>
      <c r="U178" s="70"/>
      <c r="V178" s="70">
        <v>-84.599999999999937</v>
      </c>
      <c r="W178" s="70">
        <v>161.55000000000007</v>
      </c>
      <c r="AT178" s="70"/>
      <c r="AX178" s="68"/>
      <c r="BD178" s="58"/>
    </row>
    <row r="179" spans="1:56" x14ac:dyDescent="0.25">
      <c r="A179" s="68">
        <v>43948</v>
      </c>
      <c r="B179" s="70">
        <v>186.29</v>
      </c>
      <c r="C179" s="70">
        <v>186.53</v>
      </c>
      <c r="D179" s="70">
        <v>188.47</v>
      </c>
      <c r="E179" s="70">
        <v>185.69</v>
      </c>
      <c r="F179" s="70">
        <v>23.62</v>
      </c>
      <c r="G179" s="70">
        <v>3.0999999999999999E-3</v>
      </c>
      <c r="H179" s="70">
        <v>186.60378205128205</v>
      </c>
      <c r="I179" s="70">
        <v>185.00438746438749</v>
      </c>
      <c r="J179" s="70">
        <v>1.5993945868945616</v>
      </c>
      <c r="K179" s="70">
        <v>4.4235364039252936</v>
      </c>
      <c r="L179" s="70">
        <v>-2.824141817030732</v>
      </c>
      <c r="M179" s="70">
        <v>0.63525886965202849</v>
      </c>
      <c r="N179" s="70">
        <v>0.18705035971223383</v>
      </c>
      <c r="O179" s="70">
        <v>0</v>
      </c>
      <c r="P179" s="70">
        <v>0.14276662076344684</v>
      </c>
      <c r="Q179" s="70">
        <v>0.21549836526862948</v>
      </c>
      <c r="R179" s="70">
        <v>-0.20301103189210565</v>
      </c>
      <c r="S179" s="70">
        <v>-3.8768886663923557E-2</v>
      </c>
      <c r="T179" s="70">
        <v>75.252103668798384</v>
      </c>
      <c r="U179" s="70"/>
      <c r="V179" s="70">
        <v>-84.599999999999937</v>
      </c>
      <c r="W179" s="70">
        <v>161.55000000000007</v>
      </c>
      <c r="AT179" s="70"/>
      <c r="AX179" s="68"/>
      <c r="BD179" s="58"/>
    </row>
    <row r="180" spans="1:56" x14ac:dyDescent="0.25">
      <c r="A180" s="68">
        <v>43945</v>
      </c>
      <c r="B180" s="70">
        <v>185.71</v>
      </c>
      <c r="C180" s="70">
        <v>187.95</v>
      </c>
      <c r="D180" s="70">
        <v>187.95</v>
      </c>
      <c r="E180" s="70">
        <v>185.1</v>
      </c>
      <c r="F180" s="70">
        <v>36.74</v>
      </c>
      <c r="G180" s="70">
        <v>-1.6E-2</v>
      </c>
      <c r="H180" s="70">
        <v>187.04833333333329</v>
      </c>
      <c r="I180" s="70">
        <v>184.60423076923075</v>
      </c>
      <c r="J180" s="70">
        <v>2.4441025641025362</v>
      </c>
      <c r="K180" s="70">
        <v>5.1731415004748396</v>
      </c>
      <c r="L180" s="70">
        <v>-2.7290389363723033</v>
      </c>
      <c r="M180" s="70">
        <v>1.3486467132108153</v>
      </c>
      <c r="N180" s="70">
        <v>0</v>
      </c>
      <c r="O180" s="70">
        <v>0.84210526315789846</v>
      </c>
      <c r="P180" s="70">
        <v>0.10371215005429914</v>
      </c>
      <c r="Q180" s="70">
        <v>0.35444935210472073</v>
      </c>
      <c r="R180" s="70">
        <v>-0.54726815952204366</v>
      </c>
      <c r="S180" s="70">
        <v>-7.3974217414877919E-2</v>
      </c>
      <c r="T180" s="70">
        <v>62.797783560055549</v>
      </c>
      <c r="U180" s="70"/>
      <c r="V180" s="70">
        <v>-84.599999999999937</v>
      </c>
      <c r="W180" s="70">
        <v>161.55000000000007</v>
      </c>
      <c r="AT180" s="70"/>
      <c r="AX180" s="68"/>
      <c r="BD180" s="58"/>
    </row>
    <row r="181" spans="1:56" x14ac:dyDescent="0.25">
      <c r="A181" s="68">
        <v>43944</v>
      </c>
      <c r="B181" s="70">
        <v>188.73</v>
      </c>
      <c r="C181" s="70">
        <v>189.98</v>
      </c>
      <c r="D181" s="70">
        <v>191.59</v>
      </c>
      <c r="E181" s="70">
        <v>187.5</v>
      </c>
      <c r="F181" s="70">
        <v>39.979999999999997</v>
      </c>
      <c r="G181" s="70">
        <v>2E-3</v>
      </c>
      <c r="H181" s="70">
        <v>188.1052564102564</v>
      </c>
      <c r="I181" s="70">
        <v>184.4308547008547</v>
      </c>
      <c r="J181" s="70">
        <v>3.6744017094017067</v>
      </c>
      <c r="K181" s="70">
        <v>5.8182985121874173</v>
      </c>
      <c r="L181" s="70">
        <v>-2.1438968027857106</v>
      </c>
      <c r="M181" s="70">
        <v>2.1433409167597248</v>
      </c>
      <c r="N181" s="70">
        <v>0.74327628361857934</v>
      </c>
      <c r="O181" s="70">
        <v>0</v>
      </c>
      <c r="P181" s="70">
        <v>0.23080039963047252</v>
      </c>
      <c r="Q181" s="70">
        <v>0.17862517628054414</v>
      </c>
      <c r="R181" s="70">
        <v>0.12743518338792784</v>
      </c>
      <c r="S181" s="70">
        <v>7.9294153518836119E-2</v>
      </c>
      <c r="T181" s="70">
        <v>75.389485569878886</v>
      </c>
      <c r="U181" s="70"/>
      <c r="V181" s="70">
        <v>-84.599999999999937</v>
      </c>
      <c r="W181" s="70">
        <v>161.55000000000007</v>
      </c>
      <c r="AT181" s="70"/>
      <c r="AX181" s="68"/>
      <c r="BD181" s="58"/>
    </row>
    <row r="182" spans="1:56" x14ac:dyDescent="0.25">
      <c r="A182" s="68">
        <v>43943</v>
      </c>
      <c r="B182" s="70">
        <v>188.36</v>
      </c>
      <c r="C182" s="70">
        <v>181.08</v>
      </c>
      <c r="D182" s="70">
        <v>188.55</v>
      </c>
      <c r="E182" s="70">
        <v>180.33</v>
      </c>
      <c r="F182" s="70">
        <v>48.27</v>
      </c>
      <c r="G182" s="70">
        <v>3.5400000000000001E-2</v>
      </c>
      <c r="H182" s="70">
        <v>188.22391025641025</v>
      </c>
      <c r="I182" s="70">
        <v>183.60608262108263</v>
      </c>
      <c r="J182" s="70">
        <v>4.6178276353276146</v>
      </c>
      <c r="K182" s="70">
        <v>6.25197451725231</v>
      </c>
      <c r="L182" s="70">
        <v>-1.6341468819246954</v>
      </c>
      <c r="M182" s="70">
        <v>2.948262476997523</v>
      </c>
      <c r="N182" s="70">
        <v>0.49270072992700875</v>
      </c>
      <c r="O182" s="70">
        <v>0</v>
      </c>
      <c r="P182" s="70">
        <v>0.14599666446891324</v>
      </c>
      <c r="Q182" s="70">
        <v>0.17862517628054414</v>
      </c>
      <c r="R182" s="70">
        <v>-0.10051237383258366</v>
      </c>
      <c r="S182" s="70">
        <v>5.5702800145191737E-2</v>
      </c>
      <c r="T182" s="70">
        <v>62.732651963421191</v>
      </c>
      <c r="U182" s="70"/>
      <c r="V182" s="70">
        <v>-84.599999999999937</v>
      </c>
      <c r="W182" s="70">
        <v>161.55000000000007</v>
      </c>
      <c r="AT182" s="70"/>
      <c r="AX182" s="68"/>
      <c r="BD182" s="58"/>
    </row>
    <row r="183" spans="1:56" x14ac:dyDescent="0.25">
      <c r="A183" s="68">
        <v>43942</v>
      </c>
      <c r="B183" s="70">
        <v>181.92</v>
      </c>
      <c r="C183" s="70">
        <v>183.15</v>
      </c>
      <c r="D183" s="70">
        <v>184.5</v>
      </c>
      <c r="E183" s="70">
        <v>179.05</v>
      </c>
      <c r="F183" s="70">
        <v>66.95</v>
      </c>
      <c r="G183" s="70">
        <v>-1.9400000000000001E-2</v>
      </c>
      <c r="H183" s="70">
        <v>187.42634615384614</v>
      </c>
      <c r="I183" s="70">
        <v>182.36836182336179</v>
      </c>
      <c r="J183" s="70">
        <v>5.057984330484345</v>
      </c>
      <c r="K183" s="70">
        <v>6.4150409939854622</v>
      </c>
      <c r="L183" s="70">
        <v>-1.3570566635011172</v>
      </c>
      <c r="M183" s="70">
        <v>3.7068356796732966</v>
      </c>
      <c r="N183" s="70">
        <v>0</v>
      </c>
      <c r="O183" s="70">
        <v>0.72477064220183429</v>
      </c>
      <c r="P183" s="70">
        <v>7.4348472652110656E-2</v>
      </c>
      <c r="Q183" s="70">
        <v>0.28216383945223478</v>
      </c>
      <c r="R183" s="70">
        <v>-0.58291217370159132</v>
      </c>
      <c r="S183" s="70">
        <v>1.353755868053419E-2</v>
      </c>
      <c r="T183" s="70">
        <v>49.944997451101393</v>
      </c>
      <c r="U183" s="70"/>
      <c r="V183" s="70">
        <v>-84.599999999999937</v>
      </c>
      <c r="W183" s="70">
        <v>161.55000000000007</v>
      </c>
      <c r="AT183" s="70"/>
      <c r="AX183" s="68"/>
      <c r="BD183" s="58"/>
    </row>
    <row r="184" spans="1:56" x14ac:dyDescent="0.25">
      <c r="A184" s="68">
        <v>43941</v>
      </c>
      <c r="B184" s="70">
        <v>185.51</v>
      </c>
      <c r="C184" s="70">
        <v>184.12</v>
      </c>
      <c r="D184" s="70">
        <v>186.25</v>
      </c>
      <c r="E184" s="70">
        <v>183</v>
      </c>
      <c r="F184" s="70">
        <v>34.29</v>
      </c>
      <c r="G184" s="70">
        <v>4.4999999999999997E-3</v>
      </c>
      <c r="H184" s="70">
        <v>188.53217948717952</v>
      </c>
      <c r="I184" s="70">
        <v>182.14105413105412</v>
      </c>
      <c r="J184" s="70">
        <v>6.3911253561254</v>
      </c>
      <c r="K184" s="70">
        <v>6.5955096549541308</v>
      </c>
      <c r="L184" s="70">
        <v>-0.20438429882873077</v>
      </c>
      <c r="M184" s="70">
        <v>4.539907530898998</v>
      </c>
      <c r="N184" s="70">
        <v>0</v>
      </c>
      <c r="O184" s="70">
        <v>0.16615384615384371</v>
      </c>
      <c r="P184" s="70">
        <v>0.13152670689271917</v>
      </c>
      <c r="Q184" s="70">
        <v>0.15457436470679647</v>
      </c>
      <c r="R184" s="70">
        <v>-8.0557747250731809E-2</v>
      </c>
      <c r="S184" s="70">
        <v>0.14797213284657865</v>
      </c>
      <c r="T184" s="70">
        <v>49.548170723592278</v>
      </c>
      <c r="U184" s="70"/>
      <c r="V184" s="70">
        <v>-84.599999999999937</v>
      </c>
      <c r="W184" s="70">
        <v>161.55000000000007</v>
      </c>
      <c r="AT184" s="70"/>
      <c r="AX184" s="68"/>
      <c r="BD184" s="58"/>
    </row>
    <row r="185" spans="1:56" x14ac:dyDescent="0.25">
      <c r="A185" s="68">
        <v>43938</v>
      </c>
      <c r="B185" s="70">
        <v>184.68</v>
      </c>
      <c r="C185" s="70">
        <v>187.06</v>
      </c>
      <c r="D185" s="70">
        <v>187.87</v>
      </c>
      <c r="E185" s="70">
        <v>183.54</v>
      </c>
      <c r="F185" s="70">
        <v>38.78</v>
      </c>
      <c r="G185" s="70">
        <v>2.0999999999999999E-3</v>
      </c>
      <c r="H185" s="70">
        <v>188.51237179487183</v>
      </c>
      <c r="I185" s="70">
        <v>181.38833333333332</v>
      </c>
      <c r="J185" s="70">
        <v>7.124038461538504</v>
      </c>
      <c r="K185" s="70">
        <v>6.3406968977524798</v>
      </c>
      <c r="L185" s="70">
        <v>0.78334156378602415</v>
      </c>
      <c r="M185" s="70">
        <v>5.2103515718216693</v>
      </c>
      <c r="N185" s="70">
        <v>0</v>
      </c>
      <c r="O185" s="70">
        <v>0</v>
      </c>
      <c r="P185" s="70">
        <v>0.13152670689271917</v>
      </c>
      <c r="Q185" s="70">
        <v>0.12854949346384473</v>
      </c>
      <c r="R185" s="70">
        <v>1.1447465876511152E-2</v>
      </c>
      <c r="S185" s="70">
        <v>0.16718283587686253</v>
      </c>
      <c r="T185" s="70">
        <v>49.835249904061193</v>
      </c>
      <c r="U185" s="70"/>
      <c r="V185" s="70">
        <v>-84.599999999999937</v>
      </c>
      <c r="W185" s="70">
        <v>161.55000000000007</v>
      </c>
      <c r="AT185" s="70"/>
      <c r="AX185" s="68"/>
      <c r="BD185" s="58"/>
    </row>
    <row r="186" spans="1:56" x14ac:dyDescent="0.25">
      <c r="A186" s="68">
        <v>43937</v>
      </c>
      <c r="B186" s="70">
        <v>184.3</v>
      </c>
      <c r="C186" s="70">
        <v>185.15</v>
      </c>
      <c r="D186" s="70">
        <v>189.16</v>
      </c>
      <c r="E186" s="70">
        <v>182.75</v>
      </c>
      <c r="F186" s="70">
        <v>56.39</v>
      </c>
      <c r="G186" s="70">
        <v>2.9999999999999997E-4</v>
      </c>
      <c r="H186" s="70">
        <v>188.12814102564104</v>
      </c>
      <c r="I186" s="70">
        <v>180.61410256410252</v>
      </c>
      <c r="J186" s="70">
        <v>7.5140384615385187</v>
      </c>
      <c r="K186" s="70">
        <v>5.8213540677429805</v>
      </c>
      <c r="L186" s="70">
        <v>1.6926843937955383</v>
      </c>
      <c r="M186" s="70">
        <v>5.7625406078568577</v>
      </c>
      <c r="N186" s="70">
        <v>0</v>
      </c>
      <c r="O186" s="70">
        <v>0</v>
      </c>
      <c r="P186" s="70">
        <v>0.1878922925265975</v>
      </c>
      <c r="Q186" s="70">
        <v>0.12854949346384473</v>
      </c>
      <c r="R186" s="70">
        <v>0.18753148822306659</v>
      </c>
      <c r="S186" s="70">
        <v>0.21156306733540078</v>
      </c>
      <c r="T186" s="70">
        <v>50.051386107304729</v>
      </c>
      <c r="U186" s="70"/>
      <c r="V186" s="70">
        <v>-84.599999999999937</v>
      </c>
      <c r="W186" s="70">
        <v>161.55000000000007</v>
      </c>
      <c r="AT186" s="70"/>
      <c r="AX186" s="68"/>
      <c r="BD186" s="58"/>
    </row>
    <row r="187" spans="1:56" x14ac:dyDescent="0.25">
      <c r="A187" s="68">
        <v>43936</v>
      </c>
      <c r="B187" s="70">
        <v>184.25</v>
      </c>
      <c r="C187" s="70">
        <v>189.15</v>
      </c>
      <c r="D187" s="70">
        <v>189.48</v>
      </c>
      <c r="E187" s="70">
        <v>182.56</v>
      </c>
      <c r="F187" s="70">
        <v>53.71</v>
      </c>
      <c r="G187" s="70">
        <v>-3.0800000000000001E-2</v>
      </c>
      <c r="H187" s="70">
        <v>187.91666666666666</v>
      </c>
      <c r="I187" s="70">
        <v>180.17343304843305</v>
      </c>
      <c r="J187" s="70">
        <v>7.743233618233603</v>
      </c>
      <c r="K187" s="70">
        <v>5.0385125039569534</v>
      </c>
      <c r="L187" s="70">
        <v>2.7047211142766496</v>
      </c>
      <c r="M187" s="70">
        <v>6.1754602061439652</v>
      </c>
      <c r="N187" s="70">
        <v>0</v>
      </c>
      <c r="O187" s="70">
        <v>0.82947976878612995</v>
      </c>
      <c r="P187" s="70">
        <v>0.1878922925265975</v>
      </c>
      <c r="Q187" s="70">
        <v>0.26091772515594647</v>
      </c>
      <c r="R187" s="70">
        <v>-0.16270900771426614</v>
      </c>
      <c r="S187" s="70">
        <v>0.14090966532925214</v>
      </c>
      <c r="T187" s="70">
        <v>50.27414869615405</v>
      </c>
      <c r="U187" s="70"/>
      <c r="V187" s="70">
        <v>-84.599999999999937</v>
      </c>
      <c r="W187" s="70">
        <v>161.55000000000007</v>
      </c>
      <c r="AT187" s="70"/>
      <c r="AX187" s="68"/>
      <c r="BD187" s="58"/>
    </row>
    <row r="188" spans="1:56" x14ac:dyDescent="0.25">
      <c r="A188" s="68">
        <v>43935</v>
      </c>
      <c r="B188" s="70">
        <v>190.11</v>
      </c>
      <c r="C188" s="70">
        <v>189.73</v>
      </c>
      <c r="D188" s="70">
        <v>191.76</v>
      </c>
      <c r="E188" s="70">
        <v>188.3</v>
      </c>
      <c r="F188" s="70">
        <v>50.62</v>
      </c>
      <c r="G188" s="70">
        <v>1.0800000000000001E-2</v>
      </c>
      <c r="H188" s="70">
        <v>188.26750000000001</v>
      </c>
      <c r="I188" s="70">
        <v>180.13564102564101</v>
      </c>
      <c r="J188" s="70">
        <v>8.1318589743590053</v>
      </c>
      <c r="K188" s="70">
        <v>3.9902084520418</v>
      </c>
      <c r="L188" s="70">
        <v>4.1416505223172049</v>
      </c>
      <c r="M188" s="70">
        <v>6.484558216712065</v>
      </c>
      <c r="N188" s="70">
        <v>0</v>
      </c>
      <c r="O188" s="70">
        <v>0</v>
      </c>
      <c r="P188" s="70">
        <v>0.1878922925265975</v>
      </c>
      <c r="Q188" s="70">
        <v>0.12488352290068393</v>
      </c>
      <c r="R188" s="70">
        <v>0.20145026091559418</v>
      </c>
      <c r="S188" s="70">
        <v>0.19192893986817133</v>
      </c>
      <c r="T188" s="70">
        <v>62.494118569636136</v>
      </c>
      <c r="U188" s="70"/>
      <c r="V188" s="70">
        <v>-84.599999999999937</v>
      </c>
      <c r="W188" s="70">
        <v>161.55000000000007</v>
      </c>
      <c r="AT188" s="70"/>
      <c r="AX188" s="68"/>
      <c r="BD188" s="58"/>
    </row>
    <row r="189" spans="1:56" x14ac:dyDescent="0.25">
      <c r="A189" s="68">
        <v>43934</v>
      </c>
      <c r="B189" s="70">
        <v>188.07</v>
      </c>
      <c r="C189" s="70">
        <v>192.26</v>
      </c>
      <c r="D189" s="70">
        <v>192.36</v>
      </c>
      <c r="E189" s="70">
        <v>186.07</v>
      </c>
      <c r="F189" s="70">
        <v>28.55</v>
      </c>
      <c r="G189" s="70">
        <v>-2.0500000000000001E-2</v>
      </c>
      <c r="H189" s="70">
        <v>186.85294871794872</v>
      </c>
      <c r="I189" s="70">
        <v>179.91900284900282</v>
      </c>
      <c r="J189" s="70">
        <v>6.9339458689458979</v>
      </c>
      <c r="K189" s="70">
        <v>2.2957996201329607</v>
      </c>
      <c r="L189" s="70">
        <v>4.6381462488129372</v>
      </c>
      <c r="M189" s="70">
        <v>6.5157945378458226</v>
      </c>
      <c r="N189" s="70">
        <v>0</v>
      </c>
      <c r="O189" s="70">
        <v>0.70588235294117385</v>
      </c>
      <c r="P189" s="70">
        <v>0.1878922925265975</v>
      </c>
      <c r="Q189" s="70">
        <v>0.22572385903513731</v>
      </c>
      <c r="R189" s="70">
        <v>-9.146539941850701E-2</v>
      </c>
      <c r="S189" s="70">
        <v>0.13032309697355512</v>
      </c>
      <c r="T189" s="70">
        <v>62.418722211672566</v>
      </c>
      <c r="U189" s="70"/>
      <c r="V189" s="70">
        <v>-84.599999999999937</v>
      </c>
      <c r="W189" s="70">
        <v>161.55000000000007</v>
      </c>
      <c r="AT189" s="70"/>
      <c r="AX189" s="68"/>
      <c r="BD189" s="58"/>
    </row>
    <row r="190" spans="1:56" x14ac:dyDescent="0.25">
      <c r="A190" s="68">
        <v>43931</v>
      </c>
      <c r="B190" s="70">
        <v>192</v>
      </c>
      <c r="C190" s="70">
        <v>191.89</v>
      </c>
      <c r="D190" s="70">
        <v>192.44</v>
      </c>
      <c r="E190" s="70">
        <v>190.51</v>
      </c>
      <c r="F190" s="70">
        <v>17.05</v>
      </c>
      <c r="G190" s="70">
        <v>-9.5999999999999992E-3</v>
      </c>
      <c r="H190" s="70">
        <v>186.99429487179489</v>
      </c>
      <c r="I190" s="70">
        <v>180.56374643874642</v>
      </c>
      <c r="J190" s="70">
        <v>6.4305484330484717</v>
      </c>
      <c r="K190" s="70">
        <v>0.61677761949984278</v>
      </c>
      <c r="L190" s="70">
        <v>5.8137708135486292</v>
      </c>
      <c r="M190" s="70">
        <v>6.4863124371671415</v>
      </c>
      <c r="N190" s="70">
        <v>0</v>
      </c>
      <c r="O190" s="70">
        <v>0</v>
      </c>
      <c r="P190" s="70">
        <v>0.22703356362663141</v>
      </c>
      <c r="Q190" s="70">
        <v>7.8341829300166962E-2</v>
      </c>
      <c r="R190" s="70">
        <v>0.4869145902731834</v>
      </c>
      <c r="S190" s="70">
        <v>0.21361753425819083</v>
      </c>
      <c r="T190" s="70">
        <v>62.747834329497877</v>
      </c>
      <c r="U190" s="70"/>
      <c r="V190" s="70">
        <v>-84.599999999999937</v>
      </c>
      <c r="W190" s="70">
        <v>161.55000000000007</v>
      </c>
      <c r="AX190" s="68"/>
      <c r="BD190" s="58"/>
    </row>
    <row r="191" spans="1:56" x14ac:dyDescent="0.25">
      <c r="A191" s="68">
        <v>43930</v>
      </c>
      <c r="B191" s="70">
        <v>193.86</v>
      </c>
      <c r="C191" s="70">
        <v>195.69</v>
      </c>
      <c r="D191" s="70">
        <v>196.26</v>
      </c>
      <c r="E191" s="70">
        <v>189.88</v>
      </c>
      <c r="F191" s="70">
        <v>84.34</v>
      </c>
      <c r="G191" s="70">
        <v>-1.2999999999999999E-3</v>
      </c>
      <c r="H191" s="70">
        <v>186.44839743589742</v>
      </c>
      <c r="I191" s="70">
        <v>180.98642450142449</v>
      </c>
      <c r="J191" s="70">
        <v>5.4619729344729251</v>
      </c>
      <c r="K191" s="70">
        <v>-1.4101112693890623</v>
      </c>
      <c r="L191" s="70">
        <v>6.8720842038619878</v>
      </c>
      <c r="M191" s="70">
        <v>6.2770222667487587</v>
      </c>
      <c r="N191" s="70">
        <v>0.33699059561128192</v>
      </c>
      <c r="O191" s="70">
        <v>0</v>
      </c>
      <c r="P191" s="70">
        <v>0.31884789930872348</v>
      </c>
      <c r="Q191" s="70">
        <v>7.8341829300166962E-2</v>
      </c>
      <c r="R191" s="70">
        <v>0.60551935935226786</v>
      </c>
      <c r="S191" s="70">
        <v>0.18939418009929687</v>
      </c>
      <c r="T191" s="70">
        <v>75.213612891678878</v>
      </c>
      <c r="U191" s="70"/>
      <c r="V191" s="70">
        <v>-84.599999999999937</v>
      </c>
      <c r="W191" s="70">
        <v>161.55000000000007</v>
      </c>
      <c r="AX191" s="68"/>
      <c r="BD191" s="58"/>
    </row>
    <row r="192" spans="1:56" x14ac:dyDescent="0.25">
      <c r="A192" s="68">
        <v>43929</v>
      </c>
      <c r="B192" s="70">
        <v>194.11</v>
      </c>
      <c r="C192" s="70">
        <v>189.7</v>
      </c>
      <c r="D192" s="70">
        <v>194.11</v>
      </c>
      <c r="E192" s="70">
        <v>188.1</v>
      </c>
      <c r="F192" s="70">
        <v>49.27</v>
      </c>
      <c r="G192" s="70">
        <v>1.5100000000000001E-2</v>
      </c>
      <c r="H192" s="70">
        <v>185.36500000000001</v>
      </c>
      <c r="I192" s="70">
        <v>181.27631054131052</v>
      </c>
      <c r="J192" s="70">
        <v>4.0886894586894869</v>
      </c>
      <c r="K192" s="70">
        <v>-3.7008281101614533</v>
      </c>
      <c r="L192" s="70">
        <v>7.7895175688509397</v>
      </c>
      <c r="M192" s="70">
        <v>5.8723362240798149</v>
      </c>
      <c r="N192" s="70">
        <v>0</v>
      </c>
      <c r="O192" s="70">
        <v>0.28286189683860424</v>
      </c>
      <c r="P192" s="70">
        <v>0.24848722549977448</v>
      </c>
      <c r="Q192" s="70">
        <v>0.24408759892940129</v>
      </c>
      <c r="R192" s="70">
        <v>8.931894916618454E-3</v>
      </c>
      <c r="S192" s="70">
        <v>2.4452318508842656E-2</v>
      </c>
      <c r="T192" s="70">
        <v>87.924756060758469</v>
      </c>
      <c r="U192" s="70"/>
      <c r="V192" s="70">
        <v>-84.599999999999937</v>
      </c>
      <c r="W192" s="70">
        <v>161.55000000000007</v>
      </c>
      <c r="AX192" s="68"/>
      <c r="BD192" s="58"/>
    </row>
    <row r="193" spans="1:56" x14ac:dyDescent="0.25">
      <c r="A193" s="68">
        <v>43928</v>
      </c>
      <c r="B193" s="70">
        <v>191.22</v>
      </c>
      <c r="C193" s="70">
        <v>192.9</v>
      </c>
      <c r="D193" s="70">
        <v>195.13</v>
      </c>
      <c r="E193" s="70">
        <v>189.8</v>
      </c>
      <c r="F193" s="70">
        <v>67</v>
      </c>
      <c r="G193" s="70">
        <v>5.9999999999999995E-4</v>
      </c>
      <c r="H193" s="70">
        <v>183.10397435897437</v>
      </c>
      <c r="I193" s="70">
        <v>181.22854700854703</v>
      </c>
      <c r="J193" s="70">
        <v>1.8754273504273442</v>
      </c>
      <c r="K193" s="70">
        <v>-6.1805878442545268</v>
      </c>
      <c r="L193" s="70">
        <v>8.056015194681871</v>
      </c>
      <c r="M193" s="70">
        <v>5.277278899637869</v>
      </c>
      <c r="N193" s="70">
        <v>0.31707317073170782</v>
      </c>
      <c r="O193" s="70">
        <v>0</v>
      </c>
      <c r="P193" s="70">
        <v>0.35555183161332976</v>
      </c>
      <c r="Q193" s="70">
        <v>0.18502852156749491</v>
      </c>
      <c r="R193" s="70">
        <v>0.31544489000101461</v>
      </c>
      <c r="S193" s="70">
        <v>7.0360072289404302E-2</v>
      </c>
      <c r="T193" s="70">
        <v>75.905513951370665</v>
      </c>
      <c r="U193" s="70"/>
      <c r="V193" s="70">
        <v>-84.599999999999937</v>
      </c>
      <c r="W193" s="70">
        <v>161.55000000000007</v>
      </c>
      <c r="AX193" s="68"/>
      <c r="BD193" s="58"/>
    </row>
    <row r="194" spans="1:56" x14ac:dyDescent="0.25">
      <c r="A194" s="68">
        <v>43927</v>
      </c>
      <c r="B194" s="70">
        <v>191.1</v>
      </c>
      <c r="C194" s="70">
        <v>192.24</v>
      </c>
      <c r="D194" s="70">
        <v>193.44</v>
      </c>
      <c r="E194" s="70">
        <v>189.44</v>
      </c>
      <c r="F194" s="70">
        <v>62.93</v>
      </c>
      <c r="G194" s="70">
        <v>7.0000000000000001E-3</v>
      </c>
      <c r="H194" s="70">
        <v>182.03064102564102</v>
      </c>
      <c r="I194" s="70">
        <v>181.62670940170941</v>
      </c>
      <c r="J194" s="70">
        <v>0.40393162393161219</v>
      </c>
      <c r="K194" s="70">
        <v>-8.5556904083570906</v>
      </c>
      <c r="L194" s="70">
        <v>8.9596220322887028</v>
      </c>
      <c r="M194" s="70">
        <v>4.6586664788203151</v>
      </c>
      <c r="N194" s="70">
        <v>0</v>
      </c>
      <c r="O194" s="70">
        <v>0</v>
      </c>
      <c r="P194" s="70">
        <v>0.31743824444582158</v>
      </c>
      <c r="Q194" s="70">
        <v>0.18502852156749491</v>
      </c>
      <c r="R194" s="70">
        <v>0.26351936453209623</v>
      </c>
      <c r="S194" s="70">
        <v>2.3432156572079772E-2</v>
      </c>
      <c r="T194" s="70">
        <v>75.745303799373389</v>
      </c>
      <c r="U194" s="70"/>
      <c r="V194" s="70">
        <v>-84.599999999999937</v>
      </c>
      <c r="W194" s="70">
        <v>161.55000000000007</v>
      </c>
      <c r="AX194" s="68"/>
      <c r="BD194" s="58"/>
    </row>
    <row r="195" spans="1:56" x14ac:dyDescent="0.25">
      <c r="A195" s="68">
        <v>43924</v>
      </c>
      <c r="B195" s="70">
        <v>189.77</v>
      </c>
      <c r="C195" s="70">
        <v>187.01</v>
      </c>
      <c r="D195" s="70">
        <v>193.85</v>
      </c>
      <c r="E195" s="70">
        <v>185.72</v>
      </c>
      <c r="F195" s="70">
        <v>92.36</v>
      </c>
      <c r="G195" s="70">
        <v>1.46E-2</v>
      </c>
      <c r="H195" s="70">
        <v>180.65974358974358</v>
      </c>
      <c r="I195" s="70">
        <v>182.46836182336182</v>
      </c>
      <c r="J195" s="70">
        <v>-1.8086182336182333</v>
      </c>
      <c r="K195" s="70">
        <v>-11.079136119025016</v>
      </c>
      <c r="L195" s="70">
        <v>9.2705178854067825</v>
      </c>
      <c r="M195" s="70">
        <v>3.7655217571285897</v>
      </c>
      <c r="N195" s="70">
        <v>0.47355473554735505</v>
      </c>
      <c r="O195" s="70">
        <v>0</v>
      </c>
      <c r="P195" s="70">
        <v>0.38508892095258657</v>
      </c>
      <c r="Q195" s="70">
        <v>0.20500381254870312</v>
      </c>
      <c r="R195" s="70">
        <v>0.30518103033629351</v>
      </c>
      <c r="S195" s="70">
        <v>-3.4122294888563942E-2</v>
      </c>
      <c r="T195" s="70">
        <v>75.563091004328285</v>
      </c>
      <c r="U195" s="70"/>
      <c r="V195" s="70">
        <v>-84.599999999999937</v>
      </c>
      <c r="W195" s="70">
        <v>161.55000000000007</v>
      </c>
      <c r="AX195" s="68"/>
      <c r="BD195" s="58"/>
    </row>
    <row r="196" spans="1:56" x14ac:dyDescent="0.25">
      <c r="A196" s="68">
        <v>43923</v>
      </c>
      <c r="B196" s="70">
        <v>187.04</v>
      </c>
      <c r="C196" s="70">
        <v>183.8</v>
      </c>
      <c r="D196" s="70">
        <v>190</v>
      </c>
      <c r="E196" s="70">
        <v>180.25</v>
      </c>
      <c r="F196" s="70">
        <v>87.83</v>
      </c>
      <c r="G196" s="70">
        <v>3.8800000000000001E-2</v>
      </c>
      <c r="H196" s="70">
        <v>178.5876282051282</v>
      </c>
      <c r="I196" s="70">
        <v>183.51222222222222</v>
      </c>
      <c r="J196" s="70">
        <v>-4.924594017094023</v>
      </c>
      <c r="K196" s="70">
        <v>-13.705003640392539</v>
      </c>
      <c r="L196" s="70">
        <v>8.7804096232985156</v>
      </c>
      <c r="M196" s="70">
        <v>2.6543246123929825</v>
      </c>
      <c r="N196" s="70">
        <v>0.86720321931589606</v>
      </c>
      <c r="O196" s="70">
        <v>0</v>
      </c>
      <c r="P196" s="70">
        <v>0.44330913763924257</v>
      </c>
      <c r="Q196" s="70">
        <v>0.20500381254870312</v>
      </c>
      <c r="R196" s="70">
        <v>0.36757761050655374</v>
      </c>
      <c r="S196" s="70">
        <v>-7.6230127106547696E-2</v>
      </c>
      <c r="T196" s="70">
        <v>75.362379264818287</v>
      </c>
      <c r="U196" s="70"/>
      <c r="V196" s="70">
        <v>-84.599999999999937</v>
      </c>
      <c r="W196" s="70">
        <v>161.55000000000007</v>
      </c>
      <c r="AX196" s="68"/>
      <c r="BD196" s="58"/>
    </row>
    <row r="197" spans="1:56" x14ac:dyDescent="0.25">
      <c r="A197" s="68">
        <v>43922</v>
      </c>
      <c r="B197" s="70">
        <v>180.06</v>
      </c>
      <c r="C197" s="70">
        <v>178.03</v>
      </c>
      <c r="D197" s="70">
        <v>181.38</v>
      </c>
      <c r="E197" s="70">
        <v>177.5</v>
      </c>
      <c r="F197" s="70">
        <v>40.44</v>
      </c>
      <c r="G197" s="70">
        <v>-7.4000000000000003E-3</v>
      </c>
      <c r="H197" s="70">
        <v>176.10070512820511</v>
      </c>
      <c r="I197" s="70">
        <v>184.33564102564105</v>
      </c>
      <c r="J197" s="70">
        <v>-8.2349358974359461</v>
      </c>
      <c r="K197" s="70">
        <v>-16.058880183602426</v>
      </c>
      <c r="L197" s="70">
        <v>7.8239442861664799</v>
      </c>
      <c r="M197" s="70">
        <v>1.4717255912811393</v>
      </c>
      <c r="N197" s="70">
        <v>0</v>
      </c>
      <c r="O197" s="70">
        <v>0.13144329896906998</v>
      </c>
      <c r="P197" s="70">
        <v>0.26224472921064879</v>
      </c>
      <c r="Q197" s="70">
        <v>0.25630220540081383</v>
      </c>
      <c r="R197" s="70">
        <v>1.1459953599547502E-2</v>
      </c>
      <c r="S197" s="70">
        <v>-0.207377781607852</v>
      </c>
      <c r="T197" s="70">
        <v>63.185981512380224</v>
      </c>
      <c r="U197" s="70"/>
      <c r="V197" s="70">
        <v>-84.599999999999937</v>
      </c>
      <c r="W197" s="70">
        <v>161.55000000000007</v>
      </c>
      <c r="AX197" s="68"/>
      <c r="BD197" s="58"/>
    </row>
    <row r="198" spans="1:56" x14ac:dyDescent="0.25">
      <c r="A198" s="68">
        <v>43921</v>
      </c>
      <c r="B198" s="70">
        <v>181.41</v>
      </c>
      <c r="C198" s="70">
        <v>178.5</v>
      </c>
      <c r="D198" s="70">
        <v>184.64</v>
      </c>
      <c r="E198" s="70">
        <v>178.01</v>
      </c>
      <c r="F198" s="70">
        <v>69.819999999999993</v>
      </c>
      <c r="G198" s="70">
        <v>2.8199999999999999E-2</v>
      </c>
      <c r="H198" s="70">
        <v>175.46294871794871</v>
      </c>
      <c r="I198" s="70">
        <v>186.28535612535617</v>
      </c>
      <c r="J198" s="70">
        <v>-10.822407407407468</v>
      </c>
      <c r="K198" s="70">
        <v>-18.010373219373236</v>
      </c>
      <c r="L198" s="70">
        <v>7.1879658119657677</v>
      </c>
      <c r="M198" s="70">
        <v>0.37445807374012086</v>
      </c>
      <c r="N198" s="70">
        <v>0.8548780487804879</v>
      </c>
      <c r="O198" s="70">
        <v>0</v>
      </c>
      <c r="P198" s="70">
        <v>0.42786680189284054</v>
      </c>
      <c r="Q198" s="70">
        <v>0.22885800012155744</v>
      </c>
      <c r="R198" s="70">
        <v>0.30303226124680466</v>
      </c>
      <c r="S198" s="70">
        <v>-0.20471705238502466</v>
      </c>
      <c r="T198" s="70">
        <v>75.797855443629516</v>
      </c>
      <c r="U198" s="70"/>
      <c r="V198" s="70">
        <v>-84.599999999999937</v>
      </c>
      <c r="W198" s="70">
        <v>161.55000000000007</v>
      </c>
      <c r="AX198" s="68"/>
      <c r="BD198" s="58"/>
    </row>
    <row r="199" spans="1:56" x14ac:dyDescent="0.25">
      <c r="A199" s="68">
        <v>43920</v>
      </c>
      <c r="B199" s="70">
        <v>176.44</v>
      </c>
      <c r="C199" s="70">
        <v>171.99</v>
      </c>
      <c r="D199" s="70">
        <v>177.63</v>
      </c>
      <c r="E199" s="70">
        <v>170.5</v>
      </c>
      <c r="F199" s="70">
        <v>47.98</v>
      </c>
      <c r="G199" s="70">
        <v>1.11E-2</v>
      </c>
      <c r="H199" s="70">
        <v>173.61878205128204</v>
      </c>
      <c r="I199" s="70">
        <v>187.81143874643877</v>
      </c>
      <c r="J199" s="70">
        <v>-14.192656695156728</v>
      </c>
      <c r="K199" s="70">
        <v>-19.955208768597657</v>
      </c>
      <c r="L199" s="70">
        <v>5.7625520734409292</v>
      </c>
      <c r="M199" s="70">
        <v>-0.81217975503445494</v>
      </c>
      <c r="N199" s="70">
        <v>0</v>
      </c>
      <c r="O199" s="70">
        <v>0.2103786816269286</v>
      </c>
      <c r="P199" s="70">
        <v>0.24937578071889252</v>
      </c>
      <c r="Q199" s="70">
        <v>0.32075025933499457</v>
      </c>
      <c r="R199" s="70">
        <v>-0.12519070100596683</v>
      </c>
      <c r="S199" s="70">
        <v>-0.35180597630553956</v>
      </c>
      <c r="T199" s="70">
        <v>75.680257632504819</v>
      </c>
      <c r="U199" s="70"/>
      <c r="V199" s="70">
        <v>-84.599999999999937</v>
      </c>
      <c r="W199" s="70">
        <v>161.55000000000007</v>
      </c>
      <c r="AX199" s="68"/>
      <c r="BD199" s="58"/>
    </row>
    <row r="200" spans="1:56" x14ac:dyDescent="0.25">
      <c r="A200" s="68">
        <v>43917</v>
      </c>
      <c r="B200" s="70">
        <v>174.5</v>
      </c>
      <c r="C200" s="70">
        <v>181.24</v>
      </c>
      <c r="D200" s="70">
        <v>181.37</v>
      </c>
      <c r="E200" s="70">
        <v>172</v>
      </c>
      <c r="F200" s="70">
        <v>55.62</v>
      </c>
      <c r="G200" s="70">
        <v>-3.8600000000000002E-2</v>
      </c>
      <c r="H200" s="70">
        <v>172.42410256410255</v>
      </c>
      <c r="I200" s="70">
        <v>189.64280626780629</v>
      </c>
      <c r="J200" s="70">
        <v>-17.218703703703738</v>
      </c>
      <c r="K200" s="70">
        <v>-21.498064260842035</v>
      </c>
      <c r="L200" s="70">
        <v>4.2793605571382969</v>
      </c>
      <c r="M200" s="70">
        <v>-1.8504685235625389</v>
      </c>
      <c r="N200" s="70">
        <v>0</v>
      </c>
      <c r="O200" s="70">
        <v>0.5635005336179294</v>
      </c>
      <c r="P200" s="70">
        <v>0.24937578071889252</v>
      </c>
      <c r="Q200" s="70">
        <v>0.35732511632534003</v>
      </c>
      <c r="R200" s="70">
        <v>-0.1779284259053556</v>
      </c>
      <c r="S200" s="70">
        <v>-0.40699045205408058</v>
      </c>
      <c r="T200" s="70">
        <v>63.620450680879642</v>
      </c>
      <c r="U200" s="70"/>
      <c r="V200" s="70">
        <v>-84.599999999999937</v>
      </c>
      <c r="W200" s="70">
        <v>161.55000000000007</v>
      </c>
      <c r="AX200" s="68"/>
      <c r="BD200" s="58"/>
    </row>
    <row r="201" spans="1:56" x14ac:dyDescent="0.25">
      <c r="A201" s="68">
        <v>43916</v>
      </c>
      <c r="B201" s="70">
        <v>181.5</v>
      </c>
      <c r="C201" s="70">
        <v>179.45</v>
      </c>
      <c r="D201" s="70">
        <v>184.9</v>
      </c>
      <c r="E201" s="70">
        <v>177.28</v>
      </c>
      <c r="F201" s="70">
        <v>54.02</v>
      </c>
      <c r="G201" s="70">
        <v>7.1999999999999998E-3</v>
      </c>
      <c r="H201" s="70">
        <v>173.32685897435897</v>
      </c>
      <c r="I201" s="70">
        <v>192.15562678062673</v>
      </c>
      <c r="J201" s="70">
        <v>-18.828767806267763</v>
      </c>
      <c r="K201" s="70">
        <v>-22.368428458372879</v>
      </c>
      <c r="L201" s="70">
        <v>3.5396606521051162</v>
      </c>
      <c r="M201" s="70">
        <v>-2.6456476350493339</v>
      </c>
      <c r="N201" s="70">
        <v>0</v>
      </c>
      <c r="O201" s="70">
        <v>0</v>
      </c>
      <c r="P201" s="70">
        <v>0.24937578071889252</v>
      </c>
      <c r="Q201" s="70">
        <v>0.30371987685300261</v>
      </c>
      <c r="R201" s="70">
        <v>-9.8254425595532852E-2</v>
      </c>
      <c r="S201" s="70">
        <v>-0.44101614416616314</v>
      </c>
      <c r="T201" s="70">
        <v>63.963193885760255</v>
      </c>
      <c r="U201" s="70"/>
      <c r="V201" s="70">
        <v>-84.599999999999937</v>
      </c>
      <c r="W201" s="70">
        <v>161.55000000000007</v>
      </c>
      <c r="AX201" s="68"/>
      <c r="BD201" s="58"/>
    </row>
    <row r="202" spans="1:56" x14ac:dyDescent="0.25">
      <c r="A202" s="68">
        <v>43915</v>
      </c>
      <c r="B202" s="70">
        <v>180.2</v>
      </c>
      <c r="C202" s="70">
        <v>183</v>
      </c>
      <c r="D202" s="70">
        <v>186.9</v>
      </c>
      <c r="E202" s="70">
        <v>175.26</v>
      </c>
      <c r="F202" s="70">
        <v>114.69</v>
      </c>
      <c r="G202" s="70">
        <v>1.26E-2</v>
      </c>
      <c r="H202" s="70">
        <v>172.38647435897434</v>
      </c>
      <c r="I202" s="70">
        <v>193.92008547008544</v>
      </c>
      <c r="J202" s="70">
        <v>-21.533611111111099</v>
      </c>
      <c r="K202" s="70">
        <v>-23.177425609370029</v>
      </c>
      <c r="L202" s="70">
        <v>1.64381449825893</v>
      </c>
      <c r="M202" s="70">
        <v>-3.4401286051713376</v>
      </c>
      <c r="N202" s="70">
        <v>0.5936426116838478</v>
      </c>
      <c r="O202" s="70">
        <v>0</v>
      </c>
      <c r="P202" s="70">
        <v>0.33418186810229933</v>
      </c>
      <c r="Q202" s="70">
        <v>0.3933467335128264</v>
      </c>
      <c r="R202" s="70">
        <v>-8.1323078266861373E-2</v>
      </c>
      <c r="S202" s="70">
        <v>-0.4896627905373353</v>
      </c>
      <c r="T202" s="70">
        <v>63.61216481834731</v>
      </c>
      <c r="U202" s="70"/>
      <c r="V202" s="70">
        <v>-84.599999999999937</v>
      </c>
      <c r="W202" s="70">
        <v>161.55000000000007</v>
      </c>
      <c r="AX202" s="68"/>
      <c r="BD202" s="58"/>
    </row>
    <row r="203" spans="1:56" x14ac:dyDescent="0.25">
      <c r="A203" s="68">
        <v>43914</v>
      </c>
      <c r="B203" s="70">
        <v>177.95</v>
      </c>
      <c r="C203" s="70">
        <v>174.39</v>
      </c>
      <c r="D203" s="70">
        <v>179.99</v>
      </c>
      <c r="E203" s="70">
        <v>172.61</v>
      </c>
      <c r="F203" s="70">
        <v>89.48</v>
      </c>
      <c r="G203" s="70">
        <v>5.7000000000000002E-2</v>
      </c>
      <c r="H203" s="70">
        <v>172.60935897435897</v>
      </c>
      <c r="I203" s="70">
        <v>195.61595441595438</v>
      </c>
      <c r="J203" s="70">
        <v>-23.006595441595408</v>
      </c>
      <c r="K203" s="70">
        <v>-23.353119658119631</v>
      </c>
      <c r="L203" s="70">
        <v>0.34652421652422305</v>
      </c>
      <c r="M203" s="70">
        <v>-3.9557922628178992</v>
      </c>
      <c r="N203" s="70">
        <v>0.66237113402061842</v>
      </c>
      <c r="O203" s="70">
        <v>0</v>
      </c>
      <c r="P203" s="70">
        <v>0.30485895733608981</v>
      </c>
      <c r="Q203" s="70">
        <v>0.40201934252270355</v>
      </c>
      <c r="R203" s="70">
        <v>-0.13744994747472455</v>
      </c>
      <c r="S203" s="70">
        <v>-0.54452466485989737</v>
      </c>
      <c r="T203" s="70">
        <v>63.236188563933084</v>
      </c>
      <c r="U203" s="70"/>
      <c r="V203" s="70">
        <v>-84.599999999999937</v>
      </c>
      <c r="W203" s="70">
        <v>161.55000000000007</v>
      </c>
      <c r="AX203" s="68"/>
      <c r="BD203" s="58"/>
    </row>
    <row r="204" spans="1:56" x14ac:dyDescent="0.25">
      <c r="A204" s="68">
        <v>43913</v>
      </c>
      <c r="B204" s="70">
        <v>168.35</v>
      </c>
      <c r="C204" s="70">
        <v>171</v>
      </c>
      <c r="D204" s="70">
        <v>172.28</v>
      </c>
      <c r="E204" s="70">
        <v>168.04</v>
      </c>
      <c r="F204" s="70">
        <v>109.2</v>
      </c>
      <c r="G204" s="70">
        <v>-4.4900000000000002E-2</v>
      </c>
      <c r="H204" s="70">
        <v>172.54621794871795</v>
      </c>
      <c r="I204" s="70">
        <v>196.88490028490028</v>
      </c>
      <c r="J204" s="70">
        <v>-24.33868233618233</v>
      </c>
      <c r="K204" s="70">
        <v>-23.085255935422587</v>
      </c>
      <c r="L204" s="70">
        <v>-1.2534264007597429</v>
      </c>
      <c r="M204" s="70">
        <v>-4.3887614247101414</v>
      </c>
      <c r="N204" s="70">
        <v>0</v>
      </c>
      <c r="O204" s="70">
        <v>1.9009433962264115</v>
      </c>
      <c r="P204" s="70">
        <v>0.16656168759552109</v>
      </c>
      <c r="Q204" s="70">
        <v>0.67358268484076234</v>
      </c>
      <c r="R204" s="70">
        <v>-0.60349270182571368</v>
      </c>
      <c r="S204" s="70">
        <v>-0.65460797166084939</v>
      </c>
      <c r="T204" s="70">
        <v>50.724594752704732</v>
      </c>
      <c r="U204" s="70"/>
      <c r="V204" s="70">
        <v>-84.599999999999937</v>
      </c>
      <c r="W204" s="70">
        <v>161.55000000000007</v>
      </c>
      <c r="AX204" s="68"/>
      <c r="BD204" s="58"/>
    </row>
    <row r="205" spans="1:56" x14ac:dyDescent="0.25">
      <c r="A205" s="68">
        <v>43910</v>
      </c>
      <c r="B205" s="70">
        <v>176.26</v>
      </c>
      <c r="C205" s="70">
        <v>180</v>
      </c>
      <c r="D205" s="70">
        <v>184.69</v>
      </c>
      <c r="E205" s="70">
        <v>176.1</v>
      </c>
      <c r="F205" s="70">
        <v>139.85</v>
      </c>
      <c r="G205" s="70">
        <v>9.7000000000000003E-3</v>
      </c>
      <c r="H205" s="70">
        <v>175.99487179487178</v>
      </c>
      <c r="I205" s="70">
        <v>199.95230769230767</v>
      </c>
      <c r="J205" s="70">
        <v>-23.957435897435886</v>
      </c>
      <c r="K205" s="70">
        <v>-22.144505856283622</v>
      </c>
      <c r="L205" s="70">
        <v>-1.8129300411522635</v>
      </c>
      <c r="M205" s="70">
        <v>-4.5157091234185218</v>
      </c>
      <c r="N205" s="70">
        <v>0.93682132280355512</v>
      </c>
      <c r="O205" s="70">
        <v>0</v>
      </c>
      <c r="P205" s="70">
        <v>0.30039330513888607</v>
      </c>
      <c r="Q205" s="70">
        <v>0.27668241529898407</v>
      </c>
      <c r="R205" s="70">
        <v>4.1088004572278285E-2</v>
      </c>
      <c r="S205" s="70">
        <v>-0.57575632130695276</v>
      </c>
      <c r="T205" s="70">
        <v>63.291214025655599</v>
      </c>
      <c r="U205" s="70"/>
      <c r="V205" s="70">
        <v>-84.599999999999937</v>
      </c>
      <c r="W205" s="70">
        <v>161.55000000000007</v>
      </c>
      <c r="AX205" s="68"/>
      <c r="BD205" s="58"/>
    </row>
    <row r="206" spans="1:56" x14ac:dyDescent="0.25">
      <c r="A206" s="68">
        <v>43909</v>
      </c>
      <c r="B206" s="70">
        <v>174.56</v>
      </c>
      <c r="C206" s="70">
        <v>168.58</v>
      </c>
      <c r="D206" s="70">
        <v>175.2</v>
      </c>
      <c r="E206" s="70">
        <v>164.05</v>
      </c>
      <c r="F206" s="70">
        <v>122.16</v>
      </c>
      <c r="G206" s="70">
        <v>4.9399999999999999E-2</v>
      </c>
      <c r="H206" s="70">
        <v>177.51166666666666</v>
      </c>
      <c r="I206" s="70">
        <v>201.87908831908834</v>
      </c>
      <c r="J206" s="70">
        <v>-24.367421652421683</v>
      </c>
      <c r="K206" s="70">
        <v>-21.083333649889209</v>
      </c>
      <c r="L206" s="70">
        <v>-3.2840880025324743</v>
      </c>
      <c r="M206" s="70">
        <v>-4.6997920819288348</v>
      </c>
      <c r="N206" s="70">
        <v>0.42600896860986631</v>
      </c>
      <c r="O206" s="70">
        <v>0</v>
      </c>
      <c r="P206" s="70">
        <v>0.16565167281647636</v>
      </c>
      <c r="Q206" s="70">
        <v>0.29692673408699216</v>
      </c>
      <c r="R206" s="70">
        <v>-0.28378985986241778</v>
      </c>
      <c r="S206" s="70">
        <v>-0.66984521938904285</v>
      </c>
      <c r="T206" s="70">
        <v>50.470407686661765</v>
      </c>
      <c r="U206" s="70"/>
      <c r="V206" s="70">
        <v>-84.599999999999937</v>
      </c>
      <c r="W206" s="70">
        <v>161.55000000000007</v>
      </c>
      <c r="AX206" s="68"/>
      <c r="BD206" s="58"/>
    </row>
    <row r="207" spans="1:56" x14ac:dyDescent="0.25">
      <c r="A207" s="68">
        <v>43908</v>
      </c>
      <c r="B207" s="70">
        <v>166.34</v>
      </c>
      <c r="C207" s="70">
        <v>164.9</v>
      </c>
      <c r="D207" s="70">
        <v>170.45</v>
      </c>
      <c r="E207" s="70">
        <v>162</v>
      </c>
      <c r="F207" s="70">
        <v>106.17</v>
      </c>
      <c r="G207" s="70">
        <v>-4.0000000000000001E-3</v>
      </c>
      <c r="H207" s="70">
        <v>177.95487179487182</v>
      </c>
      <c r="I207" s="70">
        <v>203.07361823361819</v>
      </c>
      <c r="J207" s="70">
        <v>-25.118746438746371</v>
      </c>
      <c r="K207" s="70">
        <v>-19.85873251028805</v>
      </c>
      <c r="L207" s="70">
        <v>-5.2600139284583207</v>
      </c>
      <c r="M207" s="70">
        <v>-4.7672193801766305</v>
      </c>
      <c r="N207" s="70">
        <v>0</v>
      </c>
      <c r="O207" s="70">
        <v>0.30295857988165747</v>
      </c>
      <c r="P207" s="70">
        <v>7.6704745304526256E-2</v>
      </c>
      <c r="Q207" s="70">
        <v>0.43407581981907406</v>
      </c>
      <c r="R207" s="70">
        <v>-0.69965675853009401</v>
      </c>
      <c r="S207" s="70">
        <v>-0.75358021445170642</v>
      </c>
      <c r="T207" s="70">
        <v>37.151202900465307</v>
      </c>
      <c r="U207" s="70"/>
      <c r="V207" s="70">
        <v>-84.599999999999937</v>
      </c>
      <c r="W207" s="70">
        <v>161.55000000000007</v>
      </c>
      <c r="AX207" s="68"/>
      <c r="BD207" s="58"/>
    </row>
    <row r="208" spans="1:56" x14ac:dyDescent="0.25">
      <c r="A208" s="68">
        <v>43907</v>
      </c>
      <c r="B208" s="70">
        <v>167</v>
      </c>
      <c r="C208" s="70">
        <v>169</v>
      </c>
      <c r="D208" s="70">
        <v>175.5</v>
      </c>
      <c r="E208" s="70">
        <v>164.56</v>
      </c>
      <c r="F208" s="70">
        <v>108.15</v>
      </c>
      <c r="G208" s="70">
        <v>-6.4000000000000003E-3</v>
      </c>
      <c r="H208" s="70">
        <v>180.61673076923074</v>
      </c>
      <c r="I208" s="70">
        <v>205.35790598290595</v>
      </c>
      <c r="J208" s="70">
        <v>-24.741175213675206</v>
      </c>
      <c r="K208" s="70">
        <v>-18.220437638493195</v>
      </c>
      <c r="L208" s="70">
        <v>-6.5207375751820109</v>
      </c>
      <c r="M208" s="70">
        <v>-4.4883799574910617</v>
      </c>
      <c r="N208" s="70">
        <v>0.50365630712979814</v>
      </c>
      <c r="O208" s="70">
        <v>0</v>
      </c>
      <c r="P208" s="70">
        <v>0.14865564632306882</v>
      </c>
      <c r="Q208" s="70">
        <v>0.41088067177185478</v>
      </c>
      <c r="R208" s="70">
        <v>-0.46864701533869035</v>
      </c>
      <c r="S208" s="70">
        <v>-0.70982492973649203</v>
      </c>
      <c r="T208" s="70">
        <v>36.307559890976897</v>
      </c>
      <c r="U208" s="70"/>
      <c r="V208" s="70">
        <v>-84.599999999999937</v>
      </c>
      <c r="W208" s="70">
        <v>161.55000000000007</v>
      </c>
      <c r="AX208" s="68"/>
      <c r="BD208" s="58"/>
    </row>
    <row r="209" spans="1:56" x14ac:dyDescent="0.25">
      <c r="A209" s="68">
        <v>43906</v>
      </c>
      <c r="B209" s="70">
        <v>168.07</v>
      </c>
      <c r="C209" s="70">
        <v>163</v>
      </c>
      <c r="D209" s="70">
        <v>169.99</v>
      </c>
      <c r="E209" s="70">
        <v>158.16999999999999</v>
      </c>
      <c r="F209" s="70">
        <v>116</v>
      </c>
      <c r="G209" s="70">
        <v>1.1900000000000001E-2</v>
      </c>
      <c r="H209" s="70">
        <v>184.34224358974359</v>
      </c>
      <c r="I209" s="70">
        <v>207.72990028490022</v>
      </c>
      <c r="J209" s="70">
        <v>-23.387656695156636</v>
      </c>
      <c r="K209" s="70">
        <v>-16.304322728711611</v>
      </c>
      <c r="L209" s="70">
        <v>-7.083333966445025</v>
      </c>
      <c r="M209" s="70">
        <v>-3.9990987828252647</v>
      </c>
      <c r="N209" s="70">
        <v>0</v>
      </c>
      <c r="O209" s="70">
        <v>0.49323181049069392</v>
      </c>
      <c r="P209" s="70">
        <v>4.3496637142121992E-2</v>
      </c>
      <c r="Q209" s="70">
        <v>0.53609876138069856</v>
      </c>
      <c r="R209" s="70">
        <v>-0.84990689279804765</v>
      </c>
      <c r="S209" s="70">
        <v>-0.77007125642695706</v>
      </c>
      <c r="T209" s="70">
        <v>35.468049327354251</v>
      </c>
      <c r="U209" s="70"/>
      <c r="V209" s="70">
        <v>-84.599999999999937</v>
      </c>
      <c r="W209" s="70">
        <v>161.55000000000007</v>
      </c>
      <c r="AX209" s="68"/>
      <c r="BD209" s="58"/>
    </row>
    <row r="210" spans="1:56" x14ac:dyDescent="0.25">
      <c r="A210" s="68">
        <v>43903</v>
      </c>
      <c r="B210" s="70">
        <v>166.1</v>
      </c>
      <c r="C210" s="70">
        <v>164</v>
      </c>
      <c r="D210" s="70">
        <v>175.69</v>
      </c>
      <c r="E210" s="70">
        <v>164</v>
      </c>
      <c r="F210" s="70">
        <v>143.37</v>
      </c>
      <c r="G210" s="70">
        <v>1.4500000000000001E-2</v>
      </c>
      <c r="H210" s="70">
        <v>188.03653846153847</v>
      </c>
      <c r="I210" s="70">
        <v>209.88062678062673</v>
      </c>
      <c r="J210" s="70">
        <v>-21.844088319088257</v>
      </c>
      <c r="K210" s="70">
        <v>-14.404095283317503</v>
      </c>
      <c r="L210" s="70">
        <v>-7.4399930357707547</v>
      </c>
      <c r="M210" s="70">
        <v>-3.4452671348910524</v>
      </c>
      <c r="N210" s="70">
        <v>0.65969899665551679</v>
      </c>
      <c r="O210" s="70">
        <v>0</v>
      </c>
      <c r="P210" s="70">
        <v>0.13773935095005296</v>
      </c>
      <c r="Q210" s="70">
        <v>0.51804623540259764</v>
      </c>
      <c r="R210" s="70">
        <v>-0.57992565308996213</v>
      </c>
      <c r="S210" s="70">
        <v>-0.71214228510143562</v>
      </c>
      <c r="T210" s="70">
        <v>36.944153470125492</v>
      </c>
      <c r="U210" s="70"/>
      <c r="V210" s="70">
        <v>-84.599999999999937</v>
      </c>
      <c r="W210" s="70">
        <v>161.55000000000007</v>
      </c>
    </row>
    <row r="211" spans="1:56" x14ac:dyDescent="0.25">
      <c r="A211" s="68">
        <v>43902</v>
      </c>
      <c r="B211" s="70">
        <v>163.72999999999999</v>
      </c>
      <c r="C211" s="70">
        <v>163</v>
      </c>
      <c r="D211" s="70">
        <v>167.8</v>
      </c>
      <c r="E211" s="70">
        <v>161.19999999999999</v>
      </c>
      <c r="F211" s="70">
        <v>151.37</v>
      </c>
      <c r="G211" s="70">
        <v>-4.82E-2</v>
      </c>
      <c r="H211" s="70">
        <v>191.80256410256408</v>
      </c>
      <c r="I211" s="70">
        <v>211.99851851851849</v>
      </c>
      <c r="J211" s="70">
        <v>-20.195954415954418</v>
      </c>
      <c r="K211" s="70">
        <v>-12.474976258309603</v>
      </c>
      <c r="L211" s="70">
        <v>-7.7209781576448151</v>
      </c>
      <c r="M211" s="70">
        <v>-2.8184151821587702</v>
      </c>
      <c r="N211" s="70">
        <v>0</v>
      </c>
      <c r="O211" s="70">
        <v>0.93787878787878431</v>
      </c>
      <c r="P211" s="70">
        <v>0</v>
      </c>
      <c r="Q211" s="70">
        <v>0.6639336812900426</v>
      </c>
      <c r="R211" s="70">
        <v>-1</v>
      </c>
      <c r="S211" s="70">
        <v>-0.73881062103267769</v>
      </c>
      <c r="T211" s="70">
        <v>25.012556167924515</v>
      </c>
      <c r="U211" s="70"/>
      <c r="V211" s="70">
        <v>-84.599999999999937</v>
      </c>
      <c r="W211" s="70">
        <v>161.55000000000007</v>
      </c>
    </row>
    <row r="212" spans="1:56" x14ac:dyDescent="0.25">
      <c r="A212" s="68">
        <v>43901</v>
      </c>
      <c r="B212" s="70">
        <v>172.03</v>
      </c>
      <c r="C212" s="70">
        <v>174</v>
      </c>
      <c r="D212" s="70">
        <v>175.87</v>
      </c>
      <c r="E212" s="70">
        <v>167.39</v>
      </c>
      <c r="F212" s="70">
        <v>108.63</v>
      </c>
      <c r="G212" s="70">
        <v>6.0000000000000001E-3</v>
      </c>
      <c r="H212" s="70">
        <v>197.89339743589744</v>
      </c>
      <c r="I212" s="70">
        <v>214.88933048433051</v>
      </c>
      <c r="J212" s="70">
        <v>-16.995933048433074</v>
      </c>
      <c r="K212" s="70">
        <v>-10.224687084520433</v>
      </c>
      <c r="L212" s="70">
        <v>-6.7712459639126408</v>
      </c>
      <c r="M212" s="70">
        <v>-1.9779366331674038</v>
      </c>
      <c r="N212" s="70">
        <v>0</v>
      </c>
      <c r="O212" s="70">
        <v>0</v>
      </c>
      <c r="P212" s="70">
        <v>3.8532895675752882E-2</v>
      </c>
      <c r="Q212" s="70">
        <v>0.46811283546919746</v>
      </c>
      <c r="R212" s="70">
        <v>-0.84789017924349697</v>
      </c>
      <c r="S212" s="70">
        <v>-0.63418096737641583</v>
      </c>
      <c r="T212" s="70">
        <v>24.377206779749514</v>
      </c>
      <c r="U212" s="70"/>
      <c r="V212" s="70">
        <v>-84.599999999999937</v>
      </c>
      <c r="W212" s="70">
        <v>161.55000000000007</v>
      </c>
    </row>
    <row r="213" spans="1:56" x14ac:dyDescent="0.25">
      <c r="A213" s="68">
        <v>43900</v>
      </c>
      <c r="B213" s="70">
        <v>171</v>
      </c>
      <c r="C213" s="70">
        <v>169.45</v>
      </c>
      <c r="D213" s="70">
        <v>185.84</v>
      </c>
      <c r="E213" s="70">
        <v>161.01</v>
      </c>
      <c r="F213" s="70">
        <v>205.23</v>
      </c>
      <c r="G213" s="70">
        <v>-9.1700000000000004E-2</v>
      </c>
      <c r="H213" s="70">
        <v>202.14692307692306</v>
      </c>
      <c r="I213" s="70">
        <v>216.75997150997154</v>
      </c>
      <c r="J213" s="70">
        <v>-14.613048433048476</v>
      </c>
      <c r="K213" s="70">
        <v>-8.4348755935422748</v>
      </c>
      <c r="L213" s="70">
        <v>-6.1781728395062014</v>
      </c>
      <c r="M213" s="70">
        <v>-1.2652768959435656</v>
      </c>
      <c r="N213" s="70">
        <v>0</v>
      </c>
      <c r="O213" s="70">
        <v>0.97140555779299209</v>
      </c>
      <c r="P213" s="70">
        <v>4.3368060510917683E-2</v>
      </c>
      <c r="Q213" s="70">
        <v>0.60688505801105341</v>
      </c>
      <c r="R213" s="70">
        <v>-0.86661175694322379</v>
      </c>
      <c r="S213" s="70">
        <v>-0.58679791718870222</v>
      </c>
      <c r="T213" s="70">
        <v>12.77065057552862</v>
      </c>
      <c r="U213" s="70"/>
      <c r="V213" s="70">
        <v>-84.599999999999937</v>
      </c>
      <c r="W213" s="70">
        <v>161.55000000000007</v>
      </c>
    </row>
    <row r="214" spans="1:56" x14ac:dyDescent="0.25">
      <c r="A214" s="68">
        <v>43896</v>
      </c>
      <c r="B214" s="70">
        <v>188.27</v>
      </c>
      <c r="C214" s="70">
        <v>193.5</v>
      </c>
      <c r="D214" s="70">
        <v>194.23</v>
      </c>
      <c r="E214" s="70">
        <v>185.13</v>
      </c>
      <c r="F214" s="70">
        <v>131.69</v>
      </c>
      <c r="G214" s="70">
        <v>-4.9099999999999998E-2</v>
      </c>
      <c r="H214" s="70">
        <v>209.09807692307692</v>
      </c>
      <c r="I214" s="70">
        <v>220.19485754985757</v>
      </c>
      <c r="J214" s="70">
        <v>-11.096780626780657</v>
      </c>
      <c r="K214" s="70">
        <v>-6.6944798987021272</v>
      </c>
      <c r="L214" s="70">
        <v>-4.4023007280785293</v>
      </c>
      <c r="M214" s="70">
        <v>-0.44425958972967866</v>
      </c>
      <c r="N214" s="70">
        <v>0</v>
      </c>
      <c r="O214" s="70">
        <v>1.3593406593406607</v>
      </c>
      <c r="P214" s="70">
        <v>4.3368060510917683E-2</v>
      </c>
      <c r="Q214" s="70">
        <v>0.6382329042511028</v>
      </c>
      <c r="R214" s="70">
        <v>-0.87274648143709843</v>
      </c>
      <c r="S214" s="70">
        <v>-0.55412171926446696</v>
      </c>
      <c r="T214" s="70">
        <v>26.126612072770072</v>
      </c>
      <c r="U214" s="70"/>
      <c r="V214" s="70">
        <v>-84.599999999999937</v>
      </c>
      <c r="W214" s="70">
        <v>161.55000000000007</v>
      </c>
    </row>
    <row r="215" spans="1:56" x14ac:dyDescent="0.25">
      <c r="A215" s="68">
        <v>43895</v>
      </c>
      <c r="B215" s="70">
        <v>198</v>
      </c>
      <c r="C215" s="70">
        <v>203</v>
      </c>
      <c r="D215" s="70">
        <v>203.43</v>
      </c>
      <c r="E215" s="70">
        <v>197.5</v>
      </c>
      <c r="F215" s="70">
        <v>65.97</v>
      </c>
      <c r="G215" s="70">
        <v>-0.01</v>
      </c>
      <c r="H215" s="70">
        <v>213.5727564102564</v>
      </c>
      <c r="I215" s="70">
        <v>222.4729344729345</v>
      </c>
      <c r="J215" s="70">
        <v>-8.9001780626780942</v>
      </c>
      <c r="K215" s="70">
        <v>-5.5338893637227038</v>
      </c>
      <c r="L215" s="70">
        <v>-3.3662886989553904</v>
      </c>
      <c r="M215" s="70">
        <v>0.1373593604875622</v>
      </c>
      <c r="N215" s="70">
        <v>0</v>
      </c>
      <c r="O215" s="70">
        <v>0.13153456998313665</v>
      </c>
      <c r="P215" s="70">
        <v>4.3368060510917683E-2</v>
      </c>
      <c r="Q215" s="70">
        <v>0.37320517768306116</v>
      </c>
      <c r="R215" s="70">
        <v>-0.79178662220868257</v>
      </c>
      <c r="S215" s="70">
        <v>-0.49836938917099577</v>
      </c>
      <c r="T215" s="70">
        <v>25.556255058908178</v>
      </c>
      <c r="U215" s="70"/>
      <c r="V215" s="70">
        <v>-84.599999999999937</v>
      </c>
      <c r="W215" s="70">
        <v>161.55000000000007</v>
      </c>
    </row>
    <row r="216" spans="1:56" x14ac:dyDescent="0.25">
      <c r="A216" s="68">
        <v>43894</v>
      </c>
      <c r="B216" s="70">
        <v>200</v>
      </c>
      <c r="C216" s="70">
        <v>199.95</v>
      </c>
      <c r="D216" s="70">
        <v>204.42</v>
      </c>
      <c r="E216" s="70">
        <v>198.28</v>
      </c>
      <c r="F216" s="70">
        <v>78.739999999999995</v>
      </c>
      <c r="G216" s="70">
        <v>-7.3000000000000001E-3</v>
      </c>
      <c r="H216" s="70">
        <v>216.40128205128204</v>
      </c>
      <c r="I216" s="70">
        <v>223.93874643874645</v>
      </c>
      <c r="J216" s="70">
        <v>-7.5374643874644107</v>
      </c>
      <c r="K216" s="70">
        <v>-4.7838493194048803</v>
      </c>
      <c r="L216" s="70">
        <v>-2.7536150680595304</v>
      </c>
      <c r="M216" s="70">
        <v>0.5580683899829163</v>
      </c>
      <c r="N216" s="70">
        <v>0</v>
      </c>
      <c r="O216" s="70">
        <v>0</v>
      </c>
      <c r="P216" s="70">
        <v>4.3368060510917683E-2</v>
      </c>
      <c r="Q216" s="70">
        <v>0.38450938443001703</v>
      </c>
      <c r="R216" s="70">
        <v>-0.79728746619535262</v>
      </c>
      <c r="S216" s="70">
        <v>-0.47029909602831083</v>
      </c>
      <c r="T216" s="70">
        <v>25.045685577459821</v>
      </c>
      <c r="U216" s="70"/>
      <c r="V216" s="70">
        <v>-84.599999999999937</v>
      </c>
      <c r="W216" s="70">
        <v>161.55000000000007</v>
      </c>
    </row>
    <row r="217" spans="1:56" x14ac:dyDescent="0.25">
      <c r="A217" s="68">
        <v>43893</v>
      </c>
      <c r="B217" s="70">
        <v>201.48</v>
      </c>
      <c r="C217" s="70">
        <v>204.96</v>
      </c>
      <c r="D217" s="70">
        <v>205.27</v>
      </c>
      <c r="E217" s="70">
        <v>198</v>
      </c>
      <c r="F217" s="70">
        <v>104.45</v>
      </c>
      <c r="G217" s="70">
        <v>1.3599999999999999E-2</v>
      </c>
      <c r="H217" s="70">
        <v>218.92064102564106</v>
      </c>
      <c r="I217" s="70">
        <v>225.1509401709402</v>
      </c>
      <c r="J217" s="70">
        <v>-6.2302991452991421</v>
      </c>
      <c r="K217" s="70">
        <v>-4.2637572016460892</v>
      </c>
      <c r="L217" s="70">
        <v>-1.9665419436530529</v>
      </c>
      <c r="M217" s="70">
        <v>0.93166925825045444</v>
      </c>
      <c r="N217" s="70">
        <v>0</v>
      </c>
      <c r="O217" s="70">
        <v>0</v>
      </c>
      <c r="P217" s="70">
        <v>4.3368060510917683E-2</v>
      </c>
      <c r="Q217" s="70">
        <v>0.39954175612153087</v>
      </c>
      <c r="R217" s="70">
        <v>-0.80416753532059582</v>
      </c>
      <c r="S217" s="70">
        <v>-0.42757033477922801</v>
      </c>
      <c r="T217" s="70">
        <v>38.056955282328886</v>
      </c>
      <c r="U217" s="70"/>
      <c r="V217" s="70">
        <v>-84.599999999999937</v>
      </c>
      <c r="W217" s="70">
        <v>161.55000000000007</v>
      </c>
    </row>
    <row r="218" spans="1:56" x14ac:dyDescent="0.25">
      <c r="A218" s="68">
        <v>43892</v>
      </c>
      <c r="B218" s="70">
        <v>198.78</v>
      </c>
      <c r="C218" s="70">
        <v>208</v>
      </c>
      <c r="D218" s="70">
        <v>211.99</v>
      </c>
      <c r="E218" s="70">
        <v>195.51</v>
      </c>
      <c r="F218" s="70">
        <v>151.65</v>
      </c>
      <c r="G218" s="70">
        <v>-1.9099999999999999E-2</v>
      </c>
      <c r="H218" s="70">
        <v>220.76660256410258</v>
      </c>
      <c r="I218" s="70">
        <v>226.24972934472936</v>
      </c>
      <c r="J218" s="70">
        <v>-5.4831267806267761</v>
      </c>
      <c r="K218" s="70">
        <v>-4.0657807850585668</v>
      </c>
      <c r="L218" s="70">
        <v>-1.4173459955682093</v>
      </c>
      <c r="M218" s="70">
        <v>1.199124413415011</v>
      </c>
      <c r="N218" s="70">
        <v>0</v>
      </c>
      <c r="O218" s="70">
        <v>0.30703883495145612</v>
      </c>
      <c r="P218" s="70">
        <v>8.3822521304361533E-2</v>
      </c>
      <c r="Q218" s="70">
        <v>0.44340444682888175</v>
      </c>
      <c r="R218" s="70">
        <v>-0.6820249100642457</v>
      </c>
      <c r="S218" s="70">
        <v>-0.35414725063041902</v>
      </c>
      <c r="T218" s="70">
        <v>39.123421643923997</v>
      </c>
      <c r="U218" s="70"/>
      <c r="V218" s="70">
        <v>-84.599999999999937</v>
      </c>
      <c r="W218" s="70">
        <v>161.55000000000007</v>
      </c>
    </row>
    <row r="219" spans="1:56" x14ac:dyDescent="0.25">
      <c r="A219" s="68">
        <v>43889</v>
      </c>
      <c r="B219" s="70">
        <v>202.65</v>
      </c>
      <c r="C219" s="70">
        <v>210</v>
      </c>
      <c r="D219" s="70">
        <v>211.97</v>
      </c>
      <c r="E219" s="70">
        <v>200.57</v>
      </c>
      <c r="F219" s="70">
        <v>169.6</v>
      </c>
      <c r="G219" s="70">
        <v>-6.83E-2</v>
      </c>
      <c r="H219" s="70">
        <v>224.12961538461545</v>
      </c>
      <c r="I219" s="70">
        <v>227.979415954416</v>
      </c>
      <c r="J219" s="70">
        <v>-3.84980056980055</v>
      </c>
      <c r="K219" s="70">
        <v>-3.8242380500158308</v>
      </c>
      <c r="L219" s="70">
        <v>-2.5562519784719129E-2</v>
      </c>
      <c r="M219" s="70">
        <v>1.4611788679822855</v>
      </c>
      <c r="N219" s="70">
        <v>0</v>
      </c>
      <c r="O219" s="70">
        <v>1.4236842105263168</v>
      </c>
      <c r="P219" s="70">
        <v>0.12243418286684275</v>
      </c>
      <c r="Q219" s="70">
        <v>0.5826808959801395</v>
      </c>
      <c r="R219" s="70">
        <v>-0.65272567119951685</v>
      </c>
      <c r="S219" s="70">
        <v>-0.31275695666678449</v>
      </c>
      <c r="T219" s="70">
        <v>38.433439527629972</v>
      </c>
      <c r="U219" s="70"/>
      <c r="V219" s="70">
        <v>-84.599999999999937</v>
      </c>
      <c r="W219" s="70">
        <v>161.55000000000007</v>
      </c>
    </row>
    <row r="220" spans="1:56" x14ac:dyDescent="0.25">
      <c r="A220" s="68">
        <v>43888</v>
      </c>
      <c r="B220" s="70">
        <v>217.5</v>
      </c>
      <c r="C220" s="70">
        <v>220.99</v>
      </c>
      <c r="D220" s="70">
        <v>223.4</v>
      </c>
      <c r="E220" s="70">
        <v>216.8</v>
      </c>
      <c r="F220" s="70">
        <v>83.03</v>
      </c>
      <c r="G220" s="70">
        <v>-3.2300000000000002E-2</v>
      </c>
      <c r="H220" s="70">
        <v>228.61775641025645</v>
      </c>
      <c r="I220" s="70">
        <v>230.69800569800572</v>
      </c>
      <c r="J220" s="70">
        <v>-2.0802492877492682</v>
      </c>
      <c r="K220" s="70">
        <v>-3.7808678379234015</v>
      </c>
      <c r="L220" s="70">
        <v>1.7006185501741333</v>
      </c>
      <c r="M220" s="70">
        <v>1.5870247783239193</v>
      </c>
      <c r="N220" s="70">
        <v>0</v>
      </c>
      <c r="O220" s="70">
        <v>0.60757575757575677</v>
      </c>
      <c r="P220" s="70">
        <v>0.12243418286684275</v>
      </c>
      <c r="Q220" s="70">
        <v>0.40593255069246792</v>
      </c>
      <c r="R220" s="70">
        <v>-0.5365560505973862</v>
      </c>
      <c r="S220" s="70">
        <v>-0.2969359497504292</v>
      </c>
      <c r="T220" s="70">
        <v>50.555558591892606</v>
      </c>
      <c r="U220" s="70"/>
      <c r="V220" s="70">
        <v>-84.599999999999937</v>
      </c>
      <c r="W220" s="70">
        <v>161.55000000000007</v>
      </c>
    </row>
    <row r="221" spans="1:56" x14ac:dyDescent="0.25">
      <c r="A221" s="68">
        <v>43887</v>
      </c>
      <c r="B221" s="70">
        <v>224.76</v>
      </c>
      <c r="C221" s="70">
        <v>223.32</v>
      </c>
      <c r="D221" s="70">
        <v>225.47</v>
      </c>
      <c r="E221" s="70">
        <v>220.81</v>
      </c>
      <c r="F221" s="70">
        <v>63.75</v>
      </c>
      <c r="G221" s="70">
        <v>4.0000000000000002E-4</v>
      </c>
      <c r="H221" s="70">
        <v>230.27762820512822</v>
      </c>
      <c r="I221" s="70">
        <v>232.49967236467236</v>
      </c>
      <c r="J221" s="70">
        <v>-2.22204415954414</v>
      </c>
      <c r="K221" s="70">
        <v>-4.3410299145299236</v>
      </c>
      <c r="L221" s="70">
        <v>2.1189857549857836</v>
      </c>
      <c r="M221" s="70">
        <v>1.3859254250023432</v>
      </c>
      <c r="N221" s="70">
        <v>0</v>
      </c>
      <c r="O221" s="70">
        <v>0.83047210300429342</v>
      </c>
      <c r="P221" s="70">
        <v>0.12243418286684275</v>
      </c>
      <c r="Q221" s="70">
        <v>0.42946879184759373</v>
      </c>
      <c r="R221" s="70">
        <v>-0.55631990231546702</v>
      </c>
      <c r="S221" s="70">
        <v>-0.30804066369739336</v>
      </c>
      <c r="T221" s="70">
        <v>50.144468718321235</v>
      </c>
      <c r="U221" s="70"/>
      <c r="V221" s="70">
        <v>-84.599999999999937</v>
      </c>
      <c r="W221" s="70">
        <v>161.55000000000007</v>
      </c>
    </row>
    <row r="222" spans="1:56" x14ac:dyDescent="0.25">
      <c r="A222" s="68">
        <v>43886</v>
      </c>
      <c r="B222" s="70">
        <v>224.68</v>
      </c>
      <c r="C222" s="70">
        <v>228</v>
      </c>
      <c r="D222" s="70">
        <v>230.06</v>
      </c>
      <c r="E222" s="70">
        <v>224.68</v>
      </c>
      <c r="F222" s="70">
        <v>52.76</v>
      </c>
      <c r="G222" s="70">
        <v>-3.1600000000000003E-2</v>
      </c>
      <c r="H222" s="70">
        <v>230.57205128205129</v>
      </c>
      <c r="I222" s="70">
        <v>233.5172507122507</v>
      </c>
      <c r="J222" s="70">
        <v>-2.9451994301994091</v>
      </c>
      <c r="K222" s="70">
        <v>-5.0344067742956753</v>
      </c>
      <c r="L222" s="70">
        <v>2.0892073440962662</v>
      </c>
      <c r="M222" s="70">
        <v>1.0838244193286879</v>
      </c>
      <c r="N222" s="70">
        <v>0</v>
      </c>
      <c r="O222" s="70">
        <v>1.2881040892193332</v>
      </c>
      <c r="P222" s="70">
        <v>0.12547729360226131</v>
      </c>
      <c r="Q222" s="70">
        <v>0.44008838748242624</v>
      </c>
      <c r="R222" s="70">
        <v>-0.55627684706182734</v>
      </c>
      <c r="S222" s="70">
        <v>-0.31108442864451402</v>
      </c>
      <c r="T222" s="70">
        <v>37.780283574681143</v>
      </c>
      <c r="U222" s="70"/>
      <c r="V222" s="70">
        <v>-84.599999999999937</v>
      </c>
      <c r="W222" s="70">
        <v>161.55000000000007</v>
      </c>
    </row>
    <row r="223" spans="1:56" x14ac:dyDescent="0.25">
      <c r="A223" s="68">
        <v>43882</v>
      </c>
      <c r="B223" s="70">
        <v>232</v>
      </c>
      <c r="C223" s="70">
        <v>233.05</v>
      </c>
      <c r="D223" s="70">
        <v>233.77</v>
      </c>
      <c r="E223" s="70">
        <v>231.61</v>
      </c>
      <c r="F223" s="70">
        <v>29.66</v>
      </c>
      <c r="G223" s="70">
        <v>-1.11E-2</v>
      </c>
      <c r="H223" s="70">
        <v>232.17064102564103</v>
      </c>
      <c r="I223" s="70">
        <v>235.15313390313395</v>
      </c>
      <c r="J223" s="70">
        <v>-2.9824928774929163</v>
      </c>
      <c r="K223" s="70">
        <v>-5.6585555555555827</v>
      </c>
      <c r="L223" s="70">
        <v>2.6760626780626664</v>
      </c>
      <c r="M223" s="70">
        <v>0.87184101937946923</v>
      </c>
      <c r="N223" s="70">
        <v>0</v>
      </c>
      <c r="O223" s="70">
        <v>0.18055555555554953</v>
      </c>
      <c r="P223" s="70">
        <v>0.16971876641516265</v>
      </c>
      <c r="Q223" s="70">
        <v>0.19693722843907258</v>
      </c>
      <c r="R223" s="70">
        <v>-7.4234329742053393E-2</v>
      </c>
      <c r="S223" s="70">
        <v>-0.22925639120990587</v>
      </c>
      <c r="T223" s="70">
        <v>50.260602197307733</v>
      </c>
      <c r="U223" s="70"/>
      <c r="V223" s="70">
        <v>-84.599999999999937</v>
      </c>
      <c r="W223" s="70">
        <v>161.55000000000007</v>
      </c>
    </row>
    <row r="224" spans="1:56" x14ac:dyDescent="0.25">
      <c r="A224" s="68">
        <v>43881</v>
      </c>
      <c r="B224" s="70">
        <v>234.6</v>
      </c>
      <c r="C224" s="70">
        <v>232.51</v>
      </c>
      <c r="D224" s="70">
        <v>235.75</v>
      </c>
      <c r="E224" s="70">
        <v>232</v>
      </c>
      <c r="F224" s="70">
        <v>33.58</v>
      </c>
      <c r="G224" s="70">
        <v>1.1599999999999999E-2</v>
      </c>
      <c r="H224" s="70">
        <v>232.61012820512821</v>
      </c>
      <c r="I224" s="70">
        <v>236.13846153846157</v>
      </c>
      <c r="J224" s="70">
        <v>-3.5283333333333644</v>
      </c>
      <c r="K224" s="70">
        <v>-6.4968600823045506</v>
      </c>
      <c r="L224" s="70">
        <v>2.9685267489711862</v>
      </c>
      <c r="M224" s="70">
        <v>0.56600693640009092</v>
      </c>
      <c r="N224" s="70">
        <v>0.58441558441558528</v>
      </c>
      <c r="O224" s="70">
        <v>0</v>
      </c>
      <c r="P224" s="70">
        <v>0.26957859700701559</v>
      </c>
      <c r="Q224" s="70">
        <v>0.15923881574066112</v>
      </c>
      <c r="R224" s="70">
        <v>0.25731180214754995</v>
      </c>
      <c r="S224" s="70">
        <v>-0.21108172618065035</v>
      </c>
      <c r="T224" s="70">
        <v>62.726022485859389</v>
      </c>
      <c r="U224" s="70"/>
      <c r="V224" s="70">
        <v>-84.599999999999937</v>
      </c>
      <c r="W224" s="70">
        <v>161.55000000000007</v>
      </c>
    </row>
    <row r="225" spans="1:23" x14ac:dyDescent="0.25">
      <c r="A225" s="68">
        <v>43880</v>
      </c>
      <c r="B225" s="70">
        <v>231.9</v>
      </c>
      <c r="C225" s="70">
        <v>231.81</v>
      </c>
      <c r="D225" s="70">
        <v>233.5</v>
      </c>
      <c r="E225" s="70">
        <v>230.71</v>
      </c>
      <c r="F225" s="70">
        <v>24.43</v>
      </c>
      <c r="G225" s="70">
        <v>6.1000000000000004E-3</v>
      </c>
      <c r="H225" s="70">
        <v>231.90564102564105</v>
      </c>
      <c r="I225" s="70">
        <v>236.53319088319091</v>
      </c>
      <c r="J225" s="70">
        <v>-4.6275498575498659</v>
      </c>
      <c r="K225" s="70">
        <v>-7.3799848053181503</v>
      </c>
      <c r="L225" s="70">
        <v>2.7524349477682843</v>
      </c>
      <c r="M225" s="70">
        <v>0.15401281529486219</v>
      </c>
      <c r="N225" s="70">
        <v>7.3333333333332959E-2</v>
      </c>
      <c r="O225" s="70">
        <v>0</v>
      </c>
      <c r="P225" s="70">
        <v>0.15803395117665525</v>
      </c>
      <c r="Q225" s="70">
        <v>0.18879178704120517</v>
      </c>
      <c r="R225" s="70">
        <v>-8.8683833047099911E-2</v>
      </c>
      <c r="S225" s="70">
        <v>-0.31726186494353653</v>
      </c>
      <c r="T225" s="70">
        <v>50.425690974705951</v>
      </c>
      <c r="U225" s="70"/>
      <c r="V225" s="70">
        <v>-84.599999999999937</v>
      </c>
      <c r="W225" s="70">
        <v>161.55000000000007</v>
      </c>
    </row>
    <row r="226" spans="1:23" x14ac:dyDescent="0.25">
      <c r="A226" s="68">
        <v>43879</v>
      </c>
      <c r="B226" s="70">
        <v>230.5</v>
      </c>
      <c r="C226" s="70">
        <v>233</v>
      </c>
      <c r="D226" s="70">
        <v>233.28</v>
      </c>
      <c r="E226" s="70">
        <v>229.8</v>
      </c>
      <c r="F226" s="70">
        <v>30.86</v>
      </c>
      <c r="G226" s="70">
        <v>-1.3899999999999999E-2</v>
      </c>
      <c r="H226" s="70">
        <v>231.38987179487179</v>
      </c>
      <c r="I226" s="70">
        <v>237.07407407407413</v>
      </c>
      <c r="J226" s="70">
        <v>-5.6842022792023386</v>
      </c>
      <c r="K226" s="70">
        <v>-8.1104023425134706</v>
      </c>
      <c r="L226" s="70">
        <v>2.426200063311132</v>
      </c>
      <c r="M226" s="70">
        <v>-0.26788419620899773</v>
      </c>
      <c r="N226" s="70">
        <v>0</v>
      </c>
      <c r="O226" s="70">
        <v>0.60632183908045734</v>
      </c>
      <c r="P226" s="70">
        <v>0.14272259586529998</v>
      </c>
      <c r="Q226" s="70">
        <v>0.30170976186098486</v>
      </c>
      <c r="R226" s="70">
        <v>-0.35773085202225807</v>
      </c>
      <c r="S226" s="70">
        <v>-0.38866767701271721</v>
      </c>
      <c r="T226" s="70">
        <v>38.010492636840567</v>
      </c>
      <c r="U226" s="70"/>
      <c r="V226" s="70">
        <v>-84.599999999999937</v>
      </c>
      <c r="W226" s="70">
        <v>161.55000000000007</v>
      </c>
    </row>
    <row r="227" spans="1:23" x14ac:dyDescent="0.25">
      <c r="A227" s="68">
        <v>43878</v>
      </c>
      <c r="B227" s="70">
        <v>233.75</v>
      </c>
      <c r="C227" s="70">
        <v>233.5</v>
      </c>
      <c r="D227" s="70">
        <v>234.56</v>
      </c>
      <c r="E227" s="70">
        <v>231.91</v>
      </c>
      <c r="F227" s="70">
        <v>20.56</v>
      </c>
      <c r="G227" s="70">
        <v>5.4000000000000003E-3</v>
      </c>
      <c r="H227" s="70">
        <v>231.62192307692305</v>
      </c>
      <c r="I227" s="70">
        <v>238.06267806267806</v>
      </c>
      <c r="J227" s="70">
        <v>-6.4407549857550066</v>
      </c>
      <c r="K227" s="70">
        <v>-8.6149822728711598</v>
      </c>
      <c r="L227" s="70">
        <v>2.1742272871161532</v>
      </c>
      <c r="M227" s="70">
        <v>-0.65008537268367483</v>
      </c>
      <c r="N227" s="70">
        <v>0</v>
      </c>
      <c r="O227" s="70">
        <v>0</v>
      </c>
      <c r="P227" s="70">
        <v>0.14272259586529998</v>
      </c>
      <c r="Q227" s="70">
        <v>0.21523944149774335</v>
      </c>
      <c r="R227" s="70">
        <v>-0.2025825033476864</v>
      </c>
      <c r="S227" s="70">
        <v>-0.37976516407633065</v>
      </c>
      <c r="T227" s="70">
        <v>37.99248419851191</v>
      </c>
      <c r="U227" s="70"/>
      <c r="V227" s="70">
        <v>-84.599999999999937</v>
      </c>
      <c r="W227" s="70">
        <v>161.55000000000007</v>
      </c>
    </row>
    <row r="228" spans="1:23" x14ac:dyDescent="0.25">
      <c r="A228" s="68">
        <v>43875</v>
      </c>
      <c r="B228" s="70">
        <v>232.5</v>
      </c>
      <c r="C228" s="70">
        <v>233.79</v>
      </c>
      <c r="D228" s="70">
        <v>235.4</v>
      </c>
      <c r="E228" s="70">
        <v>230.91</v>
      </c>
      <c r="F228" s="70">
        <v>34.35</v>
      </c>
      <c r="G228" s="70">
        <v>-4.4999999999999997E-3</v>
      </c>
      <c r="H228" s="70">
        <v>231.2730769230769</v>
      </c>
      <c r="I228" s="70">
        <v>238.616452991453</v>
      </c>
      <c r="J228" s="70">
        <v>-7.3433760683761022</v>
      </c>
      <c r="K228" s="70">
        <v>-9.030381449825887</v>
      </c>
      <c r="L228" s="70">
        <v>1.6870053814497847</v>
      </c>
      <c r="M228" s="70">
        <v>-1.0630378440805914</v>
      </c>
      <c r="N228" s="70">
        <v>0</v>
      </c>
      <c r="O228" s="70">
        <v>0.58797327394209564</v>
      </c>
      <c r="P228" s="70">
        <v>0.14272259586529998</v>
      </c>
      <c r="Q228" s="70">
        <v>0.2992356234894713</v>
      </c>
      <c r="R228" s="70">
        <v>-0.35413534757350956</v>
      </c>
      <c r="S228" s="70">
        <v>-0.41962959087383417</v>
      </c>
      <c r="T228" s="70">
        <v>37.952732150649439</v>
      </c>
      <c r="U228" s="70"/>
      <c r="V228" s="70">
        <v>-84.599999999999937</v>
      </c>
      <c r="W228" s="70">
        <v>161.55000000000007</v>
      </c>
    </row>
    <row r="229" spans="1:23" x14ac:dyDescent="0.25">
      <c r="A229" s="68">
        <v>43874</v>
      </c>
      <c r="B229" s="70">
        <v>233.55</v>
      </c>
      <c r="C229" s="70">
        <v>236.9</v>
      </c>
      <c r="D229" s="70">
        <v>237.98</v>
      </c>
      <c r="E229" s="70">
        <v>233.55</v>
      </c>
      <c r="F229" s="70">
        <v>42.02</v>
      </c>
      <c r="G229" s="70">
        <v>-1.8800000000000001E-2</v>
      </c>
      <c r="H229" s="70">
        <v>231.39935897435899</v>
      </c>
      <c r="I229" s="70">
        <v>239.46239316239317</v>
      </c>
      <c r="J229" s="70">
        <v>-8.0630341880341803</v>
      </c>
      <c r="K229" s="70">
        <v>-9.2703738524849424</v>
      </c>
      <c r="L229" s="70">
        <v>1.2073396644507621</v>
      </c>
      <c r="M229" s="70">
        <v>-1.4377891668319054</v>
      </c>
      <c r="N229" s="70">
        <v>0</v>
      </c>
      <c r="O229" s="70">
        <v>0.22799097065462659</v>
      </c>
      <c r="P229" s="70">
        <v>0.15953232862381039</v>
      </c>
      <c r="Q229" s="70">
        <v>0.20904211155112326</v>
      </c>
      <c r="R229" s="70">
        <v>-0.13432777081290395</v>
      </c>
      <c r="S229" s="70">
        <v>-0.39018118988630768</v>
      </c>
      <c r="T229" s="70">
        <v>50.42470459435993</v>
      </c>
      <c r="U229" s="70"/>
      <c r="V229" s="70">
        <v>-84.599999999999937</v>
      </c>
      <c r="W229" s="70">
        <v>161.55000000000007</v>
      </c>
    </row>
    <row r="230" spans="1:23" x14ac:dyDescent="0.25">
      <c r="A230" s="68">
        <v>43873</v>
      </c>
      <c r="B230" s="70">
        <v>238.03</v>
      </c>
      <c r="C230" s="70">
        <v>235.3</v>
      </c>
      <c r="D230" s="70">
        <v>239.8</v>
      </c>
      <c r="E230" s="70">
        <v>234.56</v>
      </c>
      <c r="F230" s="70">
        <v>83.2</v>
      </c>
      <c r="G230" s="70">
        <v>1.77E-2</v>
      </c>
      <c r="H230" s="70">
        <v>232.1908333333333</v>
      </c>
      <c r="I230" s="70">
        <v>240.58626780626778</v>
      </c>
      <c r="J230" s="70">
        <v>-8.3954344729344825</v>
      </c>
      <c r="K230" s="70">
        <v>-9.2953711617600394</v>
      </c>
      <c r="L230" s="70">
        <v>0.89993668882555689</v>
      </c>
      <c r="M230" s="70">
        <v>-1.78080580514769</v>
      </c>
      <c r="N230" s="70">
        <v>0.61355932203389851</v>
      </c>
      <c r="O230" s="70">
        <v>0</v>
      </c>
      <c r="P230" s="70">
        <v>0.24718366034293876</v>
      </c>
      <c r="Q230" s="70">
        <v>0.22599765183966988</v>
      </c>
      <c r="R230" s="70">
        <v>4.4773552880915217E-2</v>
      </c>
      <c r="S230" s="70">
        <v>-0.40043672691248389</v>
      </c>
      <c r="T230" s="70">
        <v>62.90198666897507</v>
      </c>
      <c r="U230" s="70"/>
      <c r="V230" s="70">
        <v>-84.599999999999937</v>
      </c>
      <c r="W230" s="70">
        <v>161.55000000000007</v>
      </c>
    </row>
    <row r="231" spans="1:23" x14ac:dyDescent="0.25">
      <c r="A231" s="68">
        <v>43872</v>
      </c>
      <c r="B231" s="70">
        <v>233.9</v>
      </c>
      <c r="C231" s="70">
        <v>226.55</v>
      </c>
      <c r="D231" s="70">
        <v>236.18</v>
      </c>
      <c r="E231" s="70">
        <v>226.01</v>
      </c>
      <c r="F231" s="70">
        <v>95.63</v>
      </c>
      <c r="G231" s="70">
        <v>3.8600000000000002E-2</v>
      </c>
      <c r="H231" s="70">
        <v>231.05692307692306</v>
      </c>
      <c r="I231" s="70">
        <v>240.93988603988603</v>
      </c>
      <c r="J231" s="70">
        <v>-9.8829629629629778</v>
      </c>
      <c r="K231" s="70">
        <v>-9.4245786641342093</v>
      </c>
      <c r="L231" s="70">
        <v>-0.45838429882876852</v>
      </c>
      <c r="M231" s="70">
        <v>-2.2137059648170818</v>
      </c>
      <c r="N231" s="70">
        <v>0.58561020036429834</v>
      </c>
      <c r="O231" s="70">
        <v>0</v>
      </c>
      <c r="P231" s="70">
        <v>0.20273646788240912</v>
      </c>
      <c r="Q231" s="70">
        <v>0.25685512560805951</v>
      </c>
      <c r="R231" s="70">
        <v>-0.11775380248936765</v>
      </c>
      <c r="S231" s="70">
        <v>-0.46538198203423614</v>
      </c>
      <c r="T231" s="70">
        <v>50.33233713847109</v>
      </c>
      <c r="U231" s="70"/>
      <c r="V231" s="70">
        <v>-84.599999999999937</v>
      </c>
      <c r="W231" s="70">
        <v>161.55000000000007</v>
      </c>
    </row>
    <row r="232" spans="1:23" x14ac:dyDescent="0.25">
      <c r="A232" s="68">
        <v>43871</v>
      </c>
      <c r="B232" s="70">
        <v>225.2</v>
      </c>
      <c r="C232" s="70">
        <v>228.5</v>
      </c>
      <c r="D232" s="70">
        <v>229.75</v>
      </c>
      <c r="E232" s="70">
        <v>224.41</v>
      </c>
      <c r="F232" s="70">
        <v>50.88</v>
      </c>
      <c r="G232" s="70">
        <v>-1.7100000000000001E-2</v>
      </c>
      <c r="H232" s="70">
        <v>230.00403846153844</v>
      </c>
      <c r="I232" s="70">
        <v>241.18931623931624</v>
      </c>
      <c r="J232" s="70">
        <v>-11.185277777777799</v>
      </c>
      <c r="K232" s="70">
        <v>-9.3283192465970117</v>
      </c>
      <c r="L232" s="70">
        <v>-1.856958531180787</v>
      </c>
      <c r="M232" s="70">
        <v>-2.5451334787403233</v>
      </c>
      <c r="N232" s="70">
        <v>0</v>
      </c>
      <c r="O232" s="70">
        <v>0.51123595505617758</v>
      </c>
      <c r="P232" s="70">
        <v>8.046620626788531E-2</v>
      </c>
      <c r="Q232" s="70">
        <v>0.39917677096925769</v>
      </c>
      <c r="R232" s="70">
        <v>-0.6644745776060782</v>
      </c>
      <c r="S232" s="70">
        <v>-0.57905864721637745</v>
      </c>
      <c r="T232" s="70">
        <v>37.648123317090189</v>
      </c>
      <c r="U232" s="70"/>
      <c r="V232" s="70">
        <v>-84.599999999999937</v>
      </c>
      <c r="W232" s="70">
        <v>161.55000000000007</v>
      </c>
    </row>
    <row r="233" spans="1:23" x14ac:dyDescent="0.25">
      <c r="A233" s="68">
        <v>43868</v>
      </c>
      <c r="B233" s="70">
        <v>229.11</v>
      </c>
      <c r="C233" s="70">
        <v>232.38</v>
      </c>
      <c r="D233" s="70">
        <v>233.39</v>
      </c>
      <c r="E233" s="70">
        <v>227.14</v>
      </c>
      <c r="F233" s="70">
        <v>49.94</v>
      </c>
      <c r="G233" s="70">
        <v>-9.7999999999999997E-3</v>
      </c>
      <c r="H233" s="70">
        <v>231.59980769230771</v>
      </c>
      <c r="I233" s="70">
        <v>242.59005698005694</v>
      </c>
      <c r="J233" s="70">
        <v>-10.990249287749236</v>
      </c>
      <c r="K233" s="70">
        <v>-8.7343987021208882</v>
      </c>
      <c r="L233" s="70">
        <v>-2.2558505856283482</v>
      </c>
      <c r="M233" s="70">
        <v>-2.5897384413623712</v>
      </c>
      <c r="N233" s="70">
        <v>0</v>
      </c>
      <c r="O233" s="70">
        <v>0.48160000000000308</v>
      </c>
      <c r="P233" s="70">
        <v>8.046620626788531E-2</v>
      </c>
      <c r="Q233" s="70">
        <v>0.39588485829409581</v>
      </c>
      <c r="R233" s="70">
        <v>-0.66215586673716631</v>
      </c>
      <c r="S233" s="70">
        <v>-0.56191676795555712</v>
      </c>
      <c r="T233" s="70">
        <v>37.509096240944487</v>
      </c>
      <c r="U233" s="70"/>
      <c r="V233" s="70">
        <v>-84.599999999999937</v>
      </c>
      <c r="W233" s="70">
        <v>161.55000000000007</v>
      </c>
    </row>
    <row r="234" spans="1:23" x14ac:dyDescent="0.25">
      <c r="A234" s="68">
        <v>43867</v>
      </c>
      <c r="B234" s="70">
        <v>231.38</v>
      </c>
      <c r="C234" s="70">
        <v>234</v>
      </c>
      <c r="D234" s="70">
        <v>236</v>
      </c>
      <c r="E234" s="70">
        <v>230.15</v>
      </c>
      <c r="F234" s="70">
        <v>42.62</v>
      </c>
      <c r="G234" s="70">
        <v>-5.1000000000000004E-3</v>
      </c>
      <c r="H234" s="70">
        <v>233.28807692307691</v>
      </c>
      <c r="I234" s="70">
        <v>243.75535612535606</v>
      </c>
      <c r="J234" s="70">
        <v>-10.467279202279144</v>
      </c>
      <c r="K234" s="70">
        <v>-8.0689195948084489</v>
      </c>
      <c r="L234" s="70">
        <v>-2.3983596074706952</v>
      </c>
      <c r="M234" s="70">
        <v>-2.5279821406829921</v>
      </c>
      <c r="N234" s="70">
        <v>4.6153846153847947E-2</v>
      </c>
      <c r="O234" s="70">
        <v>0</v>
      </c>
      <c r="P234" s="70">
        <v>8.7059612861292157E-2</v>
      </c>
      <c r="Q234" s="70">
        <v>0.35106099644166155</v>
      </c>
      <c r="R234" s="70">
        <v>-0.60257695706301839</v>
      </c>
      <c r="S234" s="70">
        <v>-0.5348937509274726</v>
      </c>
      <c r="T234" s="70">
        <v>50.110701506514879</v>
      </c>
      <c r="U234" s="70"/>
      <c r="V234" s="70">
        <v>-84.599999999999937</v>
      </c>
      <c r="W234" s="70">
        <v>161.55000000000007</v>
      </c>
    </row>
    <row r="235" spans="1:23" x14ac:dyDescent="0.25">
      <c r="A235" s="68">
        <v>43866</v>
      </c>
      <c r="B235" s="70">
        <v>232.56</v>
      </c>
      <c r="C235" s="70">
        <v>230.89</v>
      </c>
      <c r="D235" s="70">
        <v>235.73</v>
      </c>
      <c r="E235" s="70">
        <v>228.8</v>
      </c>
      <c r="F235" s="70">
        <v>62</v>
      </c>
      <c r="G235" s="70">
        <v>8.8999999999999999E-3</v>
      </c>
      <c r="H235" s="70">
        <v>234.99339743589746</v>
      </c>
      <c r="I235" s="70">
        <v>244.65188034188031</v>
      </c>
      <c r="J235" s="70">
        <v>-9.6584829059828508</v>
      </c>
      <c r="K235" s="70">
        <v>-7.2610887939220987</v>
      </c>
      <c r="L235" s="70">
        <v>-2.397394112060752</v>
      </c>
      <c r="M235" s="70">
        <v>-2.4218949938949903</v>
      </c>
      <c r="N235" s="70">
        <v>0.67099567099566981</v>
      </c>
      <c r="O235" s="70">
        <v>0</v>
      </c>
      <c r="P235" s="70">
        <v>0.17327961996041957</v>
      </c>
      <c r="Q235" s="70">
        <v>0.36791792591995054</v>
      </c>
      <c r="R235" s="70">
        <v>-0.35964373349644696</v>
      </c>
      <c r="S235" s="70">
        <v>-0.45966560488213681</v>
      </c>
      <c r="T235" s="70">
        <v>50.122097147095928</v>
      </c>
      <c r="U235" s="70"/>
      <c r="V235" s="70">
        <v>-84.599999999999937</v>
      </c>
      <c r="W235" s="70">
        <v>161.55000000000007</v>
      </c>
    </row>
    <row r="236" spans="1:23" x14ac:dyDescent="0.25">
      <c r="A236" s="68">
        <v>43865</v>
      </c>
      <c r="B236" s="70">
        <v>230.5</v>
      </c>
      <c r="C236" s="70">
        <v>228.49</v>
      </c>
      <c r="D236" s="70">
        <v>231.08</v>
      </c>
      <c r="E236" s="70">
        <v>226.65</v>
      </c>
      <c r="F236" s="70">
        <v>45.44</v>
      </c>
      <c r="G236" s="70">
        <v>1.26E-2</v>
      </c>
      <c r="H236" s="70">
        <v>236.15301282051286</v>
      </c>
      <c r="I236" s="70">
        <v>245.23611111111109</v>
      </c>
      <c r="J236" s="70">
        <v>-9.0830982905982296</v>
      </c>
      <c r="K236" s="70">
        <v>-6.4870052231718631</v>
      </c>
      <c r="L236" s="70">
        <v>-2.5960930674263665</v>
      </c>
      <c r="M236" s="70">
        <v>-2.3221168821681584</v>
      </c>
      <c r="N236" s="70">
        <v>0.2483069977426684</v>
      </c>
      <c r="O236" s="70">
        <v>0</v>
      </c>
      <c r="P236" s="70">
        <v>0.11716268519143855</v>
      </c>
      <c r="Q236" s="70">
        <v>0.36791792591995054</v>
      </c>
      <c r="R236" s="70">
        <v>-0.51693519589248438</v>
      </c>
      <c r="S236" s="70">
        <v>-0.43969669364949893</v>
      </c>
      <c r="T236" s="70">
        <v>37.420908286004284</v>
      </c>
      <c r="U236" s="70"/>
      <c r="V236" s="70">
        <v>-84.599999999999937</v>
      </c>
      <c r="W236" s="70">
        <v>161.55000000000007</v>
      </c>
    </row>
    <row r="237" spans="1:23" x14ac:dyDescent="0.25">
      <c r="A237" s="68">
        <v>43864</v>
      </c>
      <c r="B237" s="70">
        <v>227.64</v>
      </c>
      <c r="C237" s="70">
        <v>223.8</v>
      </c>
      <c r="D237" s="70">
        <v>229.98</v>
      </c>
      <c r="E237" s="70">
        <v>223.8</v>
      </c>
      <c r="F237" s="70">
        <v>54.24</v>
      </c>
      <c r="G237" s="70">
        <v>4.1000000000000003E-3</v>
      </c>
      <c r="H237" s="70">
        <v>237.46807692307692</v>
      </c>
      <c r="I237" s="70">
        <v>245.89213675213671</v>
      </c>
      <c r="J237" s="70">
        <v>-8.4240598290597859</v>
      </c>
      <c r="K237" s="70">
        <v>-5.6122079772079578</v>
      </c>
      <c r="L237" s="70">
        <v>-2.8118518518518281</v>
      </c>
      <c r="M237" s="70">
        <v>-2.2110602673679556</v>
      </c>
      <c r="N237" s="70">
        <v>0</v>
      </c>
      <c r="O237" s="70">
        <v>0.44822006472491771</v>
      </c>
      <c r="P237" s="70">
        <v>0.10683240849547244</v>
      </c>
      <c r="Q237" s="70">
        <v>0.43194936373779591</v>
      </c>
      <c r="R237" s="70">
        <v>-0.60342975950114808</v>
      </c>
      <c r="S237" s="70">
        <v>-0.4114310199858921</v>
      </c>
      <c r="T237" s="70">
        <v>24.858684204870301</v>
      </c>
      <c r="U237" s="70"/>
      <c r="V237" s="70">
        <v>-84.599999999999937</v>
      </c>
      <c r="W237" s="70">
        <v>161.55000000000007</v>
      </c>
    </row>
    <row r="238" spans="1:23" x14ac:dyDescent="0.25">
      <c r="A238" s="68">
        <v>43861</v>
      </c>
      <c r="B238" s="70">
        <v>226.7</v>
      </c>
      <c r="C238" s="70">
        <v>232.53</v>
      </c>
      <c r="D238" s="70">
        <v>233.79</v>
      </c>
      <c r="E238" s="70">
        <v>226.57</v>
      </c>
      <c r="F238" s="70">
        <v>70.290000000000006</v>
      </c>
      <c r="G238" s="70">
        <v>-2.0899999999999998E-2</v>
      </c>
      <c r="H238" s="70">
        <v>239.20051282051276</v>
      </c>
      <c r="I238" s="70">
        <v>246.7968660968661</v>
      </c>
      <c r="J238" s="70">
        <v>-7.5963532763533408</v>
      </c>
      <c r="K238" s="70">
        <v>-4.6568591326369129</v>
      </c>
      <c r="L238" s="70">
        <v>-2.9394941437164279</v>
      </c>
      <c r="M238" s="70">
        <v>-2.0737303083115135</v>
      </c>
      <c r="N238" s="70">
        <v>0</v>
      </c>
      <c r="O238" s="70">
        <v>0.39889196675900218</v>
      </c>
      <c r="P238" s="70">
        <v>0.10683240849547244</v>
      </c>
      <c r="Q238" s="70">
        <v>0.41270059128191289</v>
      </c>
      <c r="R238" s="70">
        <v>-0.58873677498349841</v>
      </c>
      <c r="S238" s="70">
        <v>-0.38085028972164658</v>
      </c>
      <c r="T238" s="70">
        <v>12.489769018995077</v>
      </c>
      <c r="U238" s="70"/>
      <c r="V238" s="70">
        <v>-84.599999999999937</v>
      </c>
      <c r="W238" s="70">
        <v>161.55000000000007</v>
      </c>
    </row>
    <row r="239" spans="1:23" x14ac:dyDescent="0.25">
      <c r="A239" s="68">
        <v>43860</v>
      </c>
      <c r="B239" s="70">
        <v>231.53</v>
      </c>
      <c r="C239" s="70">
        <v>230.71</v>
      </c>
      <c r="D239" s="70">
        <v>232.49</v>
      </c>
      <c r="E239" s="70">
        <v>229.45</v>
      </c>
      <c r="F239" s="70">
        <v>41.54</v>
      </c>
      <c r="G239" s="70">
        <v>-2E-3</v>
      </c>
      <c r="H239" s="70">
        <v>241.67820512820512</v>
      </c>
      <c r="I239" s="70">
        <v>248.1802849002849</v>
      </c>
      <c r="J239" s="70">
        <v>-6.5020797720797816</v>
      </c>
      <c r="K239" s="70">
        <v>-3.6775030072807668</v>
      </c>
      <c r="L239" s="70">
        <v>-2.8245767647990148</v>
      </c>
      <c r="M239" s="70">
        <v>-1.8792002268070602</v>
      </c>
      <c r="N239" s="70">
        <v>0</v>
      </c>
      <c r="O239" s="70">
        <v>0.60855263157895079</v>
      </c>
      <c r="P239" s="70">
        <v>0.11782141948448328</v>
      </c>
      <c r="Q239" s="70">
        <v>0.4163515455907626</v>
      </c>
      <c r="R239" s="70">
        <v>-0.55886416128196803</v>
      </c>
      <c r="S239" s="70">
        <v>-0.33981410893881842</v>
      </c>
      <c r="T239" s="70">
        <v>12.317659330233823</v>
      </c>
      <c r="U239" s="70"/>
      <c r="V239" s="70">
        <v>-84.599999999999937</v>
      </c>
      <c r="W239" s="70">
        <v>161.55000000000007</v>
      </c>
    </row>
    <row r="240" spans="1:23" x14ac:dyDescent="0.25">
      <c r="A240" s="68">
        <v>43859</v>
      </c>
      <c r="B240" s="70">
        <v>232</v>
      </c>
      <c r="C240" s="70">
        <v>236.95</v>
      </c>
      <c r="D240" s="70">
        <v>237.36</v>
      </c>
      <c r="E240" s="70">
        <v>231.3</v>
      </c>
      <c r="F240" s="70">
        <v>52.81</v>
      </c>
      <c r="G240" s="70">
        <v>-1.2800000000000001E-2</v>
      </c>
      <c r="H240" s="70">
        <v>243.05288461538464</v>
      </c>
      <c r="I240" s="70">
        <v>248.92272079772079</v>
      </c>
      <c r="J240" s="70">
        <v>-5.8698361823361438</v>
      </c>
      <c r="K240" s="70">
        <v>-2.8365984488761926</v>
      </c>
      <c r="L240" s="70">
        <v>-3.0332377334599512</v>
      </c>
      <c r="M240" s="70">
        <v>-1.7015719747172608</v>
      </c>
      <c r="N240" s="70">
        <v>0</v>
      </c>
      <c r="O240" s="70">
        <v>0</v>
      </c>
      <c r="P240" s="70">
        <v>0.11782141948448328</v>
      </c>
      <c r="Q240" s="70">
        <v>0.33431924861944023</v>
      </c>
      <c r="R240" s="70">
        <v>-0.47882848062053873</v>
      </c>
      <c r="S240" s="70">
        <v>-0.30273711305252882</v>
      </c>
      <c r="T240" s="70">
        <v>12.177427712716337</v>
      </c>
      <c r="U240" s="70"/>
      <c r="V240" s="70">
        <v>-84.599999999999937</v>
      </c>
      <c r="W240" s="70">
        <v>161.55000000000007</v>
      </c>
    </row>
    <row r="241" spans="1:23" x14ac:dyDescent="0.25">
      <c r="A241" s="68">
        <v>43858</v>
      </c>
      <c r="B241" s="70">
        <v>235</v>
      </c>
      <c r="C241" s="70">
        <v>232.6</v>
      </c>
      <c r="D241" s="70">
        <v>237.59</v>
      </c>
      <c r="E241" s="70">
        <v>229</v>
      </c>
      <c r="F241" s="70">
        <v>85.54</v>
      </c>
      <c r="G241" s="70">
        <v>1.7500000000000002E-2</v>
      </c>
      <c r="H241" s="70">
        <v>244.88942307692309</v>
      </c>
      <c r="I241" s="70">
        <v>249.83190883190878</v>
      </c>
      <c r="J241" s="70">
        <v>-4.9424857549856824</v>
      </c>
      <c r="K241" s="70">
        <v>-1.9850384615384202</v>
      </c>
      <c r="L241" s="70">
        <v>-2.9574472934472622</v>
      </c>
      <c r="M241" s="70">
        <v>-1.444376360581473</v>
      </c>
      <c r="N241" s="70">
        <v>0.25494761350407413</v>
      </c>
      <c r="O241" s="70">
        <v>0</v>
      </c>
      <c r="P241" s="70">
        <v>0.15424250712792245</v>
      </c>
      <c r="Q241" s="70">
        <v>0.34634251946624062</v>
      </c>
      <c r="R241" s="70">
        <v>-0.38375101557733671</v>
      </c>
      <c r="S241" s="70">
        <v>-0.25864784703783128</v>
      </c>
      <c r="T241" s="70">
        <v>25.107132434632575</v>
      </c>
      <c r="U241" s="70"/>
      <c r="V241" s="70">
        <v>-84.599999999999937</v>
      </c>
      <c r="W241" s="70">
        <v>161.55000000000007</v>
      </c>
    </row>
    <row r="242" spans="1:23" x14ac:dyDescent="0.25">
      <c r="A242" s="68">
        <v>43857</v>
      </c>
      <c r="B242" s="70">
        <v>230.96</v>
      </c>
      <c r="C242" s="70">
        <v>235</v>
      </c>
      <c r="D242" s="70">
        <v>235.4</v>
      </c>
      <c r="E242" s="70">
        <v>229.65</v>
      </c>
      <c r="F242" s="70">
        <v>105.33</v>
      </c>
      <c r="G242" s="70">
        <v>-2.9399999999999999E-2</v>
      </c>
      <c r="H242" s="70">
        <v>245.45955128205128</v>
      </c>
      <c r="I242" s="70">
        <v>250.13984330484328</v>
      </c>
      <c r="J242" s="70">
        <v>-4.6802920227920026</v>
      </c>
      <c r="K242" s="70">
        <v>-1.3512524533079828</v>
      </c>
      <c r="L242" s="70">
        <v>-3.3290395694840198</v>
      </c>
      <c r="M242" s="70">
        <v>-1.2446728934250231</v>
      </c>
      <c r="N242" s="70">
        <v>0</v>
      </c>
      <c r="O242" s="70">
        <v>0.97913043478260786</v>
      </c>
      <c r="P242" s="70">
        <v>0.10101168672597292</v>
      </c>
      <c r="Q242" s="70">
        <v>0.52624000255212955</v>
      </c>
      <c r="R242" s="70">
        <v>-0.67792295037985073</v>
      </c>
      <c r="S242" s="70">
        <v>-0.28274901383407974</v>
      </c>
      <c r="T242" s="70">
        <v>25.838424294658921</v>
      </c>
      <c r="U242" s="70"/>
      <c r="V242" s="70">
        <v>-84.599999999999937</v>
      </c>
      <c r="W242" s="70">
        <v>161.55000000000007</v>
      </c>
    </row>
    <row r="243" spans="1:23" x14ac:dyDescent="0.25">
      <c r="A243" s="68">
        <v>43854</v>
      </c>
      <c r="B243" s="70">
        <v>237.95</v>
      </c>
      <c r="C243" s="70">
        <v>240.12</v>
      </c>
      <c r="D243" s="70">
        <v>243.25</v>
      </c>
      <c r="E243" s="70">
        <v>235.28</v>
      </c>
      <c r="F243" s="70">
        <v>69.05</v>
      </c>
      <c r="G243" s="70">
        <v>-5.5999999999999999E-3</v>
      </c>
      <c r="H243" s="70">
        <v>248.16448717948717</v>
      </c>
      <c r="I243" s="70">
        <v>251.36346153846154</v>
      </c>
      <c r="J243" s="70">
        <v>-3.1989743589743682</v>
      </c>
      <c r="K243" s="70">
        <v>-0.47628743273185331</v>
      </c>
      <c r="L243" s="70">
        <v>-2.7226869262425151</v>
      </c>
      <c r="M243" s="70">
        <v>-0.86833387947917284</v>
      </c>
      <c r="N243" s="70">
        <v>0</v>
      </c>
      <c r="O243" s="70">
        <v>0.46800501882057594</v>
      </c>
      <c r="P243" s="70">
        <v>0.10101168672597292</v>
      </c>
      <c r="Q243" s="70">
        <v>0.38943973023445982</v>
      </c>
      <c r="R243" s="70">
        <v>-0.58808687983004815</v>
      </c>
      <c r="S243" s="70">
        <v>-0.21028754876430733</v>
      </c>
      <c r="T243" s="70">
        <v>38.185157492761405</v>
      </c>
      <c r="U243" s="70"/>
      <c r="V243" s="70">
        <v>-84.599999999999937</v>
      </c>
      <c r="W243" s="70">
        <v>161.55000000000007</v>
      </c>
    </row>
    <row r="244" spans="1:23" x14ac:dyDescent="0.25">
      <c r="A244" s="68">
        <v>43853</v>
      </c>
      <c r="B244" s="70">
        <v>239.3</v>
      </c>
      <c r="C244" s="70">
        <v>246.71</v>
      </c>
      <c r="D244" s="70">
        <v>247.66</v>
      </c>
      <c r="E244" s="70">
        <v>239.01</v>
      </c>
      <c r="F244" s="70">
        <v>73.88</v>
      </c>
      <c r="G244" s="70">
        <v>-3.5499999999999997E-2</v>
      </c>
      <c r="H244" s="70">
        <v>249.63012820512824</v>
      </c>
      <c r="I244" s="70">
        <v>251.87478632478636</v>
      </c>
      <c r="J244" s="70">
        <v>-2.2446581196581121</v>
      </c>
      <c r="K244" s="70">
        <v>0.21013263691044448</v>
      </c>
      <c r="L244" s="70">
        <v>-2.4547907565685567</v>
      </c>
      <c r="M244" s="70">
        <v>-0.57052121794001154</v>
      </c>
      <c r="N244" s="70">
        <v>0</v>
      </c>
      <c r="O244" s="70">
        <v>1.0508670520231211</v>
      </c>
      <c r="P244" s="70">
        <v>0.10101168672597292</v>
      </c>
      <c r="Q244" s="70">
        <v>0.48847306497695153</v>
      </c>
      <c r="R244" s="70">
        <v>-0.65728821166563922</v>
      </c>
      <c r="S244" s="70">
        <v>-0.18262007504372874</v>
      </c>
      <c r="T244" s="70">
        <v>37.955647333453044</v>
      </c>
      <c r="U244" s="70"/>
      <c r="V244" s="70">
        <v>-84.599999999999937</v>
      </c>
      <c r="W244" s="70">
        <v>161.55000000000007</v>
      </c>
    </row>
    <row r="245" spans="1:23" x14ac:dyDescent="0.25">
      <c r="A245" s="68">
        <v>43852</v>
      </c>
      <c r="B245" s="70">
        <v>248.1</v>
      </c>
      <c r="C245" s="70">
        <v>252.81</v>
      </c>
      <c r="D245" s="70">
        <v>253.39</v>
      </c>
      <c r="E245" s="70">
        <v>248.1</v>
      </c>
      <c r="F245" s="70">
        <v>38.89</v>
      </c>
      <c r="G245" s="70">
        <v>-1.9300000000000001E-2</v>
      </c>
      <c r="H245" s="70">
        <v>252.20032051282053</v>
      </c>
      <c r="I245" s="70">
        <v>252.92478632478631</v>
      </c>
      <c r="J245" s="70">
        <v>-0.72446581196578563</v>
      </c>
      <c r="K245" s="70">
        <v>0.94473520101300767</v>
      </c>
      <c r="L245" s="70">
        <v>-1.6692010129787933</v>
      </c>
      <c r="M245" s="70">
        <v>-0.20348626808454567</v>
      </c>
      <c r="N245" s="70">
        <v>0</v>
      </c>
      <c r="O245" s="70">
        <v>0.52551984877126756</v>
      </c>
      <c r="P245" s="70">
        <v>0.1441685298828157</v>
      </c>
      <c r="Q245" s="70">
        <v>0.34413552701637101</v>
      </c>
      <c r="R245" s="70">
        <v>-0.40951328236627715</v>
      </c>
      <c r="S245" s="70">
        <v>-6.9067259005891279E-2</v>
      </c>
      <c r="T245" s="70">
        <v>37.726073850791266</v>
      </c>
      <c r="U245" s="70"/>
      <c r="V245" s="70">
        <v>-84.599999999999937</v>
      </c>
      <c r="W245" s="70">
        <v>161.55000000000007</v>
      </c>
    </row>
    <row r="246" spans="1:23" x14ac:dyDescent="0.25">
      <c r="A246" s="68">
        <v>43851</v>
      </c>
      <c r="B246" s="70">
        <v>252.99</v>
      </c>
      <c r="C246" s="70">
        <v>253.25</v>
      </c>
      <c r="D246" s="70">
        <v>253.4</v>
      </c>
      <c r="E246" s="70">
        <v>250.88</v>
      </c>
      <c r="F246" s="70">
        <v>27.03</v>
      </c>
      <c r="G246" s="70">
        <v>-2E-3</v>
      </c>
      <c r="H246" s="70">
        <v>253.72121794871799</v>
      </c>
      <c r="I246" s="70">
        <v>253.25994301994302</v>
      </c>
      <c r="J246" s="70">
        <v>0.46127492877496934</v>
      </c>
      <c r="K246" s="70">
        <v>1.4717187401076546</v>
      </c>
      <c r="L246" s="70">
        <v>-1.0104438113326852</v>
      </c>
      <c r="M246" s="70">
        <v>7.4649955299543769E-2</v>
      </c>
      <c r="N246" s="70">
        <v>0</v>
      </c>
      <c r="O246" s="70">
        <v>0.84523809523809001</v>
      </c>
      <c r="P246" s="70">
        <v>0.15904501829690859</v>
      </c>
      <c r="Q246" s="70">
        <v>0.3551599018673719</v>
      </c>
      <c r="R246" s="70">
        <v>-0.38139441277187247</v>
      </c>
      <c r="S246" s="70">
        <v>-7.2859244532146178E-3</v>
      </c>
      <c r="T246" s="70">
        <v>37.655133508837913</v>
      </c>
      <c r="U246" s="70"/>
      <c r="V246" s="70">
        <v>-84.599999999999937</v>
      </c>
      <c r="W246" s="70">
        <v>161.55000000000007</v>
      </c>
    </row>
    <row r="247" spans="1:23" x14ac:dyDescent="0.25">
      <c r="A247" s="68">
        <v>43850</v>
      </c>
      <c r="B247" s="70">
        <v>253.5</v>
      </c>
      <c r="C247" s="70">
        <v>255.66</v>
      </c>
      <c r="D247" s="70">
        <v>256.10000000000002</v>
      </c>
      <c r="E247" s="70">
        <v>253.01</v>
      </c>
      <c r="F247" s="70">
        <v>29.97</v>
      </c>
      <c r="G247" s="70">
        <v>-7.4000000000000003E-3</v>
      </c>
      <c r="H247" s="70">
        <v>254.04012820512821</v>
      </c>
      <c r="I247" s="70">
        <v>253.08084045584042</v>
      </c>
      <c r="J247" s="70">
        <v>0.95928774928779603</v>
      </c>
      <c r="K247" s="70">
        <v>1.7507508705286732</v>
      </c>
      <c r="L247" s="70">
        <v>-0.79146312124087714</v>
      </c>
      <c r="M247" s="70">
        <v>0.25133219929802741</v>
      </c>
      <c r="N247" s="70">
        <v>0</v>
      </c>
      <c r="O247" s="70">
        <v>0.25566343042071599</v>
      </c>
      <c r="P247" s="70">
        <v>0.2204449364303509</v>
      </c>
      <c r="Q247" s="70">
        <v>0.21520496544919165</v>
      </c>
      <c r="R247" s="70">
        <v>1.2027940230336842E-2</v>
      </c>
      <c r="S247" s="70">
        <v>0.11119500086719791</v>
      </c>
      <c r="T247" s="70">
        <v>37.635020178839916</v>
      </c>
      <c r="U247" s="70"/>
      <c r="V247" s="70">
        <v>-84.599999999999937</v>
      </c>
      <c r="W247" s="70">
        <v>161.55000000000007</v>
      </c>
    </row>
    <row r="248" spans="1:23" x14ac:dyDescent="0.25">
      <c r="A248" s="68">
        <v>43847</v>
      </c>
      <c r="B248" s="70">
        <v>255.39</v>
      </c>
      <c r="C248" s="70">
        <v>254.75</v>
      </c>
      <c r="D248" s="70">
        <v>256.60000000000002</v>
      </c>
      <c r="E248" s="70">
        <v>253.8</v>
      </c>
      <c r="F248" s="70">
        <v>42.16</v>
      </c>
      <c r="G248" s="70">
        <v>4.4000000000000003E-3</v>
      </c>
      <c r="H248" s="70">
        <v>254.58544871794874</v>
      </c>
      <c r="I248" s="70">
        <v>253.04990028490025</v>
      </c>
      <c r="J248" s="70">
        <v>1.5355484330484899</v>
      </c>
      <c r="K248" s="70">
        <v>1.9891267806268016</v>
      </c>
      <c r="L248" s="70">
        <v>-0.45357834757831172</v>
      </c>
      <c r="M248" s="70">
        <v>0.40117001137515418</v>
      </c>
      <c r="N248" s="70">
        <v>0.73571428571429365</v>
      </c>
      <c r="O248" s="70">
        <v>0</v>
      </c>
      <c r="P248" s="70">
        <v>0.32554697724667858</v>
      </c>
      <c r="Q248" s="70">
        <v>0.18152912226548054</v>
      </c>
      <c r="R248" s="70">
        <v>0.28401625538997555</v>
      </c>
      <c r="S248" s="70">
        <v>0.15195846236299515</v>
      </c>
      <c r="T248" s="70">
        <v>37.592443471774168</v>
      </c>
      <c r="U248" s="70"/>
      <c r="V248" s="70">
        <v>-84.599999999999937</v>
      </c>
      <c r="W248" s="70">
        <v>161.55000000000007</v>
      </c>
    </row>
    <row r="249" spans="1:23" x14ac:dyDescent="0.25">
      <c r="A249" s="68">
        <v>43846</v>
      </c>
      <c r="B249" s="70">
        <v>254.26</v>
      </c>
      <c r="C249" s="70">
        <v>251.9</v>
      </c>
      <c r="D249" s="70">
        <v>254.54</v>
      </c>
      <c r="E249" s="70">
        <v>251.5</v>
      </c>
      <c r="F249" s="70">
        <v>38.44</v>
      </c>
      <c r="G249" s="70">
        <v>1.18E-2</v>
      </c>
      <c r="H249" s="70">
        <v>254.32064102564104</v>
      </c>
      <c r="I249" s="70">
        <v>252.69696581196578</v>
      </c>
      <c r="J249" s="70">
        <v>1.6236752136752557</v>
      </c>
      <c r="K249" s="70">
        <v>2.0679322570433771</v>
      </c>
      <c r="L249" s="70">
        <v>-0.44425704336812144</v>
      </c>
      <c r="M249" s="70">
        <v>0.47489685496524281</v>
      </c>
      <c r="N249" s="70">
        <v>0.62962962962963098</v>
      </c>
      <c r="O249" s="70">
        <v>0</v>
      </c>
      <c r="P249" s="70">
        <v>0.26188339215452056</v>
      </c>
      <c r="Q249" s="70">
        <v>0.21462962500161031</v>
      </c>
      <c r="R249" s="70">
        <v>9.9165742490991401E-2</v>
      </c>
      <c r="S249" s="70">
        <v>0.11528712920480226</v>
      </c>
      <c r="T249" s="70">
        <v>24.961365083910593</v>
      </c>
      <c r="U249" s="70"/>
      <c r="V249" s="70">
        <v>-84.599999999999937</v>
      </c>
      <c r="W249" s="70">
        <v>161.55000000000007</v>
      </c>
    </row>
    <row r="250" spans="1:23" x14ac:dyDescent="0.25">
      <c r="A250" s="68">
        <v>43845</v>
      </c>
      <c r="B250" s="70">
        <v>251.3</v>
      </c>
      <c r="C250" s="70">
        <v>249.5</v>
      </c>
      <c r="D250" s="70">
        <v>252.5</v>
      </c>
      <c r="E250" s="70">
        <v>247.75</v>
      </c>
      <c r="F250" s="70">
        <v>43.98</v>
      </c>
      <c r="G250" s="70">
        <v>5.1999999999999998E-3</v>
      </c>
      <c r="H250" s="70">
        <v>253.79403846153843</v>
      </c>
      <c r="I250" s="70">
        <v>252.19636752136748</v>
      </c>
      <c r="J250" s="70">
        <v>1.597670940170957</v>
      </c>
      <c r="K250" s="70">
        <v>2.0501267806267793</v>
      </c>
      <c r="L250" s="70">
        <v>-0.45245584045582232</v>
      </c>
      <c r="M250" s="70">
        <v>0.55730607474198091</v>
      </c>
      <c r="N250" s="70">
        <v>0</v>
      </c>
      <c r="O250" s="70">
        <v>0.26315789473684209</v>
      </c>
      <c r="P250" s="70">
        <v>0.17839168257585417</v>
      </c>
      <c r="Q250" s="70">
        <v>0.25222360996401633</v>
      </c>
      <c r="R250" s="70">
        <v>-0.17145681694833467</v>
      </c>
      <c r="S250" s="70">
        <v>0.11353681694989154</v>
      </c>
      <c r="T250" s="70">
        <v>25.136568954391635</v>
      </c>
      <c r="U250" s="70"/>
      <c r="V250" s="70">
        <v>-84.599999999999937</v>
      </c>
      <c r="W250" s="70">
        <v>161.55000000000007</v>
      </c>
    </row>
    <row r="251" spans="1:23" x14ac:dyDescent="0.25">
      <c r="A251" s="68">
        <v>43844</v>
      </c>
      <c r="B251" s="70">
        <v>250</v>
      </c>
      <c r="C251" s="70">
        <v>252</v>
      </c>
      <c r="D251" s="70">
        <v>253.2</v>
      </c>
      <c r="E251" s="70">
        <v>249</v>
      </c>
      <c r="F251" s="70">
        <v>32.94</v>
      </c>
      <c r="G251" s="70">
        <v>-6.0000000000000001E-3</v>
      </c>
      <c r="H251" s="70">
        <v>253.84576923076924</v>
      </c>
      <c r="I251" s="70">
        <v>252.01566951566946</v>
      </c>
      <c r="J251" s="70">
        <v>1.8300997150997773</v>
      </c>
      <c r="K251" s="70">
        <v>2.0682086103197257</v>
      </c>
      <c r="L251" s="70">
        <v>-0.23810889521994838</v>
      </c>
      <c r="M251" s="70">
        <v>0.67828220086340996</v>
      </c>
      <c r="N251" s="70">
        <v>0.16666666666666441</v>
      </c>
      <c r="O251" s="70">
        <v>0</v>
      </c>
      <c r="P251" s="70">
        <v>0.20220120638537764</v>
      </c>
      <c r="Q251" s="70">
        <v>0.21517264137270528</v>
      </c>
      <c r="R251" s="70">
        <v>-3.1078696130587717E-2</v>
      </c>
      <c r="S251" s="70">
        <v>0.15572839264078023</v>
      </c>
      <c r="T251" s="70">
        <v>12.725959483296563</v>
      </c>
      <c r="U251" s="70"/>
      <c r="V251" s="70">
        <v>-84.599999999999937</v>
      </c>
      <c r="W251" s="70">
        <v>161.55000000000007</v>
      </c>
    </row>
    <row r="252" spans="1:23" x14ac:dyDescent="0.25">
      <c r="A252" s="68">
        <v>43843</v>
      </c>
      <c r="B252" s="70">
        <v>251.5</v>
      </c>
      <c r="C252" s="70">
        <v>252.5</v>
      </c>
      <c r="D252" s="70">
        <v>252.5</v>
      </c>
      <c r="E252" s="70">
        <v>248.4</v>
      </c>
      <c r="F252" s="70">
        <v>41.35</v>
      </c>
      <c r="G252" s="70">
        <v>-1.6000000000000001E-3</v>
      </c>
      <c r="H252" s="70">
        <v>254.42910256410255</v>
      </c>
      <c r="I252" s="70">
        <v>252.05306267806264</v>
      </c>
      <c r="J252" s="70">
        <v>2.376039886039905</v>
      </c>
      <c r="K252" s="70">
        <v>2.0544893953782686</v>
      </c>
      <c r="L252" s="70">
        <v>0.32155049066163643</v>
      </c>
      <c r="M252" s="70">
        <v>0.83224358104700258</v>
      </c>
      <c r="N252" s="70">
        <v>0</v>
      </c>
      <c r="O252" s="70">
        <v>0.68292682926828951</v>
      </c>
      <c r="P252" s="70">
        <v>0.22188101177946912</v>
      </c>
      <c r="Q252" s="70">
        <v>0.31273361698246094</v>
      </c>
      <c r="R252" s="70">
        <v>-0.16994036510633817</v>
      </c>
      <c r="S252" s="70">
        <v>0.17644915048618107</v>
      </c>
      <c r="T252" s="70">
        <v>25.270770496298326</v>
      </c>
      <c r="U252" s="70"/>
      <c r="V252" s="70">
        <v>-84.599999999999937</v>
      </c>
      <c r="W252" s="70">
        <v>161.55000000000007</v>
      </c>
    </row>
    <row r="253" spans="1:23" x14ac:dyDescent="0.25">
      <c r="A253" s="68">
        <v>43840</v>
      </c>
      <c r="B253" s="70">
        <v>251.9</v>
      </c>
      <c r="C253" s="70">
        <v>254</v>
      </c>
      <c r="D253" s="70">
        <v>254.6</v>
      </c>
      <c r="E253" s="70">
        <v>251.2</v>
      </c>
      <c r="F253" s="70">
        <v>28.57</v>
      </c>
      <c r="G253" s="70">
        <v>-8.5000000000000006E-3</v>
      </c>
      <c r="H253" s="70">
        <v>254.7726923076923</v>
      </c>
      <c r="I253" s="70">
        <v>252.17350427350431</v>
      </c>
      <c r="J253" s="70">
        <v>2.5991880341879892</v>
      </c>
      <c r="K253" s="70">
        <v>1.895838239949319</v>
      </c>
      <c r="L253" s="70">
        <v>0.70334979423867017</v>
      </c>
      <c r="M253" s="70">
        <v>0.90904846783478654</v>
      </c>
      <c r="N253" s="70">
        <v>0</v>
      </c>
      <c r="O253" s="70">
        <v>0.18235294117647163</v>
      </c>
      <c r="P253" s="70">
        <v>0.22188101177946912</v>
      </c>
      <c r="Q253" s="70">
        <v>0.2291619519186873</v>
      </c>
      <c r="R253" s="70">
        <v>-1.6142453657897377E-2</v>
      </c>
      <c r="S253" s="70">
        <v>0.1911902662128579</v>
      </c>
      <c r="T253" s="70">
        <v>37.664554114586387</v>
      </c>
      <c r="U253" s="70"/>
      <c r="V253" s="70">
        <v>-84.599999999999937</v>
      </c>
      <c r="W253" s="70">
        <v>161.55000000000007</v>
      </c>
    </row>
    <row r="254" spans="1:23" x14ac:dyDescent="0.25">
      <c r="A254" s="68">
        <v>43839</v>
      </c>
      <c r="B254" s="70">
        <v>254.07</v>
      </c>
      <c r="C254" s="70">
        <v>255.69</v>
      </c>
      <c r="D254" s="70">
        <v>256.68</v>
      </c>
      <c r="E254" s="70">
        <v>251.82</v>
      </c>
      <c r="F254" s="70">
        <v>33.22</v>
      </c>
      <c r="G254" s="70">
        <v>-6.7000000000000002E-3</v>
      </c>
      <c r="H254" s="70">
        <v>255.07128205128203</v>
      </c>
      <c r="I254" s="70">
        <v>252.53509971509973</v>
      </c>
      <c r="J254" s="70">
        <v>2.5361823361822928</v>
      </c>
      <c r="K254" s="70">
        <v>1.65967711301042</v>
      </c>
      <c r="L254" s="70">
        <v>0.87650522317187285</v>
      </c>
      <c r="M254" s="70">
        <v>0.92743675318033292</v>
      </c>
      <c r="N254" s="70">
        <v>0</v>
      </c>
      <c r="O254" s="70">
        <v>0.6069958847736644</v>
      </c>
      <c r="P254" s="70">
        <v>0.22188101177946912</v>
      </c>
      <c r="Q254" s="70">
        <v>0.27780195872862878</v>
      </c>
      <c r="R254" s="70">
        <v>-0.11191285324832459</v>
      </c>
      <c r="S254" s="70">
        <v>0.19136877721824919</v>
      </c>
      <c r="T254" s="70">
        <v>37.63970541521892</v>
      </c>
      <c r="U254" s="70"/>
      <c r="V254" s="70">
        <v>-84.599999999999937</v>
      </c>
      <c r="W254" s="70">
        <v>161.55000000000007</v>
      </c>
    </row>
    <row r="255" spans="1:23" x14ac:dyDescent="0.25">
      <c r="A255" s="68">
        <v>43838</v>
      </c>
      <c r="B255" s="70">
        <v>255.79</v>
      </c>
      <c r="C255" s="70">
        <v>256.25</v>
      </c>
      <c r="D255" s="70">
        <v>257.32</v>
      </c>
      <c r="E255" s="70">
        <v>254.77</v>
      </c>
      <c r="F255" s="70">
        <v>25.61</v>
      </c>
      <c r="G255" s="70">
        <v>-3.0000000000000001E-3</v>
      </c>
      <c r="H255" s="70">
        <v>255.13987179487179</v>
      </c>
      <c r="I255" s="70">
        <v>252.66001424501422</v>
      </c>
      <c r="J255" s="70">
        <v>2.4798575498575701</v>
      </c>
      <c r="K255" s="70">
        <v>1.4148528015194568</v>
      </c>
      <c r="L255" s="70">
        <v>1.0650047483381133</v>
      </c>
      <c r="M255" s="70">
        <v>0.95147367542239025</v>
      </c>
      <c r="N255" s="70">
        <v>0</v>
      </c>
      <c r="O255" s="70">
        <v>1.1764705882353465E-2</v>
      </c>
      <c r="P255" s="70">
        <v>0.24216841668225897</v>
      </c>
      <c r="Q255" s="70">
        <v>0.15274722648435377</v>
      </c>
      <c r="R255" s="70">
        <v>0.22643111698712551</v>
      </c>
      <c r="S255" s="70">
        <v>0.27201649334331485</v>
      </c>
      <c r="T255" s="70">
        <v>37.624995725598055</v>
      </c>
      <c r="U255" s="70"/>
      <c r="V255" s="70">
        <v>-84.599999999999937</v>
      </c>
      <c r="W255" s="70">
        <v>161.55000000000007</v>
      </c>
    </row>
    <row r="256" spans="1:23" x14ac:dyDescent="0.25">
      <c r="A256" s="68">
        <v>43836</v>
      </c>
      <c r="B256" s="70">
        <v>256.55</v>
      </c>
      <c r="C256" s="70">
        <v>259</v>
      </c>
      <c r="D256" s="70">
        <v>259</v>
      </c>
      <c r="E256" s="70">
        <v>254.8</v>
      </c>
      <c r="F256" s="70">
        <v>28.15</v>
      </c>
      <c r="G256" s="70">
        <v>-9.4999999999999998E-3</v>
      </c>
      <c r="H256" s="70">
        <v>254.99307692307696</v>
      </c>
      <c r="I256" s="70">
        <v>252.64864672364678</v>
      </c>
      <c r="J256" s="70">
        <v>2.3444301994301782</v>
      </c>
      <c r="K256" s="70">
        <v>1.1307334599556562</v>
      </c>
      <c r="L256" s="70">
        <v>1.2136967394745219</v>
      </c>
      <c r="M256" s="70">
        <v>0.96916659535461713</v>
      </c>
      <c r="N256" s="70">
        <v>0</v>
      </c>
      <c r="O256" s="70">
        <v>0.70714285714285197</v>
      </c>
      <c r="P256" s="70">
        <v>0.24216841668225897</v>
      </c>
      <c r="Q256" s="70">
        <v>0.25131126748536875</v>
      </c>
      <c r="R256" s="70">
        <v>-1.8527309424158766E-2</v>
      </c>
      <c r="S256" s="70">
        <v>0.23267404108251577</v>
      </c>
      <c r="T256" s="70">
        <v>37.63952147311219</v>
      </c>
      <c r="U256" s="70"/>
      <c r="V256" s="70">
        <v>-84.599999999999937</v>
      </c>
      <c r="W256" s="70">
        <v>161.55000000000007</v>
      </c>
    </row>
    <row r="257" spans="1:23" x14ac:dyDescent="0.25">
      <c r="A257" s="68">
        <v>43833</v>
      </c>
      <c r="B257" s="70">
        <v>259</v>
      </c>
      <c r="C257" s="70">
        <v>259.18</v>
      </c>
      <c r="D257" s="70">
        <v>261.89999999999998</v>
      </c>
      <c r="E257" s="70">
        <v>257.77</v>
      </c>
      <c r="F257" s="70">
        <v>34.479999999999997</v>
      </c>
      <c r="G257" s="70">
        <v>1.01E-2</v>
      </c>
      <c r="H257" s="70">
        <v>254.96314102564105</v>
      </c>
      <c r="I257" s="70">
        <v>252.73931623931631</v>
      </c>
      <c r="J257" s="70">
        <v>2.2238247863247409</v>
      </c>
      <c r="K257" s="70">
        <v>0.81402991452988738</v>
      </c>
      <c r="L257" s="70">
        <v>1.4097948717948534</v>
      </c>
      <c r="M257" s="70">
        <v>0.97481237281235422</v>
      </c>
      <c r="N257" s="70">
        <v>0.65454545454544832</v>
      </c>
      <c r="O257" s="70">
        <v>0</v>
      </c>
      <c r="P257" s="70">
        <v>0.33567491018875156</v>
      </c>
      <c r="Q257" s="70">
        <v>0.10366605555444357</v>
      </c>
      <c r="R257" s="70">
        <v>0.52808381809294436</v>
      </c>
      <c r="S257" s="70">
        <v>0.32256405870673582</v>
      </c>
      <c r="T257" s="70">
        <v>50.151327723532326</v>
      </c>
      <c r="U257" s="70"/>
      <c r="V257" s="70">
        <v>-84.599999999999937</v>
      </c>
      <c r="W257" s="70">
        <v>161.55000000000007</v>
      </c>
    </row>
    <row r="258" spans="1:23" x14ac:dyDescent="0.25">
      <c r="A258" s="68">
        <v>43829</v>
      </c>
      <c r="B258" s="70">
        <v>256.39999999999998</v>
      </c>
      <c r="C258" s="70">
        <v>257.10000000000002</v>
      </c>
      <c r="D258" s="70">
        <v>258.3</v>
      </c>
      <c r="E258" s="70">
        <v>254.71</v>
      </c>
      <c r="F258" s="70">
        <v>23.5</v>
      </c>
      <c r="G258" s="70">
        <v>-2.8E-3</v>
      </c>
      <c r="H258" s="70">
        <v>253.89326923076925</v>
      </c>
      <c r="I258" s="70">
        <v>252.41139601139605</v>
      </c>
      <c r="J258" s="70">
        <v>1.4818732193731989</v>
      </c>
      <c r="K258" s="70">
        <v>0.35998211459320195</v>
      </c>
      <c r="L258" s="70">
        <v>1.1218911047799969</v>
      </c>
      <c r="M258" s="70">
        <v>0.88632932942333431</v>
      </c>
      <c r="N258" s="70">
        <v>0.22562674094707563</v>
      </c>
      <c r="O258" s="70">
        <v>0</v>
      </c>
      <c r="P258" s="70">
        <v>0.28501805984698547</v>
      </c>
      <c r="Q258" s="70">
        <v>0.10366605555444357</v>
      </c>
      <c r="R258" s="70">
        <v>0.46657940756144189</v>
      </c>
      <c r="S258" s="70">
        <v>0.30621033009014026</v>
      </c>
      <c r="T258" s="70">
        <v>49.965400980550932</v>
      </c>
      <c r="U258" s="70"/>
      <c r="V258" s="70">
        <v>-84.599999999999937</v>
      </c>
      <c r="W258" s="70">
        <v>161.55000000000007</v>
      </c>
    </row>
    <row r="259" spans="1:23" x14ac:dyDescent="0.25">
      <c r="A259" s="68">
        <v>43826</v>
      </c>
      <c r="B259" s="70">
        <v>257.11</v>
      </c>
      <c r="C259" s="70">
        <v>254.31</v>
      </c>
      <c r="D259" s="70">
        <v>257.49</v>
      </c>
      <c r="E259" s="70">
        <v>254</v>
      </c>
      <c r="F259" s="70">
        <v>24.23</v>
      </c>
      <c r="G259" s="70">
        <v>1.18E-2</v>
      </c>
      <c r="H259" s="70">
        <v>253.5850641025641</v>
      </c>
      <c r="I259" s="70">
        <v>252.30693732193734</v>
      </c>
      <c r="J259" s="70">
        <v>1.2781267806267635</v>
      </c>
      <c r="K259" s="70">
        <v>8.3348053181365178E-2</v>
      </c>
      <c r="L259" s="70">
        <v>1.1947787274453985</v>
      </c>
      <c r="M259" s="70">
        <v>0.84110368074469821</v>
      </c>
      <c r="N259" s="70">
        <v>0.931232091690542</v>
      </c>
      <c r="O259" s="70">
        <v>0</v>
      </c>
      <c r="P259" s="70">
        <v>0.37094233582481639</v>
      </c>
      <c r="Q259" s="70">
        <v>0.10366605555444357</v>
      </c>
      <c r="R259" s="70">
        <v>0.56315118974959744</v>
      </c>
      <c r="S259" s="70">
        <v>0.29181039946954451</v>
      </c>
      <c r="T259" s="70">
        <v>50.091020014563199</v>
      </c>
      <c r="U259" s="70"/>
      <c r="V259" s="70">
        <v>-84.599999999999937</v>
      </c>
      <c r="W259" s="70">
        <v>161.55000000000007</v>
      </c>
    </row>
    <row r="260" spans="1:23" x14ac:dyDescent="0.25">
      <c r="A260" s="68">
        <v>43825</v>
      </c>
      <c r="B260" s="70">
        <v>254.1</v>
      </c>
      <c r="C260" s="70">
        <v>253.31</v>
      </c>
      <c r="D260" s="70">
        <v>254.24</v>
      </c>
      <c r="E260" s="70">
        <v>252.5</v>
      </c>
      <c r="F260" s="70">
        <v>10.88</v>
      </c>
      <c r="G260" s="70">
        <v>3.3999999999999998E-3</v>
      </c>
      <c r="H260" s="70">
        <v>252.43307692307692</v>
      </c>
      <c r="I260" s="70">
        <v>251.98568376068383</v>
      </c>
      <c r="J260" s="70">
        <v>0.44739316239309801</v>
      </c>
      <c r="K260" s="70">
        <v>-0.30160018993355686</v>
      </c>
      <c r="L260" s="70">
        <v>0.74899335232665487</v>
      </c>
      <c r="M260" s="70">
        <v>0.71490600377778513</v>
      </c>
      <c r="N260" s="70">
        <v>0</v>
      </c>
      <c r="O260" s="70">
        <v>0.29885057471264798</v>
      </c>
      <c r="P260" s="70">
        <v>0.17650926173558235</v>
      </c>
      <c r="Q260" s="70">
        <v>0.16261670968695952</v>
      </c>
      <c r="R260" s="70">
        <v>4.0965756737377935E-2</v>
      </c>
      <c r="S260" s="70">
        <v>0.17466144858540877</v>
      </c>
      <c r="T260" s="70">
        <v>49.966460497371095</v>
      </c>
      <c r="U260" s="70"/>
      <c r="V260" s="70">
        <v>-84.599999999999937</v>
      </c>
      <c r="W260" s="70">
        <v>161.55000000000007</v>
      </c>
    </row>
    <row r="261" spans="1:23" x14ac:dyDescent="0.25">
      <c r="A261" s="68">
        <v>43824</v>
      </c>
      <c r="B261" s="70">
        <v>253.25</v>
      </c>
      <c r="C261" s="70">
        <v>255</v>
      </c>
      <c r="D261" s="70">
        <v>255.49</v>
      </c>
      <c r="E261" s="70">
        <v>253.02</v>
      </c>
      <c r="F261" s="70">
        <v>12.31</v>
      </c>
      <c r="G261" s="70">
        <v>-6.4000000000000003E-3</v>
      </c>
      <c r="H261" s="70">
        <v>251.79461538461538</v>
      </c>
      <c r="I261" s="70">
        <v>251.70548433048435</v>
      </c>
      <c r="J261" s="70">
        <v>8.9131054131030396E-2</v>
      </c>
      <c r="K261" s="70">
        <v>-0.55528490028492195</v>
      </c>
      <c r="L261" s="70">
        <v>0.64441595441595234</v>
      </c>
      <c r="M261" s="70">
        <v>0.65617872535820831</v>
      </c>
      <c r="N261" s="70">
        <v>0</v>
      </c>
      <c r="O261" s="70">
        <v>0.50202429149796812</v>
      </c>
      <c r="P261" s="70">
        <v>0.22256958439164973</v>
      </c>
      <c r="Q261" s="70">
        <v>0.17193709287303946</v>
      </c>
      <c r="R261" s="70">
        <v>0.12834381377184917</v>
      </c>
      <c r="S261" s="70">
        <v>0.21129629328301389</v>
      </c>
      <c r="T261" s="70">
        <v>49.884395348147855</v>
      </c>
      <c r="U261" s="70"/>
      <c r="V261" s="70">
        <v>-84.599999999999937</v>
      </c>
      <c r="W261" s="70">
        <v>161.55000000000007</v>
      </c>
    </row>
    <row r="262" spans="1:23" x14ac:dyDescent="0.25">
      <c r="A262" s="68">
        <v>43823</v>
      </c>
      <c r="B262" s="70">
        <v>254.87</v>
      </c>
      <c r="C262" s="70">
        <v>255.61</v>
      </c>
      <c r="D262" s="70">
        <v>257.70999999999998</v>
      </c>
      <c r="E262" s="70">
        <v>254.26</v>
      </c>
      <c r="F262" s="70">
        <v>22.78</v>
      </c>
      <c r="G262" s="70">
        <v>-5.0000000000000001E-4</v>
      </c>
      <c r="H262" s="70">
        <v>251.72301282051285</v>
      </c>
      <c r="I262" s="70">
        <v>251.63887464387466</v>
      </c>
      <c r="J262" s="70">
        <v>8.4138176638191453E-2</v>
      </c>
      <c r="K262" s="70">
        <v>-0.73924200696423492</v>
      </c>
      <c r="L262" s="70">
        <v>0.82338018360242637</v>
      </c>
      <c r="M262" s="70">
        <v>0.62692233945225473</v>
      </c>
      <c r="N262" s="70">
        <v>0.72753623188405769</v>
      </c>
      <c r="O262" s="70">
        <v>0</v>
      </c>
      <c r="P262" s="70">
        <v>0.32650333180365798</v>
      </c>
      <c r="Q262" s="70">
        <v>6.7118834208628533E-2</v>
      </c>
      <c r="R262" s="70">
        <v>0.65896821874338507</v>
      </c>
      <c r="S262" s="70">
        <v>0.29103543723444958</v>
      </c>
      <c r="T262" s="70">
        <v>49.976984641579101</v>
      </c>
      <c r="U262" s="70"/>
      <c r="V262" s="70">
        <v>-84.599999999999937</v>
      </c>
      <c r="W262" s="70">
        <v>161.55000000000007</v>
      </c>
    </row>
    <row r="263" spans="1:23" x14ac:dyDescent="0.25">
      <c r="A263" s="68">
        <v>43822</v>
      </c>
      <c r="B263" s="70">
        <v>255</v>
      </c>
      <c r="C263" s="70">
        <v>251.5</v>
      </c>
      <c r="D263" s="70">
        <v>255.2</v>
      </c>
      <c r="E263" s="70">
        <v>251.11</v>
      </c>
      <c r="F263" s="70">
        <v>38.33</v>
      </c>
      <c r="G263" s="70">
        <v>-2E-3</v>
      </c>
      <c r="H263" s="70">
        <v>251.24660256410255</v>
      </c>
      <c r="I263" s="70">
        <v>251.33796296296296</v>
      </c>
      <c r="J263" s="70">
        <v>-9.1360398860416581E-2</v>
      </c>
      <c r="K263" s="70">
        <v>-1.0092907565685392</v>
      </c>
      <c r="L263" s="70">
        <v>0.91793035770812259</v>
      </c>
      <c r="M263" s="70">
        <v>0.51695297232048654</v>
      </c>
      <c r="N263" s="70">
        <v>0</v>
      </c>
      <c r="O263" s="70">
        <v>0.27139364303178287</v>
      </c>
      <c r="P263" s="70">
        <v>0.17460016250918442</v>
      </c>
      <c r="Q263" s="70">
        <v>0.12532380807257712</v>
      </c>
      <c r="R263" s="70">
        <v>0.1642961525916922</v>
      </c>
      <c r="S263" s="70">
        <v>0.17500206222623138</v>
      </c>
      <c r="T263" s="70">
        <v>62.510416666666664</v>
      </c>
      <c r="U263" s="70"/>
      <c r="V263" s="70">
        <v>-84.599999999999937</v>
      </c>
      <c r="W263" s="70">
        <v>161.55000000000007</v>
      </c>
    </row>
    <row r="264" spans="1:23" x14ac:dyDescent="0.25">
      <c r="A264" s="68">
        <v>43819</v>
      </c>
      <c r="B264" s="70">
        <v>255.5</v>
      </c>
      <c r="C264" s="70">
        <v>252.75</v>
      </c>
      <c r="D264" s="70">
        <v>256.58</v>
      </c>
      <c r="E264" s="70">
        <v>252.22</v>
      </c>
      <c r="F264" s="70">
        <v>60.31</v>
      </c>
      <c r="G264" s="70">
        <v>1.6299999999999999E-2</v>
      </c>
      <c r="H264" s="70">
        <v>250.71429487179483</v>
      </c>
      <c r="I264" s="70">
        <v>251.12606837606839</v>
      </c>
      <c r="J264" s="70">
        <v>-0.41177350427355464</v>
      </c>
      <c r="K264" s="70">
        <v>-1.2961502057613259</v>
      </c>
      <c r="L264" s="70">
        <v>0.88437670148777126</v>
      </c>
      <c r="M264" s="70">
        <v>0.34721505971077538</v>
      </c>
      <c r="N264" s="70">
        <v>0.82625482625482438</v>
      </c>
      <c r="O264" s="70">
        <v>0</v>
      </c>
      <c r="P264" s="70">
        <v>0.29263656625987361</v>
      </c>
      <c r="Q264" s="70">
        <v>7.68416663027187E-2</v>
      </c>
      <c r="R264" s="70">
        <v>0.58405308063878336</v>
      </c>
      <c r="S264" s="70">
        <v>0.23176777153251352</v>
      </c>
      <c r="T264" s="70">
        <v>75.064481113755647</v>
      </c>
      <c r="U264" s="70"/>
      <c r="V264" s="70">
        <v>-84.599999999999937</v>
      </c>
      <c r="W264" s="70">
        <v>161.55000000000007</v>
      </c>
    </row>
    <row r="265" spans="1:23" x14ac:dyDescent="0.25">
      <c r="A265" s="68">
        <v>43818</v>
      </c>
      <c r="B265" s="70">
        <v>251.4</v>
      </c>
      <c r="C265" s="70">
        <v>250.96</v>
      </c>
      <c r="D265" s="70">
        <v>252.3</v>
      </c>
      <c r="E265" s="70">
        <v>249.4</v>
      </c>
      <c r="F265" s="70">
        <v>37.39</v>
      </c>
      <c r="G265" s="70">
        <v>4.0000000000000002E-4</v>
      </c>
      <c r="H265" s="70">
        <v>249.62025641025642</v>
      </c>
      <c r="I265" s="70">
        <v>250.5673789173789</v>
      </c>
      <c r="J265" s="70">
        <v>-0.94712250712248647</v>
      </c>
      <c r="K265" s="70">
        <v>-1.6063152896486077</v>
      </c>
      <c r="L265" s="70">
        <v>0.65919278252612123</v>
      </c>
      <c r="M265" s="70">
        <v>9.4860377988582573E-2</v>
      </c>
      <c r="N265" s="70">
        <v>0</v>
      </c>
      <c r="O265" s="70">
        <v>0.49999999999999512</v>
      </c>
      <c r="P265" s="70">
        <v>0.12012182231655864</v>
      </c>
      <c r="Q265" s="70">
        <v>0.21336259218534626</v>
      </c>
      <c r="R265" s="70">
        <v>-0.27959558472336044</v>
      </c>
      <c r="S265" s="70">
        <v>5.679625859568211E-2</v>
      </c>
      <c r="T265" s="70">
        <v>62.610639383119803</v>
      </c>
      <c r="U265" s="70"/>
      <c r="V265" s="70">
        <v>-84.599999999999937</v>
      </c>
      <c r="W265" s="70">
        <v>161.55000000000007</v>
      </c>
    </row>
    <row r="266" spans="1:23" x14ac:dyDescent="0.25">
      <c r="A266" s="68">
        <v>43817</v>
      </c>
      <c r="B266" s="70">
        <v>251.29</v>
      </c>
      <c r="C266" s="70">
        <v>252</v>
      </c>
      <c r="D266" s="70">
        <v>252.71</v>
      </c>
      <c r="E266" s="70">
        <v>250.85</v>
      </c>
      <c r="F266" s="70">
        <v>29.21</v>
      </c>
      <c r="G266" s="70">
        <v>-3.0000000000000001E-3</v>
      </c>
      <c r="H266" s="70">
        <v>249.3586538461538</v>
      </c>
      <c r="I266" s="70">
        <v>250.5734757834758</v>
      </c>
      <c r="J266" s="70">
        <v>-1.2148219373220002</v>
      </c>
      <c r="K266" s="70">
        <v>-1.8218906299461859</v>
      </c>
      <c r="L266" s="70">
        <v>0.60706869262418572</v>
      </c>
      <c r="M266" s="70">
        <v>-0.14819261207296464</v>
      </c>
      <c r="N266" s="70">
        <v>0</v>
      </c>
      <c r="O266" s="70">
        <v>0</v>
      </c>
      <c r="P266" s="70">
        <v>0.16144520481641159</v>
      </c>
      <c r="Q266" s="70">
        <v>0.10896698778974288</v>
      </c>
      <c r="R266" s="70">
        <v>0.19406749570312948</v>
      </c>
      <c r="S266" s="70">
        <v>0.17586895998231294</v>
      </c>
      <c r="T266" s="70">
        <v>62.5600889316188</v>
      </c>
      <c r="U266" s="70"/>
      <c r="V266" s="70">
        <v>-84.599999999999937</v>
      </c>
      <c r="W266" s="70">
        <v>161.55000000000007</v>
      </c>
    </row>
    <row r="267" spans="1:23" x14ac:dyDescent="0.25">
      <c r="A267" s="68">
        <v>43816</v>
      </c>
      <c r="B267" s="70">
        <v>252.05</v>
      </c>
      <c r="C267" s="70">
        <v>251.23</v>
      </c>
      <c r="D267" s="70">
        <v>252.86</v>
      </c>
      <c r="E267" s="70">
        <v>250.8</v>
      </c>
      <c r="F267" s="70">
        <v>31.64</v>
      </c>
      <c r="G267" s="70">
        <v>5.1000000000000004E-3</v>
      </c>
      <c r="H267" s="70">
        <v>249.6701923076923</v>
      </c>
      <c r="I267" s="70">
        <v>250.84202279202279</v>
      </c>
      <c r="J267" s="70">
        <v>-1.171830484330485</v>
      </c>
      <c r="K267" s="70">
        <v>-2.0044800569800421</v>
      </c>
      <c r="L267" s="70">
        <v>0.83264957264955708</v>
      </c>
      <c r="M267" s="70">
        <v>-0.40227999540820331</v>
      </c>
      <c r="N267" s="70">
        <v>0.30769230769231293</v>
      </c>
      <c r="O267" s="70">
        <v>0</v>
      </c>
      <c r="P267" s="70">
        <v>0.24150247149339743</v>
      </c>
      <c r="Q267" s="70">
        <v>0.10896698778974288</v>
      </c>
      <c r="R267" s="70">
        <v>0.37816557247169608</v>
      </c>
      <c r="S267" s="70">
        <v>0.20124984074088823</v>
      </c>
      <c r="T267" s="70">
        <v>75.100071228643955</v>
      </c>
      <c r="U267" s="70"/>
      <c r="V267" s="70">
        <v>-84.599999999999937</v>
      </c>
      <c r="W267" s="70">
        <v>161.55000000000007</v>
      </c>
    </row>
    <row r="268" spans="1:23" x14ac:dyDescent="0.25">
      <c r="A268" s="68">
        <v>43815</v>
      </c>
      <c r="B268" s="70">
        <v>250.78</v>
      </c>
      <c r="C268" s="70">
        <v>249.6</v>
      </c>
      <c r="D268" s="70">
        <v>252.22</v>
      </c>
      <c r="E268" s="70">
        <v>249.2</v>
      </c>
      <c r="F268" s="70">
        <v>29.62</v>
      </c>
      <c r="G268" s="70">
        <v>5.1000000000000004E-3</v>
      </c>
      <c r="H268" s="70">
        <v>249.86192307692303</v>
      </c>
      <c r="I268" s="70">
        <v>251.0453133903134</v>
      </c>
      <c r="J268" s="70">
        <v>-1.1833903133903618</v>
      </c>
      <c r="K268" s="70">
        <v>-2.194571699905028</v>
      </c>
      <c r="L268" s="70">
        <v>1.0111813865146662</v>
      </c>
      <c r="M268" s="70">
        <v>-0.74771365955982116</v>
      </c>
      <c r="N268" s="70">
        <v>0</v>
      </c>
      <c r="O268" s="70">
        <v>0</v>
      </c>
      <c r="P268" s="70">
        <v>0.17725902263456286</v>
      </c>
      <c r="Q268" s="70">
        <v>0.12823343562761932</v>
      </c>
      <c r="R268" s="70">
        <v>0.16048051492278873</v>
      </c>
      <c r="S268" s="70">
        <v>0.11774443812064876</v>
      </c>
      <c r="T268" s="70">
        <v>62.635759523917329</v>
      </c>
      <c r="U268" s="70"/>
      <c r="V268" s="70">
        <v>-84.599999999999937</v>
      </c>
      <c r="W268" s="70">
        <v>161.55000000000007</v>
      </c>
    </row>
    <row r="269" spans="1:23" x14ac:dyDescent="0.25">
      <c r="A269" s="68">
        <v>43812</v>
      </c>
      <c r="B269" s="70">
        <v>249.5</v>
      </c>
      <c r="C269" s="70">
        <v>251.11</v>
      </c>
      <c r="D269" s="70">
        <v>252.48</v>
      </c>
      <c r="E269" s="70">
        <v>248.8</v>
      </c>
      <c r="F269" s="70">
        <v>41.8</v>
      </c>
      <c r="G269" s="70">
        <v>-3.8999999999999998E-3</v>
      </c>
      <c r="H269" s="70">
        <v>249.89205128205131</v>
      </c>
      <c r="I269" s="70">
        <v>251.49252136752142</v>
      </c>
      <c r="J269" s="70">
        <v>-1.6004700854701071</v>
      </c>
      <c r="K269" s="70">
        <v>-2.4749151630262562</v>
      </c>
      <c r="L269" s="70">
        <v>0.8744450775561492</v>
      </c>
      <c r="M269" s="70">
        <v>-1.1882570711972453</v>
      </c>
      <c r="N269" s="70">
        <v>0</v>
      </c>
      <c r="O269" s="70">
        <v>0</v>
      </c>
      <c r="P269" s="70">
        <v>0.17725902263456286</v>
      </c>
      <c r="Q269" s="70">
        <v>0.12823343562761932</v>
      </c>
      <c r="R269" s="70">
        <v>0.16048051492278873</v>
      </c>
      <c r="S269" s="70">
        <v>8.0585876020805136E-2</v>
      </c>
      <c r="T269" s="70">
        <v>62.600954663551583</v>
      </c>
      <c r="U269" s="70"/>
      <c r="V269" s="70">
        <v>-84.599999999999937</v>
      </c>
      <c r="W269" s="70">
        <v>161.55000000000007</v>
      </c>
    </row>
    <row r="270" spans="1:23" x14ac:dyDescent="0.25">
      <c r="A270" s="68">
        <v>43811</v>
      </c>
      <c r="B270" s="70">
        <v>250.48</v>
      </c>
      <c r="C270" s="70">
        <v>247.64</v>
      </c>
      <c r="D270" s="70">
        <v>254.66</v>
      </c>
      <c r="E270" s="70">
        <v>247.35</v>
      </c>
      <c r="F270" s="70">
        <v>78.73</v>
      </c>
      <c r="G270" s="70">
        <v>1.2699999999999999E-2</v>
      </c>
      <c r="H270" s="70">
        <v>250.35237179487183</v>
      </c>
      <c r="I270" s="70">
        <v>252.32152421652418</v>
      </c>
      <c r="J270" s="70">
        <v>-1.9691524216523533</v>
      </c>
      <c r="K270" s="70">
        <v>-2.6607459639125923</v>
      </c>
      <c r="L270" s="70">
        <v>0.69159354226023906</v>
      </c>
      <c r="M270" s="70">
        <v>-1.6412756853782424</v>
      </c>
      <c r="N270" s="70">
        <v>0.81557377049180391</v>
      </c>
      <c r="O270" s="70">
        <v>0</v>
      </c>
      <c r="P270" s="70">
        <v>0.30890997641666429</v>
      </c>
      <c r="Q270" s="70">
        <v>0.12823343562761932</v>
      </c>
      <c r="R270" s="70">
        <v>0.41331182355950047</v>
      </c>
      <c r="S270" s="70">
        <v>8.8599193170238788E-2</v>
      </c>
      <c r="T270" s="70">
        <v>62.650480984847341</v>
      </c>
      <c r="U270" s="70"/>
      <c r="V270" s="70">
        <v>-84.599999999999937</v>
      </c>
      <c r="W270" s="70">
        <v>161.55000000000007</v>
      </c>
    </row>
    <row r="271" spans="1:23" x14ac:dyDescent="0.25">
      <c r="A271" s="68">
        <v>43810</v>
      </c>
      <c r="B271" s="70">
        <v>247.34</v>
      </c>
      <c r="C271" s="70">
        <v>246.84</v>
      </c>
      <c r="D271" s="70">
        <v>248.69</v>
      </c>
      <c r="E271" s="70">
        <v>246.84</v>
      </c>
      <c r="F271" s="70">
        <v>31.26</v>
      </c>
      <c r="G271" s="70">
        <v>1.8E-3</v>
      </c>
      <c r="H271" s="70">
        <v>250.11750000000004</v>
      </c>
      <c r="I271" s="70">
        <v>252.6765384615384</v>
      </c>
      <c r="J271" s="70">
        <v>-2.5590384615383641</v>
      </c>
      <c r="K271" s="70">
        <v>-2.8370840455840112</v>
      </c>
      <c r="L271" s="70">
        <v>0.27804558404564705</v>
      </c>
      <c r="M271" s="70">
        <v>-2.1010747524080746</v>
      </c>
      <c r="N271" s="70">
        <v>0</v>
      </c>
      <c r="O271" s="70">
        <v>0</v>
      </c>
      <c r="P271" s="70">
        <v>0.13862534301727666</v>
      </c>
      <c r="Q271" s="70">
        <v>0.12823343562761932</v>
      </c>
      <c r="R271" s="70">
        <v>3.8941598408069079E-2</v>
      </c>
      <c r="S271" s="70">
        <v>-9.937361041257314E-3</v>
      </c>
      <c r="T271" s="70">
        <v>49.93863302549245</v>
      </c>
      <c r="U271" s="70"/>
      <c r="V271" s="70">
        <v>-84.599999999999937</v>
      </c>
      <c r="W271" s="70">
        <v>161.55000000000007</v>
      </c>
    </row>
    <row r="272" spans="1:23" x14ac:dyDescent="0.25">
      <c r="A272" s="68">
        <v>43809</v>
      </c>
      <c r="B272" s="70">
        <v>246.9</v>
      </c>
      <c r="C272" s="70">
        <v>248.99</v>
      </c>
      <c r="D272" s="70">
        <v>250.15</v>
      </c>
      <c r="E272" s="70">
        <v>246.5</v>
      </c>
      <c r="F272" s="70">
        <v>34.82</v>
      </c>
      <c r="G272" s="70">
        <v>-7.1999999999999998E-3</v>
      </c>
      <c r="H272" s="70">
        <v>250.60403846153841</v>
      </c>
      <c r="I272" s="70">
        <v>253.20163817663811</v>
      </c>
      <c r="J272" s="70">
        <v>-2.5975997150997046</v>
      </c>
      <c r="K272" s="70">
        <v>-2.8442486546375352</v>
      </c>
      <c r="L272" s="70">
        <v>0.24664893953783062</v>
      </c>
      <c r="M272" s="70">
        <v>-2.4628368415376976</v>
      </c>
      <c r="N272" s="70">
        <v>0</v>
      </c>
      <c r="O272" s="70">
        <v>0.2465753424657546</v>
      </c>
      <c r="P272" s="70">
        <v>0.13862534301727666</v>
      </c>
      <c r="Q272" s="70">
        <v>0.16345848455129855</v>
      </c>
      <c r="R272" s="70">
        <v>-8.2206127133318915E-2</v>
      </c>
      <c r="S272" s="70">
        <v>-5.0364837785633068E-2</v>
      </c>
      <c r="T272" s="70">
        <v>50.194170870365923</v>
      </c>
      <c r="U272" s="70"/>
      <c r="V272" s="70">
        <v>-84.599999999999937</v>
      </c>
      <c r="W272" s="70">
        <v>161.55000000000007</v>
      </c>
    </row>
    <row r="273" spans="1:23" x14ac:dyDescent="0.25">
      <c r="A273" s="68">
        <v>43808</v>
      </c>
      <c r="B273" s="70">
        <v>248.7</v>
      </c>
      <c r="C273" s="70">
        <v>247.9</v>
      </c>
      <c r="D273" s="70">
        <v>250.22</v>
      </c>
      <c r="E273" s="70">
        <v>247.4</v>
      </c>
      <c r="F273" s="70">
        <v>32.4</v>
      </c>
      <c r="G273" s="70">
        <v>3.5000000000000001E-3</v>
      </c>
      <c r="H273" s="70">
        <v>251.23987179487182</v>
      </c>
      <c r="I273" s="70">
        <v>253.93646723646719</v>
      </c>
      <c r="J273" s="70">
        <v>-2.6965954415953775</v>
      </c>
      <c r="K273" s="70">
        <v>-2.7814761000316368</v>
      </c>
      <c r="L273" s="70">
        <v>8.488065843625936E-2</v>
      </c>
      <c r="M273" s="70">
        <v>-2.8018530902462451</v>
      </c>
      <c r="N273" s="70">
        <v>0.69858156028368923</v>
      </c>
      <c r="O273" s="70">
        <v>0</v>
      </c>
      <c r="P273" s="70">
        <v>0.26585798535990846</v>
      </c>
      <c r="Q273" s="70">
        <v>0.11197572073976737</v>
      </c>
      <c r="R273" s="70">
        <v>0.4072751110763676</v>
      </c>
      <c r="S273" s="70">
        <v>2.3003690270820214E-2</v>
      </c>
      <c r="T273" s="70">
        <v>62.682637358253466</v>
      </c>
      <c r="U273" s="70"/>
      <c r="V273" s="70">
        <v>-84.599999999999937</v>
      </c>
      <c r="W273" s="70">
        <v>161.55000000000007</v>
      </c>
    </row>
    <row r="274" spans="1:23" x14ac:dyDescent="0.25">
      <c r="A274" s="68">
        <v>43805</v>
      </c>
      <c r="B274" s="70">
        <v>247.83</v>
      </c>
      <c r="C274" s="70">
        <v>246.5</v>
      </c>
      <c r="D274" s="70">
        <v>248.25</v>
      </c>
      <c r="E274" s="70">
        <v>245.39</v>
      </c>
      <c r="F274" s="70">
        <v>44.85</v>
      </c>
      <c r="G274" s="70">
        <v>6.0000000000000001E-3</v>
      </c>
      <c r="H274" s="70">
        <v>251.5044230769231</v>
      </c>
      <c r="I274" s="70">
        <v>254.27444444444444</v>
      </c>
      <c r="J274" s="70">
        <v>-2.7700213675213377</v>
      </c>
      <c r="K274" s="70">
        <v>-2.5829596391263006</v>
      </c>
      <c r="L274" s="70">
        <v>-0.1870617283950371</v>
      </c>
      <c r="M274" s="70">
        <v>-3.1472804232804235</v>
      </c>
      <c r="N274" s="70">
        <v>0</v>
      </c>
      <c r="O274" s="70">
        <v>0</v>
      </c>
      <c r="P274" s="70">
        <v>0.16383830641539451</v>
      </c>
      <c r="Q274" s="70">
        <v>0.11197572073976737</v>
      </c>
      <c r="R274" s="70">
        <v>0.18803461959696247</v>
      </c>
      <c r="S274" s="70">
        <v>-3.669301332245798E-2</v>
      </c>
      <c r="T274" s="70">
        <v>50.15095522076269</v>
      </c>
      <c r="U274" s="70"/>
      <c r="V274" s="70">
        <v>-84.599999999999937</v>
      </c>
      <c r="W274" s="70">
        <v>161.55000000000007</v>
      </c>
    </row>
    <row r="275" spans="1:23" x14ac:dyDescent="0.25">
      <c r="A275" s="68">
        <v>43804</v>
      </c>
      <c r="B275" s="70">
        <v>246.36</v>
      </c>
      <c r="C275" s="70">
        <v>249.5</v>
      </c>
      <c r="D275" s="70">
        <v>250.3</v>
      </c>
      <c r="E275" s="70">
        <v>244.77</v>
      </c>
      <c r="F275" s="70">
        <v>61.69</v>
      </c>
      <c r="G275" s="70">
        <v>-1.03E-2</v>
      </c>
      <c r="H275" s="70">
        <v>251.29025641025635</v>
      </c>
      <c r="I275" s="70">
        <v>254.65594017094014</v>
      </c>
      <c r="J275" s="70">
        <v>-3.3656837606837939</v>
      </c>
      <c r="K275" s="70">
        <v>-2.3163364988920607</v>
      </c>
      <c r="L275" s="70">
        <v>-1.0493472617917332</v>
      </c>
      <c r="M275" s="70">
        <v>-3.5109412006164238</v>
      </c>
      <c r="N275" s="70">
        <v>0</v>
      </c>
      <c r="O275" s="70">
        <v>0.29475587703435718</v>
      </c>
      <c r="P275" s="70">
        <v>0.16383830641539451</v>
      </c>
      <c r="Q275" s="70">
        <v>0.1736531747975133</v>
      </c>
      <c r="R275" s="70">
        <v>-2.908182555258939E-2</v>
      </c>
      <c r="S275" s="70">
        <v>-0.11202662525551904</v>
      </c>
      <c r="T275" s="70">
        <v>37.708632915158425</v>
      </c>
      <c r="U275" s="70"/>
      <c r="V275" s="70">
        <v>-84.599999999999937</v>
      </c>
      <c r="W275" s="70">
        <v>161.55000000000007</v>
      </c>
    </row>
    <row r="276" spans="1:23" x14ac:dyDescent="0.25">
      <c r="A276" s="68">
        <v>43803</v>
      </c>
      <c r="B276" s="70">
        <v>248.93</v>
      </c>
      <c r="C276" s="70">
        <v>248.5</v>
      </c>
      <c r="D276" s="70">
        <v>251.96</v>
      </c>
      <c r="E276" s="70">
        <v>246.4</v>
      </c>
      <c r="F276" s="70">
        <v>59.29</v>
      </c>
      <c r="G276" s="70">
        <v>4.0000000000000001E-3</v>
      </c>
      <c r="H276" s="70">
        <v>251.80198717948718</v>
      </c>
      <c r="I276" s="70">
        <v>255.08633903133904</v>
      </c>
      <c r="J276" s="70">
        <v>-3.2843518518518522</v>
      </c>
      <c r="K276" s="70">
        <v>-1.7006234567901175</v>
      </c>
      <c r="L276" s="70">
        <v>-1.5837283950617347</v>
      </c>
      <c r="M276" s="70">
        <v>-3.7262065892322354</v>
      </c>
      <c r="N276" s="70">
        <v>0</v>
      </c>
      <c r="O276" s="70">
        <v>0.12410071942445997</v>
      </c>
      <c r="P276" s="70">
        <v>0.16383830641539451</v>
      </c>
      <c r="Q276" s="70">
        <v>0.12983941313669126</v>
      </c>
      <c r="R276" s="70">
        <v>0.11576939963494003</v>
      </c>
      <c r="S276" s="70">
        <v>-0.100033298808004</v>
      </c>
      <c r="T276" s="70">
        <v>50.143171697423888</v>
      </c>
      <c r="U276" s="70"/>
      <c r="V276" s="70">
        <v>-84.599999999999937</v>
      </c>
      <c r="W276" s="70">
        <v>161.55000000000007</v>
      </c>
    </row>
    <row r="277" spans="1:23" x14ac:dyDescent="0.25">
      <c r="A277" s="68">
        <v>43802</v>
      </c>
      <c r="B277" s="70">
        <v>247.93</v>
      </c>
      <c r="C277" s="70">
        <v>253.2</v>
      </c>
      <c r="D277" s="70">
        <v>254.14</v>
      </c>
      <c r="E277" s="70">
        <v>247.09</v>
      </c>
      <c r="F277" s="70">
        <v>75.45</v>
      </c>
      <c r="G277" s="70">
        <v>-2.41E-2</v>
      </c>
      <c r="H277" s="70">
        <v>251.45211538461538</v>
      </c>
      <c r="I277" s="70">
        <v>254.85094017094013</v>
      </c>
      <c r="J277" s="70">
        <v>-3.3988247863247523</v>
      </c>
      <c r="K277" s="70">
        <v>-0.94372063944284279</v>
      </c>
      <c r="L277" s="70">
        <v>-2.4551041468819097</v>
      </c>
      <c r="M277" s="70">
        <v>-3.861474225046873</v>
      </c>
      <c r="N277" s="70">
        <v>0</v>
      </c>
      <c r="O277" s="70">
        <v>0.98723404255319502</v>
      </c>
      <c r="P277" s="70">
        <v>0.16383830641539451</v>
      </c>
      <c r="Q277" s="70">
        <v>0.24496170856665606</v>
      </c>
      <c r="R277" s="70">
        <v>-0.19844275728518132</v>
      </c>
      <c r="S277" s="70">
        <v>-0.15917603411887241</v>
      </c>
      <c r="T277" s="70">
        <v>37.796509908311144</v>
      </c>
      <c r="U277" s="70"/>
      <c r="V277" s="70">
        <v>-84.599999999999937</v>
      </c>
      <c r="W277" s="70">
        <v>161.55000000000007</v>
      </c>
    </row>
    <row r="278" spans="1:23" x14ac:dyDescent="0.25">
      <c r="A278" s="68">
        <v>43801</v>
      </c>
      <c r="B278" s="70">
        <v>254.05</v>
      </c>
      <c r="C278" s="70">
        <v>258.45</v>
      </c>
      <c r="D278" s="70">
        <v>263.39999999999998</v>
      </c>
      <c r="E278" s="70">
        <v>254.05</v>
      </c>
      <c r="F278" s="70">
        <v>70.27</v>
      </c>
      <c r="G278" s="70">
        <v>-1.3599999999999999E-2</v>
      </c>
      <c r="H278" s="70">
        <v>252.39929487179484</v>
      </c>
      <c r="I278" s="70">
        <v>255.26082621082617</v>
      </c>
      <c r="J278" s="70">
        <v>-2.8615313390313304</v>
      </c>
      <c r="K278" s="70">
        <v>5.2644032921820183E-2</v>
      </c>
      <c r="L278" s="70">
        <v>-2.9141753719531507</v>
      </c>
      <c r="M278" s="70">
        <v>-3.8077051090726335</v>
      </c>
      <c r="N278" s="70">
        <v>0.62673796791443614</v>
      </c>
      <c r="O278" s="70">
        <v>0</v>
      </c>
      <c r="P278" s="70">
        <v>0.25337230183174253</v>
      </c>
      <c r="Q278" s="70">
        <v>8.4441584005451556E-2</v>
      </c>
      <c r="R278" s="70">
        <v>0.50007037871647886</v>
      </c>
      <c r="S278" s="70">
        <v>-6.1183303588691743E-2</v>
      </c>
      <c r="T278" s="70">
        <v>50.175919646981356</v>
      </c>
      <c r="U278" s="70"/>
      <c r="V278" s="70">
        <v>-84.599999999999937</v>
      </c>
      <c r="W278" s="70">
        <v>161.55000000000007</v>
      </c>
    </row>
    <row r="279" spans="1:23" x14ac:dyDescent="0.25">
      <c r="A279" s="68">
        <v>43798</v>
      </c>
      <c r="B279" s="70">
        <v>257.54000000000002</v>
      </c>
      <c r="C279" s="70">
        <v>253.89</v>
      </c>
      <c r="D279" s="70">
        <v>257.54000000000002</v>
      </c>
      <c r="E279" s="70">
        <v>251.86</v>
      </c>
      <c r="F279" s="70">
        <v>53.29</v>
      </c>
      <c r="G279" s="70">
        <v>1.3899999999999999E-2</v>
      </c>
      <c r="H279" s="70">
        <v>252.53358974358974</v>
      </c>
      <c r="I279" s="70">
        <v>255.15930199430204</v>
      </c>
      <c r="J279" s="70">
        <v>-2.6257122507122972</v>
      </c>
      <c r="K279" s="70">
        <v>1.1096362773029429</v>
      </c>
      <c r="L279" s="70">
        <v>-3.7353485280152401</v>
      </c>
      <c r="M279" s="70">
        <v>-3.7050614361896512</v>
      </c>
      <c r="N279" s="70">
        <v>0.5475352112676074</v>
      </c>
      <c r="O279" s="70">
        <v>0</v>
      </c>
      <c r="P279" s="70">
        <v>0.20073423981091404</v>
      </c>
      <c r="Q279" s="70">
        <v>0.13945532026918783</v>
      </c>
      <c r="R279" s="70">
        <v>0.18013168754296083</v>
      </c>
      <c r="S279" s="70">
        <v>-0.14769959601056992</v>
      </c>
      <c r="T279" s="70">
        <v>50.325534630871822</v>
      </c>
      <c r="U279" s="70"/>
      <c r="V279" s="70">
        <v>-84.599999999999937</v>
      </c>
      <c r="W279" s="70">
        <v>161.55000000000007</v>
      </c>
    </row>
    <row r="280" spans="1:23" x14ac:dyDescent="0.25">
      <c r="A280" s="68">
        <v>43797</v>
      </c>
      <c r="B280" s="70">
        <v>254</v>
      </c>
      <c r="C280" s="70">
        <v>253.46</v>
      </c>
      <c r="D280" s="70">
        <v>254.43</v>
      </c>
      <c r="E280" s="70">
        <v>251.35</v>
      </c>
      <c r="F280" s="70">
        <v>29.78</v>
      </c>
      <c r="G280" s="70">
        <v>4.0000000000000002E-4</v>
      </c>
      <c r="H280" s="70">
        <v>251.58423076923077</v>
      </c>
      <c r="I280" s="70">
        <v>254.13710826210826</v>
      </c>
      <c r="J280" s="70">
        <v>-2.5528774928774851</v>
      </c>
      <c r="K280" s="70">
        <v>2.2403691041468963</v>
      </c>
      <c r="L280" s="70">
        <v>-4.7932465970243818</v>
      </c>
      <c r="M280" s="70">
        <v>-3.4951474350277758</v>
      </c>
      <c r="N280" s="70">
        <v>0</v>
      </c>
      <c r="O280" s="70">
        <v>0.29220779220779286</v>
      </c>
      <c r="P280" s="70">
        <v>8.6413701194600415E-2</v>
      </c>
      <c r="Q280" s="70">
        <v>0.20986967233553741</v>
      </c>
      <c r="R280" s="70">
        <v>-0.41668207591263673</v>
      </c>
      <c r="S280" s="70">
        <v>-0.22943533158967344</v>
      </c>
      <c r="T280" s="70">
        <v>50.091114368339746</v>
      </c>
      <c r="U280" s="70"/>
      <c r="V280" s="70">
        <v>-84.599999999999937</v>
      </c>
      <c r="W280" s="70">
        <v>161.55000000000007</v>
      </c>
    </row>
    <row r="281" spans="1:23" x14ac:dyDescent="0.25">
      <c r="A281" s="68">
        <v>43796</v>
      </c>
      <c r="B281" s="70">
        <v>253.89</v>
      </c>
      <c r="C281" s="70">
        <v>253.8</v>
      </c>
      <c r="D281" s="70">
        <v>255.85</v>
      </c>
      <c r="E281" s="70">
        <v>252.25</v>
      </c>
      <c r="F281" s="70">
        <v>37.68</v>
      </c>
      <c r="G281" s="70">
        <v>-4.0000000000000002E-4</v>
      </c>
      <c r="H281" s="70">
        <v>251.79647435897436</v>
      </c>
      <c r="I281" s="70">
        <v>253.46514245014245</v>
      </c>
      <c r="J281" s="70">
        <v>-1.6686680911680867</v>
      </c>
      <c r="K281" s="70">
        <v>3.7054635960747278</v>
      </c>
      <c r="L281" s="70">
        <v>-5.374131687242814</v>
      </c>
      <c r="M281" s="70">
        <v>-3.0642119811179631</v>
      </c>
      <c r="N281" s="70">
        <v>0</v>
      </c>
      <c r="O281" s="70">
        <v>0</v>
      </c>
      <c r="P281" s="70">
        <v>8.6413701194600415E-2</v>
      </c>
      <c r="Q281" s="70">
        <v>0.20312357393330735</v>
      </c>
      <c r="R281" s="70">
        <v>-0.40309101025817301</v>
      </c>
      <c r="S281" s="70">
        <v>-0.18554398533644351</v>
      </c>
      <c r="T281" s="70">
        <v>37.659761681058256</v>
      </c>
      <c r="U281" s="70"/>
      <c r="V281" s="70">
        <v>-84.599999999999937</v>
      </c>
      <c r="W281" s="70">
        <v>161.55000000000007</v>
      </c>
    </row>
    <row r="282" spans="1:23" x14ac:dyDescent="0.25">
      <c r="A282" s="68">
        <v>43795</v>
      </c>
      <c r="B282" s="70">
        <v>254</v>
      </c>
      <c r="C282" s="70">
        <v>255.53</v>
      </c>
      <c r="D282" s="70">
        <v>257.41000000000003</v>
      </c>
      <c r="E282" s="70">
        <v>252.01</v>
      </c>
      <c r="F282" s="70">
        <v>70.14</v>
      </c>
      <c r="G282" s="70">
        <v>-4.7000000000000002E-3</v>
      </c>
      <c r="H282" s="70">
        <v>252.27243589743591</v>
      </c>
      <c r="I282" s="70">
        <v>252.57051282051285</v>
      </c>
      <c r="J282" s="70">
        <v>-0.29807692307693401</v>
      </c>
      <c r="K282" s="70">
        <v>5.302081987970892</v>
      </c>
      <c r="L282" s="70">
        <v>-5.600158911047826</v>
      </c>
      <c r="M282" s="70">
        <v>-2.4747848776737666</v>
      </c>
      <c r="N282" s="70">
        <v>0.22962962962962985</v>
      </c>
      <c r="O282" s="70">
        <v>0</v>
      </c>
      <c r="P282" s="70">
        <v>0.11921793399883325</v>
      </c>
      <c r="Q282" s="70">
        <v>0.20553160068916063</v>
      </c>
      <c r="R282" s="70">
        <v>-0.26578534369034285</v>
      </c>
      <c r="S282" s="70">
        <v>-8.4118149757300892E-2</v>
      </c>
      <c r="T282" s="70">
        <v>37.770166175568747</v>
      </c>
      <c r="U282" s="70"/>
      <c r="V282" s="70">
        <v>-84.599999999999937</v>
      </c>
      <c r="W282" s="70">
        <v>161.55000000000007</v>
      </c>
    </row>
    <row r="283" spans="1:23" x14ac:dyDescent="0.25">
      <c r="A283" s="68">
        <v>43794</v>
      </c>
      <c r="B283" s="70">
        <v>255.2</v>
      </c>
      <c r="C283" s="70">
        <v>252.12</v>
      </c>
      <c r="D283" s="70">
        <v>256.17</v>
      </c>
      <c r="E283" s="70">
        <v>251.46</v>
      </c>
      <c r="F283" s="70">
        <v>47.77</v>
      </c>
      <c r="G283" s="70">
        <v>1.2699999999999999E-2</v>
      </c>
      <c r="H283" s="70">
        <v>253.30320512820515</v>
      </c>
      <c r="I283" s="70">
        <v>251.73347578347577</v>
      </c>
      <c r="J283" s="70">
        <v>1.5697293447293816</v>
      </c>
      <c r="K283" s="70">
        <v>6.9557344096233242</v>
      </c>
      <c r="L283" s="70">
        <v>-5.3860050648939426</v>
      </c>
      <c r="M283" s="70">
        <v>-1.751439125610057</v>
      </c>
      <c r="N283" s="70">
        <v>0</v>
      </c>
      <c r="O283" s="70">
        <v>0</v>
      </c>
      <c r="P283" s="70">
        <v>0.11813415585769847</v>
      </c>
      <c r="Q283" s="70">
        <v>0.20553160068916063</v>
      </c>
      <c r="R283" s="70">
        <v>-0.27002376082008878</v>
      </c>
      <c r="S283" s="70">
        <v>-7.8122144825818855E-3</v>
      </c>
      <c r="T283" s="70">
        <v>37.877053073673153</v>
      </c>
      <c r="U283" s="70"/>
      <c r="V283" s="70">
        <v>-84.599999999999937</v>
      </c>
      <c r="W283" s="70">
        <v>161.55000000000007</v>
      </c>
    </row>
    <row r="284" spans="1:23" x14ac:dyDescent="0.25">
      <c r="A284" s="68">
        <v>43791</v>
      </c>
      <c r="B284" s="70">
        <v>251.99</v>
      </c>
      <c r="C284" s="70">
        <v>253.1</v>
      </c>
      <c r="D284" s="70">
        <v>257.72000000000003</v>
      </c>
      <c r="E284" s="70">
        <v>250.13</v>
      </c>
      <c r="F284" s="70">
        <v>92.53</v>
      </c>
      <c r="G284" s="70">
        <v>-9.2999999999999992E-3</v>
      </c>
      <c r="H284" s="70">
        <v>253.90512820512822</v>
      </c>
      <c r="I284" s="70">
        <v>250.52703703703702</v>
      </c>
      <c r="J284" s="70">
        <v>3.3780911680912027</v>
      </c>
      <c r="K284" s="70">
        <v>8.518744539411232</v>
      </c>
      <c r="L284" s="70">
        <v>-5.1406533713200293</v>
      </c>
      <c r="M284" s="70">
        <v>-1.0508670360977992</v>
      </c>
      <c r="N284" s="70">
        <v>0</v>
      </c>
      <c r="O284" s="70">
        <v>0</v>
      </c>
      <c r="P284" s="70">
        <v>0.11813415585769847</v>
      </c>
      <c r="Q284" s="70">
        <v>0.22514024483312059</v>
      </c>
      <c r="R284" s="70">
        <v>-0.31172172687528932</v>
      </c>
      <c r="S284" s="70">
        <v>4.8234837772722736E-2</v>
      </c>
      <c r="T284" s="70">
        <v>25.160143239926882</v>
      </c>
      <c r="U284" s="70"/>
      <c r="V284" s="70">
        <v>-84.599999999999937</v>
      </c>
      <c r="W284" s="70">
        <v>161.55000000000007</v>
      </c>
    </row>
    <row r="285" spans="1:23" x14ac:dyDescent="0.25">
      <c r="A285" s="68">
        <v>43790</v>
      </c>
      <c r="B285" s="70">
        <v>254.35</v>
      </c>
      <c r="C285" s="70">
        <v>252</v>
      </c>
      <c r="D285" s="70">
        <v>259.8</v>
      </c>
      <c r="E285" s="70">
        <v>250.01</v>
      </c>
      <c r="F285" s="70">
        <v>222.76</v>
      </c>
      <c r="G285" s="70">
        <v>2.5600000000000001E-2</v>
      </c>
      <c r="H285" s="70">
        <v>255.32519230769233</v>
      </c>
      <c r="I285" s="70">
        <v>249.83682336182332</v>
      </c>
      <c r="J285" s="70">
        <v>5.4883689458690128</v>
      </c>
      <c r="K285" s="70">
        <v>10.032968502690753</v>
      </c>
      <c r="L285" s="70">
        <v>-4.5445995568217405</v>
      </c>
      <c r="M285" s="70">
        <v>-0.32434567205506348</v>
      </c>
      <c r="N285" s="70">
        <v>0.41610169491525595</v>
      </c>
      <c r="O285" s="70">
        <v>0</v>
      </c>
      <c r="P285" s="70">
        <v>0.21202833459846329</v>
      </c>
      <c r="Q285" s="70">
        <v>0.22514024483312059</v>
      </c>
      <c r="R285" s="70">
        <v>-2.9992801064764742E-2</v>
      </c>
      <c r="S285" s="70">
        <v>0.17334867786019706</v>
      </c>
      <c r="T285" s="70">
        <v>25.094035196387452</v>
      </c>
      <c r="U285" s="70"/>
      <c r="V285" s="70">
        <v>-84.599999999999937</v>
      </c>
      <c r="W285" s="70">
        <v>161.55000000000007</v>
      </c>
    </row>
    <row r="286" spans="1:23" x14ac:dyDescent="0.25">
      <c r="A286" s="68">
        <v>43789</v>
      </c>
      <c r="B286" s="70">
        <v>248</v>
      </c>
      <c r="C286" s="70">
        <v>246.64</v>
      </c>
      <c r="D286" s="70">
        <v>254.89</v>
      </c>
      <c r="E286" s="70">
        <v>245.58</v>
      </c>
      <c r="F286" s="70">
        <v>199.41</v>
      </c>
      <c r="G286" s="70">
        <v>0</v>
      </c>
      <c r="H286" s="70">
        <v>254.95820512820509</v>
      </c>
      <c r="I286" s="70">
        <v>248.35683760683759</v>
      </c>
      <c r="J286" s="70">
        <v>6.6013675213675072</v>
      </c>
      <c r="K286" s="70">
        <v>11.16625957581514</v>
      </c>
      <c r="L286" s="70">
        <v>-4.5648920544476326</v>
      </c>
      <c r="M286" s="70">
        <v>0.28292452403563462</v>
      </c>
      <c r="N286" s="70">
        <v>0.66487647690655372</v>
      </c>
      <c r="O286" s="70">
        <v>0</v>
      </c>
      <c r="P286" s="70">
        <v>0.22013231258082958</v>
      </c>
      <c r="Q286" s="70">
        <v>0.23054467646706028</v>
      </c>
      <c r="R286" s="70">
        <v>-2.3103828549640611E-2</v>
      </c>
      <c r="S286" s="70">
        <v>0.23597867745909201</v>
      </c>
      <c r="T286" s="70">
        <v>12.351341660192432</v>
      </c>
      <c r="U286" s="70"/>
      <c r="V286" s="70">
        <v>-84.599999999999937</v>
      </c>
      <c r="W286" s="70">
        <v>161.55000000000007</v>
      </c>
    </row>
    <row r="287" spans="1:23" x14ac:dyDescent="0.25">
      <c r="A287" s="68">
        <v>43788</v>
      </c>
      <c r="B287" s="70">
        <v>248.01</v>
      </c>
      <c r="C287" s="70">
        <v>246.5</v>
      </c>
      <c r="D287" s="70">
        <v>248.7</v>
      </c>
      <c r="E287" s="70">
        <v>244.32</v>
      </c>
      <c r="F287" s="70">
        <v>66.069999999999993</v>
      </c>
      <c r="G287" s="70">
        <v>7.6E-3</v>
      </c>
      <c r="H287" s="70">
        <v>256.07314102564101</v>
      </c>
      <c r="I287" s="70">
        <v>247.57410256410253</v>
      </c>
      <c r="J287" s="70">
        <v>8.4990384615384755</v>
      </c>
      <c r="K287" s="70">
        <v>12.33333665717001</v>
      </c>
      <c r="L287" s="70">
        <v>-3.8342981956315345</v>
      </c>
      <c r="M287" s="70">
        <v>0.98124838504326062</v>
      </c>
      <c r="N287" s="70">
        <v>0</v>
      </c>
      <c r="O287" s="70">
        <v>0.29680365296803946</v>
      </c>
      <c r="P287" s="70">
        <v>9.4879151299410436E-2</v>
      </c>
      <c r="Q287" s="70">
        <v>0.27294519831963737</v>
      </c>
      <c r="R287" s="70">
        <v>-0.48410619689710116</v>
      </c>
      <c r="S287" s="70">
        <v>0.22752904350943692</v>
      </c>
      <c r="T287" s="70">
        <v>12.241603980335256</v>
      </c>
      <c r="U287" s="70"/>
      <c r="V287" s="70">
        <v>-84.599999999999937</v>
      </c>
      <c r="W287" s="70">
        <v>161.55000000000007</v>
      </c>
    </row>
    <row r="288" spans="1:23" x14ac:dyDescent="0.25">
      <c r="A288" s="68">
        <v>43787</v>
      </c>
      <c r="B288" s="70">
        <v>246.15</v>
      </c>
      <c r="C288" s="70">
        <v>250</v>
      </c>
      <c r="D288" s="70">
        <v>250.4</v>
      </c>
      <c r="E288" s="70">
        <v>245.62</v>
      </c>
      <c r="F288" s="70">
        <v>52.85</v>
      </c>
      <c r="G288" s="70">
        <v>-7.4999999999999997E-3</v>
      </c>
      <c r="H288" s="70">
        <v>256.63243589743587</v>
      </c>
      <c r="I288" s="70">
        <v>246.70128205128202</v>
      </c>
      <c r="J288" s="70">
        <v>9.9311538461538476</v>
      </c>
      <c r="K288" s="70">
        <v>13.08753371320039</v>
      </c>
      <c r="L288" s="70">
        <v>-3.1563798670465424</v>
      </c>
      <c r="M288" s="70">
        <v>1.6295880112290393</v>
      </c>
      <c r="N288" s="70">
        <v>0</v>
      </c>
      <c r="O288" s="70">
        <v>0</v>
      </c>
      <c r="P288" s="70">
        <v>0.15245327528862873</v>
      </c>
      <c r="Q288" s="70">
        <v>0.21097520484279389</v>
      </c>
      <c r="R288" s="70">
        <v>-0.16102736233825848</v>
      </c>
      <c r="S288" s="70">
        <v>0.36356809531500556</v>
      </c>
      <c r="T288" s="70">
        <v>13.215274150798805</v>
      </c>
      <c r="U288" s="70">
        <v>1</v>
      </c>
      <c r="V288" s="70">
        <v>-84.599999999999937</v>
      </c>
      <c r="W288" s="70">
        <v>161.55000000000007</v>
      </c>
    </row>
    <row r="289" spans="1:23" x14ac:dyDescent="0.25">
      <c r="A289" s="68">
        <v>43784</v>
      </c>
      <c r="B289" s="70">
        <v>248.01</v>
      </c>
      <c r="C289" s="70">
        <v>248.5</v>
      </c>
      <c r="D289" s="70">
        <v>250.47</v>
      </c>
      <c r="E289" s="70">
        <v>245</v>
      </c>
      <c r="F289" s="70">
        <v>89.35</v>
      </c>
      <c r="G289" s="70">
        <v>-1.2999999999999999E-3</v>
      </c>
      <c r="H289" s="70">
        <v>258.00801282051287</v>
      </c>
      <c r="I289" s="70">
        <v>246.0680484330484</v>
      </c>
      <c r="J289" s="70">
        <v>11.939964387464471</v>
      </c>
      <c r="K289" s="70">
        <v>13.687271130104492</v>
      </c>
      <c r="L289" s="70">
        <v>-1.7473067426400206</v>
      </c>
      <c r="M289" s="70">
        <v>2.2954430355968922</v>
      </c>
      <c r="N289" s="70">
        <v>0</v>
      </c>
      <c r="O289" s="70">
        <v>0</v>
      </c>
      <c r="P289" s="70">
        <v>0.17246418382679515</v>
      </c>
      <c r="Q289" s="70">
        <v>0.21097520484279389</v>
      </c>
      <c r="R289" s="70">
        <v>-0.10043574591963426</v>
      </c>
      <c r="S289" s="70">
        <v>0.43926443616706701</v>
      </c>
      <c r="T289" s="70">
        <v>25.982836599791256</v>
      </c>
      <c r="U289" s="70"/>
      <c r="V289" s="70">
        <v>-84.599999999999937</v>
      </c>
      <c r="W289" s="70">
        <v>163.41000000000005</v>
      </c>
    </row>
    <row r="290" spans="1:23" x14ac:dyDescent="0.25">
      <c r="A290" s="68">
        <v>43783</v>
      </c>
      <c r="B290" s="70">
        <v>248.34</v>
      </c>
      <c r="C290" s="70">
        <v>252.56</v>
      </c>
      <c r="D290" s="70">
        <v>253.46</v>
      </c>
      <c r="E290" s="70">
        <v>244.8</v>
      </c>
      <c r="F290" s="70">
        <v>127.69</v>
      </c>
      <c r="G290" s="70">
        <v>-1.37E-2</v>
      </c>
      <c r="H290" s="70">
        <v>258.41769230769228</v>
      </c>
      <c r="I290" s="70">
        <v>245.20823361823361</v>
      </c>
      <c r="J290" s="70">
        <v>13.209458689458671</v>
      </c>
      <c r="K290" s="70">
        <v>13.854410256410256</v>
      </c>
      <c r="L290" s="70">
        <v>-0.64495156695158506</v>
      </c>
      <c r="M290" s="70">
        <v>2.7878721183849344</v>
      </c>
      <c r="N290" s="70">
        <v>0</v>
      </c>
      <c r="O290" s="70">
        <v>0.69168591224018283</v>
      </c>
      <c r="P290" s="70">
        <v>0.19571366162172746</v>
      </c>
      <c r="Q290" s="70">
        <v>0.30978747801996287</v>
      </c>
      <c r="R290" s="70">
        <v>-0.22566480558103846</v>
      </c>
      <c r="S290" s="70">
        <v>0.48424853453075922</v>
      </c>
      <c r="T290" s="70">
        <v>25.795990424608192</v>
      </c>
      <c r="U290" s="70"/>
      <c r="V290" s="70">
        <v>-84.599999999999937</v>
      </c>
      <c r="W290" s="70">
        <v>163.74000000000007</v>
      </c>
    </row>
    <row r="291" spans="1:23" x14ac:dyDescent="0.25">
      <c r="A291" s="68">
        <v>43782</v>
      </c>
      <c r="B291" s="70">
        <v>251.8</v>
      </c>
      <c r="C291" s="70">
        <v>256.11</v>
      </c>
      <c r="D291" s="70">
        <v>257.19</v>
      </c>
      <c r="E291" s="70">
        <v>250.79</v>
      </c>
      <c r="F291" s="70">
        <v>87.8</v>
      </c>
      <c r="G291" s="70">
        <v>-2.12E-2</v>
      </c>
      <c r="H291" s="70">
        <v>258.67217948717951</v>
      </c>
      <c r="I291" s="70">
        <v>244.56923076923078</v>
      </c>
      <c r="J291" s="70">
        <v>14.102948717948721</v>
      </c>
      <c r="K291" s="70">
        <v>13.68115321304211</v>
      </c>
      <c r="L291" s="70">
        <v>0.42179550490661022</v>
      </c>
      <c r="M291" s="70">
        <v>3.2100935126918015</v>
      </c>
      <c r="N291" s="70">
        <v>0</v>
      </c>
      <c r="O291" s="70">
        <v>0.83437499999999976</v>
      </c>
      <c r="P291" s="70">
        <v>0.22409034822626223</v>
      </c>
      <c r="Q291" s="70">
        <v>0.28456596887091368</v>
      </c>
      <c r="R291" s="70">
        <v>-0.11889289213938521</v>
      </c>
      <c r="S291" s="70">
        <v>0.56412814419310564</v>
      </c>
      <c r="T291" s="70">
        <v>38.167869864187892</v>
      </c>
      <c r="U291" s="70"/>
      <c r="V291" s="70">
        <v>-84.599999999999937</v>
      </c>
      <c r="W291" s="70">
        <v>167.20000000000007</v>
      </c>
    </row>
    <row r="292" spans="1:23" x14ac:dyDescent="0.25">
      <c r="A292" s="68">
        <v>43781</v>
      </c>
      <c r="B292" s="70">
        <v>257.25</v>
      </c>
      <c r="C292" s="70">
        <v>260.81</v>
      </c>
      <c r="D292" s="70">
        <v>264.57</v>
      </c>
      <c r="E292" s="70">
        <v>256.13</v>
      </c>
      <c r="F292" s="70">
        <v>61.52</v>
      </c>
      <c r="G292" s="70">
        <v>-1.21E-2</v>
      </c>
      <c r="H292" s="70">
        <v>259.15173076923077</v>
      </c>
      <c r="I292" s="70">
        <v>244.06695156695153</v>
      </c>
      <c r="J292" s="70">
        <v>15.084779202279236</v>
      </c>
      <c r="K292" s="70">
        <v>13.344319563152908</v>
      </c>
      <c r="L292" s="70">
        <v>1.7404596391263283</v>
      </c>
      <c r="M292" s="70">
        <v>3.5711652526011521</v>
      </c>
      <c r="N292" s="70">
        <v>0</v>
      </c>
      <c r="O292" s="70">
        <v>0.43483412322275083</v>
      </c>
      <c r="P292" s="70">
        <v>0.27759837865736958</v>
      </c>
      <c r="Q292" s="70">
        <v>0.17247496449614186</v>
      </c>
      <c r="R292" s="70">
        <v>0.23356951874701926</v>
      </c>
      <c r="S292" s="70">
        <v>0.6733806495456518</v>
      </c>
      <c r="T292" s="70">
        <v>38.019410291438973</v>
      </c>
      <c r="U292" s="70"/>
      <c r="V292" s="70">
        <v>-84.599999999999937</v>
      </c>
      <c r="W292" s="70">
        <v>172.65000000000006</v>
      </c>
    </row>
    <row r="293" spans="1:23" x14ac:dyDescent="0.25">
      <c r="A293" s="68">
        <v>43780</v>
      </c>
      <c r="B293" s="70">
        <v>260.39999999999998</v>
      </c>
      <c r="C293" s="70">
        <v>265</v>
      </c>
      <c r="D293" s="70">
        <v>265.45</v>
      </c>
      <c r="E293" s="70">
        <v>259.8</v>
      </c>
      <c r="F293" s="70">
        <v>42.79</v>
      </c>
      <c r="G293" s="70">
        <v>-2.1100000000000001E-2</v>
      </c>
      <c r="H293" s="70">
        <v>258.6978205128205</v>
      </c>
      <c r="I293" s="70">
        <v>243.03283475783473</v>
      </c>
      <c r="J293" s="70">
        <v>15.664985754985764</v>
      </c>
      <c r="K293" s="70">
        <v>12.663793605571385</v>
      </c>
      <c r="L293" s="70">
        <v>3.0011921494143792</v>
      </c>
      <c r="M293" s="70">
        <v>3.7799761156855132</v>
      </c>
      <c r="N293" s="70">
        <v>0</v>
      </c>
      <c r="O293" s="70">
        <v>0.8230088495575214</v>
      </c>
      <c r="P293" s="70">
        <v>0.31136948559920791</v>
      </c>
      <c r="Q293" s="70">
        <v>0.1992581150787299</v>
      </c>
      <c r="R293" s="70">
        <v>0.21955603334334586</v>
      </c>
      <c r="S293" s="70">
        <v>0.70427594202318589</v>
      </c>
      <c r="T293" s="70">
        <v>50.324495505346725</v>
      </c>
      <c r="U293" s="70"/>
      <c r="V293" s="70">
        <v>-84.599999999999937</v>
      </c>
      <c r="W293" s="70">
        <v>175.80000000000004</v>
      </c>
    </row>
    <row r="294" spans="1:23" x14ac:dyDescent="0.25">
      <c r="A294" s="68">
        <v>43777</v>
      </c>
      <c r="B294" s="70">
        <v>266</v>
      </c>
      <c r="C294" s="70">
        <v>269.92</v>
      </c>
      <c r="D294" s="70">
        <v>270.2</v>
      </c>
      <c r="E294" s="70">
        <v>264.45</v>
      </c>
      <c r="F294" s="70">
        <v>33.450000000000003</v>
      </c>
      <c r="G294" s="70">
        <v>-1.7500000000000002E-2</v>
      </c>
      <c r="H294" s="70">
        <v>257.85294871794872</v>
      </c>
      <c r="I294" s="70">
        <v>242.11930199430199</v>
      </c>
      <c r="J294" s="70">
        <v>15.733646723646729</v>
      </c>
      <c r="K294" s="70">
        <v>11.678408357075025</v>
      </c>
      <c r="L294" s="70">
        <v>4.0552383665717038</v>
      </c>
      <c r="M294" s="70">
        <v>3.8666451060809939</v>
      </c>
      <c r="N294" s="70">
        <v>0</v>
      </c>
      <c r="O294" s="70">
        <v>3.6521739130441107E-2</v>
      </c>
      <c r="P294" s="70">
        <v>0.36957399295625754</v>
      </c>
      <c r="Q294" s="70">
        <v>3.2638493838101627E-2</v>
      </c>
      <c r="R294" s="70">
        <v>0.83770521846185819</v>
      </c>
      <c r="S294" s="70">
        <v>0.8272244095992155</v>
      </c>
      <c r="T294" s="70">
        <v>62.521553669230144</v>
      </c>
      <c r="U294" s="70"/>
      <c r="V294" s="70">
        <v>-84.599999999999937</v>
      </c>
      <c r="W294" s="70">
        <v>181.40000000000006</v>
      </c>
    </row>
    <row r="295" spans="1:23" x14ac:dyDescent="0.25">
      <c r="A295" s="68">
        <v>43776</v>
      </c>
      <c r="B295" s="70">
        <v>270.74</v>
      </c>
      <c r="C295" s="70">
        <v>266.01</v>
      </c>
      <c r="D295" s="70">
        <v>272.68</v>
      </c>
      <c r="E295" s="70">
        <v>264.66000000000003</v>
      </c>
      <c r="F295" s="70">
        <v>56.18</v>
      </c>
      <c r="G295" s="70">
        <v>1.41E-2</v>
      </c>
      <c r="H295" s="70">
        <v>256.42166666666668</v>
      </c>
      <c r="I295" s="70">
        <v>240.96044159544158</v>
      </c>
      <c r="J295" s="70">
        <v>15.461225071225101</v>
      </c>
      <c r="K295" s="70">
        <v>10.554640075973417</v>
      </c>
      <c r="L295" s="70">
        <v>4.9065849952516842</v>
      </c>
      <c r="M295" s="70">
        <v>3.7991350093401328</v>
      </c>
      <c r="N295" s="70">
        <v>0.71072319201995027</v>
      </c>
      <c r="O295" s="70">
        <v>0</v>
      </c>
      <c r="P295" s="70">
        <v>0.47879818522284406</v>
      </c>
      <c r="Q295" s="70">
        <v>2.501307577789964E-2</v>
      </c>
      <c r="R295" s="70">
        <v>0.90070457842401142</v>
      </c>
      <c r="S295" s="70">
        <v>0.8041599948831939</v>
      </c>
      <c r="T295" s="70">
        <v>63.169691065026562</v>
      </c>
      <c r="U295" s="70"/>
      <c r="V295" s="70">
        <v>-84.599999999999937</v>
      </c>
      <c r="W295" s="70">
        <v>186.14000000000007</v>
      </c>
    </row>
    <row r="296" spans="1:23" x14ac:dyDescent="0.25">
      <c r="A296" s="68">
        <v>43775</v>
      </c>
      <c r="B296" s="70">
        <v>266.98</v>
      </c>
      <c r="C296" s="70">
        <v>263.14</v>
      </c>
      <c r="D296" s="70">
        <v>266.98</v>
      </c>
      <c r="E296" s="70">
        <v>258.91000000000003</v>
      </c>
      <c r="F296" s="70">
        <v>37.700000000000003</v>
      </c>
      <c r="G296" s="70">
        <v>1.5100000000000001E-2</v>
      </c>
      <c r="H296" s="70">
        <v>252.86756410256407</v>
      </c>
      <c r="I296" s="70">
        <v>239.10606837606838</v>
      </c>
      <c r="J296" s="70">
        <v>13.761495726495696</v>
      </c>
      <c r="K296" s="70">
        <v>9.0537527698638751</v>
      </c>
      <c r="L296" s="70">
        <v>4.7077429566318205</v>
      </c>
      <c r="M296" s="70">
        <v>3.5084567309866341</v>
      </c>
      <c r="N296" s="70">
        <v>0</v>
      </c>
      <c r="O296" s="70">
        <v>0.29739776951672608</v>
      </c>
      <c r="P296" s="70">
        <v>0.34204085424518188</v>
      </c>
      <c r="Q296" s="70">
        <v>6.7498471423146217E-2</v>
      </c>
      <c r="R296" s="70">
        <v>0.67036879150496576</v>
      </c>
      <c r="S296" s="70">
        <v>0.72485092889497649</v>
      </c>
      <c r="T296" s="70">
        <v>62.739976111634412</v>
      </c>
      <c r="U296" s="70"/>
      <c r="V296" s="70">
        <v>-84.599999999999937</v>
      </c>
      <c r="W296" s="70">
        <v>182.38000000000008</v>
      </c>
    </row>
    <row r="297" spans="1:23" x14ac:dyDescent="0.25">
      <c r="A297" s="68">
        <v>43774</v>
      </c>
      <c r="B297" s="70">
        <v>263</v>
      </c>
      <c r="C297" s="70">
        <v>266</v>
      </c>
      <c r="D297" s="70">
        <v>267.52999999999997</v>
      </c>
      <c r="E297" s="70">
        <v>261.31</v>
      </c>
      <c r="F297" s="70">
        <v>36.85</v>
      </c>
      <c r="G297" s="70">
        <v>-3.0000000000000001E-3</v>
      </c>
      <c r="H297" s="70">
        <v>249.50666666666666</v>
      </c>
      <c r="I297" s="70">
        <v>237.34829059829059</v>
      </c>
      <c r="J297" s="70">
        <v>12.158376068376072</v>
      </c>
      <c r="K297" s="70">
        <v>7.5715720164609062</v>
      </c>
      <c r="L297" s="70">
        <v>4.5868040519151654</v>
      </c>
      <c r="M297" s="70">
        <v>3.2238227217543427</v>
      </c>
      <c r="N297" s="70">
        <v>0.52250803858521144</v>
      </c>
      <c r="O297" s="70">
        <v>0</v>
      </c>
      <c r="P297" s="70">
        <v>0.43443633904729551</v>
      </c>
      <c r="Q297" s="70">
        <v>5.4044316339396754E-3</v>
      </c>
      <c r="R297" s="70">
        <v>0.97542550852860155</v>
      </c>
      <c r="S297" s="70">
        <v>0.73308311534736093</v>
      </c>
      <c r="T297" s="70">
        <v>62.318442063499859</v>
      </c>
      <c r="U297" s="70"/>
      <c r="V297" s="70">
        <v>-84.599999999999937</v>
      </c>
      <c r="W297" s="70">
        <v>178.40000000000006</v>
      </c>
    </row>
    <row r="298" spans="1:23" x14ac:dyDescent="0.25">
      <c r="A298" s="68">
        <v>43770</v>
      </c>
      <c r="B298" s="70">
        <v>263.79000000000002</v>
      </c>
      <c r="C298" s="70">
        <v>260.10000000000002</v>
      </c>
      <c r="D298" s="70">
        <v>264.27999999999997</v>
      </c>
      <c r="E298" s="70">
        <v>256.35000000000002</v>
      </c>
      <c r="F298" s="70">
        <v>51.03</v>
      </c>
      <c r="G298" s="70">
        <v>1.46E-2</v>
      </c>
      <c r="H298" s="70">
        <v>247.16025641025644</v>
      </c>
      <c r="I298" s="70">
        <v>236.19633903133905</v>
      </c>
      <c r="J298" s="70">
        <v>10.963917378917387</v>
      </c>
      <c r="K298" s="70">
        <v>6.2542852168407688</v>
      </c>
      <c r="L298" s="70">
        <v>4.7096321620766179</v>
      </c>
      <c r="M298" s="70">
        <v>2.9680139284583715</v>
      </c>
      <c r="N298" s="70">
        <v>0</v>
      </c>
      <c r="O298" s="70">
        <v>8.1967213114751747E-2</v>
      </c>
      <c r="P298" s="70">
        <v>0.34306546534056409</v>
      </c>
      <c r="Q298" s="70">
        <v>1.7114033507475639E-2</v>
      </c>
      <c r="R298" s="70">
        <v>0.90496941906903994</v>
      </c>
      <c r="S298" s="70">
        <v>0.65363945471244322</v>
      </c>
      <c r="T298" s="70">
        <v>74.90222615860759</v>
      </c>
      <c r="U298" s="70"/>
      <c r="V298" s="70">
        <v>-84.599999999999937</v>
      </c>
      <c r="W298" s="70">
        <v>179.19000000000008</v>
      </c>
    </row>
    <row r="299" spans="1:23" x14ac:dyDescent="0.25">
      <c r="A299" s="68">
        <v>43769</v>
      </c>
      <c r="B299" s="70">
        <v>260</v>
      </c>
      <c r="C299" s="70">
        <v>262.25</v>
      </c>
      <c r="D299" s="70">
        <v>267.39999999999998</v>
      </c>
      <c r="E299" s="70">
        <v>257</v>
      </c>
      <c r="F299" s="70">
        <v>89.68</v>
      </c>
      <c r="G299" s="70">
        <v>-6.1000000000000004E-3</v>
      </c>
      <c r="H299" s="70">
        <v>244.03237179487178</v>
      </c>
      <c r="I299" s="70">
        <v>234.78240740740739</v>
      </c>
      <c r="J299" s="70">
        <v>9.249964387464388</v>
      </c>
      <c r="K299" s="70">
        <v>4.8065645773979115</v>
      </c>
      <c r="L299" s="70">
        <v>4.4433998100664764</v>
      </c>
      <c r="M299" s="70">
        <v>2.6255282343487472</v>
      </c>
      <c r="N299" s="70">
        <v>0.2057692307692299</v>
      </c>
      <c r="O299" s="70">
        <v>0</v>
      </c>
      <c r="P299" s="70">
        <v>0.37246106973616838</v>
      </c>
      <c r="Q299" s="70">
        <v>3.0726554998399578E-2</v>
      </c>
      <c r="R299" s="70">
        <v>0.84758185463342073</v>
      </c>
      <c r="S299" s="70">
        <v>0.56025777222717943</v>
      </c>
      <c r="T299" s="70">
        <v>74.542095886055179</v>
      </c>
      <c r="U299" s="70"/>
      <c r="V299" s="70">
        <v>-84.599999999999937</v>
      </c>
      <c r="W299" s="70">
        <v>175.40000000000006</v>
      </c>
    </row>
    <row r="300" spans="1:23" x14ac:dyDescent="0.25">
      <c r="A300" s="68">
        <v>43768</v>
      </c>
      <c r="B300" s="70">
        <v>261.60000000000002</v>
      </c>
      <c r="C300" s="70">
        <v>252.9</v>
      </c>
      <c r="D300" s="70">
        <v>265.26</v>
      </c>
      <c r="E300" s="70">
        <v>252.01</v>
      </c>
      <c r="F300" s="70">
        <v>97.83</v>
      </c>
      <c r="G300" s="70">
        <v>3.3599999999999998E-2</v>
      </c>
      <c r="H300" s="70">
        <v>241.88108974358974</v>
      </c>
      <c r="I300" s="70">
        <v>233.77663817663819</v>
      </c>
      <c r="J300" s="70">
        <v>8.1044515669515533</v>
      </c>
      <c r="K300" s="70">
        <v>3.574421810699592</v>
      </c>
      <c r="L300" s="70">
        <v>4.5300297562519614</v>
      </c>
      <c r="M300" s="70">
        <v>2.3402949744146331</v>
      </c>
      <c r="N300" s="70">
        <v>0.87320754716981086</v>
      </c>
      <c r="O300" s="70">
        <v>0</v>
      </c>
      <c r="P300" s="70">
        <v>0.47777493598090076</v>
      </c>
      <c r="Q300" s="70">
        <v>3.0726554998399578E-2</v>
      </c>
      <c r="R300" s="70">
        <v>0.87914861394319743</v>
      </c>
      <c r="S300" s="70">
        <v>0.51815614048089986</v>
      </c>
      <c r="T300" s="70">
        <v>87.465702489935126</v>
      </c>
      <c r="U300" s="70"/>
      <c r="V300" s="70">
        <v>-84.599999999999937</v>
      </c>
      <c r="W300" s="70">
        <v>177.00000000000009</v>
      </c>
    </row>
    <row r="301" spans="1:23" x14ac:dyDescent="0.25">
      <c r="A301" s="68">
        <v>43767</v>
      </c>
      <c r="B301" s="70">
        <v>253.1</v>
      </c>
      <c r="C301" s="70">
        <v>244.03</v>
      </c>
      <c r="D301" s="70">
        <v>253.69</v>
      </c>
      <c r="E301" s="70">
        <v>241.4</v>
      </c>
      <c r="F301" s="70">
        <v>70.83</v>
      </c>
      <c r="G301" s="70">
        <v>3.56E-2</v>
      </c>
      <c r="H301" s="70">
        <v>238.06314102564102</v>
      </c>
      <c r="I301" s="70">
        <v>231.93974358974359</v>
      </c>
      <c r="J301" s="70">
        <v>6.1233974358974308</v>
      </c>
      <c r="K301" s="70">
        <v>2.2339678695789917</v>
      </c>
      <c r="L301" s="70">
        <v>3.8894295663184391</v>
      </c>
      <c r="M301" s="70">
        <v>1.9462934090284543</v>
      </c>
      <c r="N301" s="70">
        <v>0.30349877949552417</v>
      </c>
      <c r="O301" s="70">
        <v>0</v>
      </c>
      <c r="P301" s="70">
        <v>0.39529736166458646</v>
      </c>
      <c r="Q301" s="70">
        <v>3.0726554998399578E-2</v>
      </c>
      <c r="R301" s="70">
        <v>0.85575197167765393</v>
      </c>
      <c r="S301" s="70">
        <v>0.46673611535174764</v>
      </c>
      <c r="T301" s="70">
        <v>75.347684279191128</v>
      </c>
      <c r="U301" s="70"/>
      <c r="V301" s="70">
        <v>-84.599999999999937</v>
      </c>
      <c r="W301" s="70">
        <v>168.50000000000006</v>
      </c>
    </row>
    <row r="302" spans="1:23" x14ac:dyDescent="0.25">
      <c r="A302" s="68">
        <v>43766</v>
      </c>
      <c r="B302" s="70">
        <v>244.4</v>
      </c>
      <c r="C302" s="70">
        <v>247.3</v>
      </c>
      <c r="D302" s="70">
        <v>249.96</v>
      </c>
      <c r="E302" s="70">
        <v>242.7</v>
      </c>
      <c r="F302" s="70">
        <v>34.94</v>
      </c>
      <c r="G302" s="70">
        <v>-9.4000000000000004E-3</v>
      </c>
      <c r="H302" s="70">
        <v>234.91038461538457</v>
      </c>
      <c r="I302" s="70">
        <v>230.48547008547004</v>
      </c>
      <c r="J302" s="70">
        <v>4.4249145299145312</v>
      </c>
      <c r="K302" s="70">
        <v>1.0921497309275234</v>
      </c>
      <c r="L302" s="70">
        <v>3.3327647989870077</v>
      </c>
      <c r="M302" s="70">
        <v>1.5702803432718009</v>
      </c>
      <c r="N302" s="70">
        <v>0.35261707988980656</v>
      </c>
      <c r="O302" s="70">
        <v>0</v>
      </c>
      <c r="P302" s="70">
        <v>0.38775654660586428</v>
      </c>
      <c r="Q302" s="70">
        <v>3.0726554998399578E-2</v>
      </c>
      <c r="R302" s="70">
        <v>0.85315270852940683</v>
      </c>
      <c r="S302" s="70">
        <v>0.38644103824649068</v>
      </c>
      <c r="T302" s="70">
        <v>75.020490177934064</v>
      </c>
      <c r="U302" s="70">
        <v>-1</v>
      </c>
      <c r="V302" s="70">
        <v>-84.599999999999937</v>
      </c>
      <c r="W302" s="70">
        <v>159.80000000000007</v>
      </c>
    </row>
    <row r="303" spans="1:23" x14ac:dyDescent="0.25">
      <c r="A303" s="68">
        <v>43763</v>
      </c>
      <c r="B303" s="70">
        <v>246.71</v>
      </c>
      <c r="C303" s="70">
        <v>244.1</v>
      </c>
      <c r="D303" s="70">
        <v>247.4</v>
      </c>
      <c r="E303" s="70">
        <v>239.5</v>
      </c>
      <c r="F303" s="70">
        <v>43.91</v>
      </c>
      <c r="G303" s="70">
        <v>1.14E-2</v>
      </c>
      <c r="H303" s="70">
        <v>233.86256410256408</v>
      </c>
      <c r="I303" s="70">
        <v>230.15836182336179</v>
      </c>
      <c r="J303" s="70">
        <v>3.7042022792022919</v>
      </c>
      <c r="K303" s="70">
        <v>0.25674802152582105</v>
      </c>
      <c r="L303" s="70">
        <v>3.4474542576764708</v>
      </c>
      <c r="M303" s="70">
        <v>1.2980075486400324</v>
      </c>
      <c r="N303" s="70">
        <v>0.43037974683544344</v>
      </c>
      <c r="O303" s="70">
        <v>0</v>
      </c>
      <c r="P303" s="70">
        <v>0.37561602123173726</v>
      </c>
      <c r="Q303" s="70">
        <v>5.2557566795966695E-2</v>
      </c>
      <c r="R303" s="70">
        <v>0.75450346184096684</v>
      </c>
      <c r="S303" s="70">
        <v>0.28506686930519021</v>
      </c>
      <c r="T303" s="70">
        <v>87.83643202005922</v>
      </c>
      <c r="U303" s="70"/>
      <c r="V303" s="70">
        <v>-64.699999999999932</v>
      </c>
      <c r="W303" s="70">
        <v>159.80000000000007</v>
      </c>
    </row>
    <row r="304" spans="1:23" x14ac:dyDescent="0.25">
      <c r="A304" s="68">
        <v>43762</v>
      </c>
      <c r="B304" s="70">
        <v>243.94</v>
      </c>
      <c r="C304" s="70">
        <v>236.41</v>
      </c>
      <c r="D304" s="70">
        <v>244</v>
      </c>
      <c r="E304" s="70">
        <v>236.41</v>
      </c>
      <c r="F304" s="70">
        <v>47.64</v>
      </c>
      <c r="G304" s="70">
        <v>3.2800000000000003E-2</v>
      </c>
      <c r="H304" s="70">
        <v>231.77724358974356</v>
      </c>
      <c r="I304" s="70">
        <v>229.37660968660964</v>
      </c>
      <c r="J304" s="70">
        <v>2.4006339031339223</v>
      </c>
      <c r="K304" s="70">
        <v>-0.6403106995884521</v>
      </c>
      <c r="L304" s="70">
        <v>3.0409446027223743</v>
      </c>
      <c r="M304" s="70">
        <v>0.9333914265538249</v>
      </c>
      <c r="N304" s="70">
        <v>0.81153846153846199</v>
      </c>
      <c r="O304" s="70">
        <v>0</v>
      </c>
      <c r="P304" s="70">
        <v>0.41345036288764592</v>
      </c>
      <c r="Q304" s="70">
        <v>5.2557566795966695E-2</v>
      </c>
      <c r="R304" s="70">
        <v>0.77443488212035505</v>
      </c>
      <c r="S304" s="70">
        <v>0.216047042761739</v>
      </c>
      <c r="T304" s="70">
        <v>75.508971053114237</v>
      </c>
      <c r="U304" s="70"/>
      <c r="V304" s="70">
        <v>-64.699999999999932</v>
      </c>
      <c r="W304" s="70">
        <v>159.80000000000007</v>
      </c>
    </row>
    <row r="305" spans="1:23" x14ac:dyDescent="0.25">
      <c r="A305" s="68">
        <v>43761</v>
      </c>
      <c r="B305" s="70">
        <v>236.2</v>
      </c>
      <c r="C305" s="70">
        <v>234.86</v>
      </c>
      <c r="D305" s="70">
        <v>237.67</v>
      </c>
      <c r="E305" s="70">
        <v>233.16</v>
      </c>
      <c r="F305" s="70">
        <v>39.6</v>
      </c>
      <c r="G305" s="70">
        <v>3.5999999999999999E-3</v>
      </c>
      <c r="H305" s="70">
        <v>229.12403846153842</v>
      </c>
      <c r="I305" s="70">
        <v>228.43005698005697</v>
      </c>
      <c r="J305" s="70">
        <v>0.69398148148144401</v>
      </c>
      <c r="K305" s="70">
        <v>-1.4818558088002407</v>
      </c>
      <c r="L305" s="70">
        <v>2.1758372902816845</v>
      </c>
      <c r="M305" s="70">
        <v>0.53053647523732705</v>
      </c>
      <c r="N305" s="70">
        <v>0.51219512195121475</v>
      </c>
      <c r="O305" s="70">
        <v>0</v>
      </c>
      <c r="P305" s="70">
        <v>0.34041188280035695</v>
      </c>
      <c r="Q305" s="70">
        <v>5.2557566795966695E-2</v>
      </c>
      <c r="R305" s="70">
        <v>0.73251067303091244</v>
      </c>
      <c r="S305" s="70">
        <v>0.13495622803513804</v>
      </c>
      <c r="T305" s="70">
        <v>62.958927987798234</v>
      </c>
      <c r="U305" s="70"/>
      <c r="V305" s="70">
        <v>-64.699999999999932</v>
      </c>
      <c r="W305" s="70">
        <v>159.80000000000007</v>
      </c>
    </row>
    <row r="306" spans="1:23" x14ac:dyDescent="0.25">
      <c r="A306" s="68">
        <v>43760</v>
      </c>
      <c r="B306" s="70">
        <v>235.36</v>
      </c>
      <c r="C306" s="70">
        <v>228.58</v>
      </c>
      <c r="D306" s="70">
        <v>235.36</v>
      </c>
      <c r="E306" s="70">
        <v>228.28</v>
      </c>
      <c r="F306" s="70">
        <v>42.88</v>
      </c>
      <c r="G306" s="70">
        <v>2.98E-2</v>
      </c>
      <c r="H306" s="70">
        <v>228.30096153846151</v>
      </c>
      <c r="I306" s="70">
        <v>228.27452991452992</v>
      </c>
      <c r="J306" s="70">
        <v>2.6431623931586046E-2</v>
      </c>
      <c r="K306" s="70">
        <v>-2.0054734093067275</v>
      </c>
      <c r="L306" s="70">
        <v>2.0319050332383135</v>
      </c>
      <c r="M306" s="70">
        <v>0.25320204961230219</v>
      </c>
      <c r="N306" s="70">
        <v>0.88276836158191929</v>
      </c>
      <c r="O306" s="70">
        <v>0</v>
      </c>
      <c r="P306" s="70">
        <v>0.35957981009147644</v>
      </c>
      <c r="Q306" s="70">
        <v>5.2557566795966695E-2</v>
      </c>
      <c r="R306" s="70">
        <v>0.74495122382301948</v>
      </c>
      <c r="S306" s="70">
        <v>4.646399619022816E-2</v>
      </c>
      <c r="T306" s="70">
        <v>62.779903337219544</v>
      </c>
      <c r="U306" s="70"/>
      <c r="V306" s="70">
        <v>-64.699999999999932</v>
      </c>
      <c r="W306" s="70">
        <v>159.80000000000007</v>
      </c>
    </row>
    <row r="307" spans="1:23" x14ac:dyDescent="0.25">
      <c r="A307" s="68">
        <v>43759</v>
      </c>
      <c r="B307" s="70">
        <v>228.54</v>
      </c>
      <c r="C307" s="70">
        <v>228.49</v>
      </c>
      <c r="D307" s="70">
        <v>229.11</v>
      </c>
      <c r="E307" s="70">
        <v>227.31</v>
      </c>
      <c r="F307" s="70">
        <v>14.41</v>
      </c>
      <c r="G307" s="70">
        <v>2.3999999999999998E-3</v>
      </c>
      <c r="H307" s="70">
        <v>226.28570512820514</v>
      </c>
      <c r="I307" s="70">
        <v>227.75225071225066</v>
      </c>
      <c r="J307" s="70">
        <v>-1.4665455840455195</v>
      </c>
      <c r="K307" s="70">
        <v>-2.6532964545741957</v>
      </c>
      <c r="L307" s="70">
        <v>1.1867508705286762</v>
      </c>
      <c r="M307" s="70">
        <v>-0.11183527267287183</v>
      </c>
      <c r="N307" s="70">
        <v>0.11666666666667035</v>
      </c>
      <c r="O307" s="70">
        <v>0</v>
      </c>
      <c r="P307" s="70">
        <v>0.19193220346081979</v>
      </c>
      <c r="Q307" s="70">
        <v>9.2118006356406434E-2</v>
      </c>
      <c r="R307" s="70">
        <v>0.35139631535086485</v>
      </c>
      <c r="S307" s="70">
        <v>-0.10367222584966743</v>
      </c>
      <c r="T307" s="70">
        <v>62.557334082186649</v>
      </c>
      <c r="U307" s="70"/>
      <c r="V307" s="70">
        <v>-64.699999999999932</v>
      </c>
      <c r="W307" s="70">
        <v>159.80000000000007</v>
      </c>
    </row>
    <row r="308" spans="1:23" x14ac:dyDescent="0.25">
      <c r="A308" s="68">
        <v>43756</v>
      </c>
      <c r="B308" s="70">
        <v>228</v>
      </c>
      <c r="C308" s="70">
        <v>227.88</v>
      </c>
      <c r="D308" s="70">
        <v>228.9</v>
      </c>
      <c r="E308" s="70">
        <v>227.2</v>
      </c>
      <c r="F308" s="70">
        <v>16.559999999999999</v>
      </c>
      <c r="G308" s="70">
        <v>0</v>
      </c>
      <c r="H308" s="70">
        <v>225.81903846153847</v>
      </c>
      <c r="I308" s="70">
        <v>227.8532763532763</v>
      </c>
      <c r="J308" s="70">
        <v>-2.0342378917378312</v>
      </c>
      <c r="K308" s="70">
        <v>-2.9630267489711648</v>
      </c>
      <c r="L308" s="70">
        <v>0.9287888572333336</v>
      </c>
      <c r="M308" s="70">
        <v>-0.33204213323870901</v>
      </c>
      <c r="N308" s="70">
        <v>0.17647058823529904</v>
      </c>
      <c r="O308" s="70">
        <v>0</v>
      </c>
      <c r="P308" s="70">
        <v>0.19278331313545882</v>
      </c>
      <c r="Q308" s="70">
        <v>0.12935136123681981</v>
      </c>
      <c r="R308" s="70">
        <v>0.19691128259397855</v>
      </c>
      <c r="S308" s="70">
        <v>-0.18194006040695043</v>
      </c>
      <c r="T308" s="70">
        <v>50.12122048874776</v>
      </c>
      <c r="U308" s="70"/>
      <c r="V308" s="70">
        <v>-64.699999999999932</v>
      </c>
      <c r="W308" s="70">
        <v>159.80000000000007</v>
      </c>
    </row>
    <row r="309" spans="1:23" x14ac:dyDescent="0.25">
      <c r="A309" s="68">
        <v>43755</v>
      </c>
      <c r="B309" s="70">
        <v>228</v>
      </c>
      <c r="C309" s="70">
        <v>227.66</v>
      </c>
      <c r="D309" s="70">
        <v>228.6</v>
      </c>
      <c r="E309" s="70">
        <v>226</v>
      </c>
      <c r="F309" s="70">
        <v>21.41</v>
      </c>
      <c r="G309" s="70">
        <v>1.2999999999999999E-3</v>
      </c>
      <c r="H309" s="70">
        <v>225.50878205128208</v>
      </c>
      <c r="I309" s="70">
        <v>228.0270655270655</v>
      </c>
      <c r="J309" s="70">
        <v>-2.51828347578342</v>
      </c>
      <c r="K309" s="70">
        <v>-3.1711115859448995</v>
      </c>
      <c r="L309" s="70">
        <v>0.65282811016147946</v>
      </c>
      <c r="M309" s="70">
        <v>-0.51449272095425536</v>
      </c>
      <c r="N309" s="70">
        <v>0.26923076923076544</v>
      </c>
      <c r="O309" s="70">
        <v>0</v>
      </c>
      <c r="P309" s="70">
        <v>0.19439934416325297</v>
      </c>
      <c r="Q309" s="70">
        <v>0.14837581504388281</v>
      </c>
      <c r="R309" s="70">
        <v>0.13426739914825211</v>
      </c>
      <c r="S309" s="70">
        <v>-0.23212400768802935</v>
      </c>
      <c r="T309" s="70">
        <v>50.254436723054347</v>
      </c>
      <c r="U309" s="70"/>
      <c r="V309" s="70">
        <v>-64.699999999999932</v>
      </c>
      <c r="W309" s="70">
        <v>159.80000000000007</v>
      </c>
    </row>
    <row r="310" spans="1:23" x14ac:dyDescent="0.25">
      <c r="A310" s="68">
        <v>43754</v>
      </c>
      <c r="B310" s="70">
        <v>227.7</v>
      </c>
      <c r="C310" s="70">
        <v>226</v>
      </c>
      <c r="D310" s="70">
        <v>227.9</v>
      </c>
      <c r="E310" s="70">
        <v>225.11</v>
      </c>
      <c r="F310" s="70">
        <v>17.8</v>
      </c>
      <c r="G310" s="70">
        <v>7.4999999999999997E-3</v>
      </c>
      <c r="H310" s="70">
        <v>225.35615384615392</v>
      </c>
      <c r="I310" s="70">
        <v>228.25662393162398</v>
      </c>
      <c r="J310" s="70">
        <v>-2.9004700854700616</v>
      </c>
      <c r="K310" s="70">
        <v>-3.3413798670465296</v>
      </c>
      <c r="L310" s="70">
        <v>0.44090978157646799</v>
      </c>
      <c r="M310" s="70">
        <v>-0.67565634555378262</v>
      </c>
      <c r="N310" s="70">
        <v>0.26881720430107603</v>
      </c>
      <c r="O310" s="70">
        <v>0</v>
      </c>
      <c r="P310" s="70">
        <v>0.17658878416907103</v>
      </c>
      <c r="Q310" s="70">
        <v>0.20597551871100189</v>
      </c>
      <c r="R310" s="70">
        <v>-7.6815150605264587E-2</v>
      </c>
      <c r="S310" s="70">
        <v>-0.30538310136559377</v>
      </c>
      <c r="T310" s="70">
        <v>50.209221253553999</v>
      </c>
      <c r="U310" s="70"/>
      <c r="V310" s="70">
        <v>-64.699999999999932</v>
      </c>
      <c r="W310" s="70">
        <v>159.80000000000007</v>
      </c>
    </row>
    <row r="311" spans="1:23" x14ac:dyDescent="0.25">
      <c r="A311" s="68">
        <v>43753</v>
      </c>
      <c r="B311" s="70">
        <v>226</v>
      </c>
      <c r="C311" s="70">
        <v>226</v>
      </c>
      <c r="D311" s="70">
        <v>227.15</v>
      </c>
      <c r="E311" s="70">
        <v>224.06</v>
      </c>
      <c r="F311" s="70">
        <v>18.16</v>
      </c>
      <c r="G311" s="70">
        <v>0</v>
      </c>
      <c r="H311" s="70">
        <v>224.96769230769232</v>
      </c>
      <c r="I311" s="70">
        <v>228.3194444444444</v>
      </c>
      <c r="J311" s="70">
        <v>-3.3517521367520828</v>
      </c>
      <c r="K311" s="70">
        <v>-3.4438547008546969</v>
      </c>
      <c r="L311" s="70">
        <v>9.2102564102614082E-2</v>
      </c>
      <c r="M311" s="70">
        <v>-0.83042451186040367</v>
      </c>
      <c r="N311" s="70">
        <v>0</v>
      </c>
      <c r="O311" s="70">
        <v>0.46601941747572689</v>
      </c>
      <c r="P311" s="70">
        <v>0.12046211513917605</v>
      </c>
      <c r="Q311" s="70">
        <v>0.27254972120753429</v>
      </c>
      <c r="R311" s="70">
        <v>-0.38697970901361961</v>
      </c>
      <c r="S311" s="70">
        <v>-0.3579998329007511</v>
      </c>
      <c r="T311" s="70">
        <v>37.715693416450257</v>
      </c>
      <c r="U311" s="70"/>
      <c r="V311" s="70">
        <v>-64.699999999999932</v>
      </c>
      <c r="W311" s="70">
        <v>159.80000000000007</v>
      </c>
    </row>
    <row r="312" spans="1:23" x14ac:dyDescent="0.25">
      <c r="A312" s="68">
        <v>43752</v>
      </c>
      <c r="B312" s="70">
        <v>226</v>
      </c>
      <c r="C312" s="70">
        <v>227.37</v>
      </c>
      <c r="D312" s="70">
        <v>228.61</v>
      </c>
      <c r="E312" s="70">
        <v>225.5</v>
      </c>
      <c r="F312" s="70">
        <v>14.7</v>
      </c>
      <c r="G312" s="70">
        <v>-6.0000000000000001E-3</v>
      </c>
      <c r="H312" s="70">
        <v>225.17993589743591</v>
      </c>
      <c r="I312" s="70">
        <v>228.63461538461536</v>
      </c>
      <c r="J312" s="70">
        <v>-3.4546794871794475</v>
      </c>
      <c r="K312" s="70">
        <v>-3.3843433048433083</v>
      </c>
      <c r="L312" s="70">
        <v>-7.0336182336139252E-2</v>
      </c>
      <c r="M312" s="70">
        <v>-0.92398897968128302</v>
      </c>
      <c r="N312" s="70">
        <v>0.35691318327974558</v>
      </c>
      <c r="O312" s="70">
        <v>0</v>
      </c>
      <c r="P312" s="70">
        <v>0.23261303922001736</v>
      </c>
      <c r="Q312" s="70">
        <v>0.17524896371260229</v>
      </c>
      <c r="R312" s="70">
        <v>0.14064579464366489</v>
      </c>
      <c r="S312" s="70">
        <v>-0.24994828140570605</v>
      </c>
      <c r="T312" s="70">
        <v>37.776614291204602</v>
      </c>
      <c r="U312" s="70"/>
      <c r="V312" s="70">
        <v>-64.699999999999932</v>
      </c>
      <c r="W312" s="70">
        <v>159.80000000000007</v>
      </c>
    </row>
    <row r="313" spans="1:23" x14ac:dyDescent="0.25">
      <c r="A313" s="68">
        <v>43749</v>
      </c>
      <c r="B313" s="70">
        <v>227.37</v>
      </c>
      <c r="C313" s="70">
        <v>225</v>
      </c>
      <c r="D313" s="70">
        <v>227.5</v>
      </c>
      <c r="E313" s="70">
        <v>224.82</v>
      </c>
      <c r="F313" s="70">
        <v>18.39</v>
      </c>
      <c r="G313" s="70">
        <v>1.2800000000000001E-2</v>
      </c>
      <c r="H313" s="70">
        <v>225.81166666666667</v>
      </c>
      <c r="I313" s="70">
        <v>229.03844729344729</v>
      </c>
      <c r="J313" s="70">
        <v>-3.2267806267806236</v>
      </c>
      <c r="K313" s="70">
        <v>-3.1690870528648425</v>
      </c>
      <c r="L313" s="70">
        <v>-5.7693573915781116E-2</v>
      </c>
      <c r="M313" s="70">
        <v>-1.0051390932587498</v>
      </c>
      <c r="N313" s="70">
        <v>0.85666666666666436</v>
      </c>
      <c r="O313" s="70">
        <v>0</v>
      </c>
      <c r="P313" s="70">
        <v>0.28047365663047313</v>
      </c>
      <c r="Q313" s="70">
        <v>0.20731893455808353</v>
      </c>
      <c r="R313" s="70">
        <v>0.14997095772639887</v>
      </c>
      <c r="S313" s="70">
        <v>-0.30002701081078209</v>
      </c>
      <c r="T313" s="70">
        <v>37.827180599786942</v>
      </c>
      <c r="U313" s="70"/>
      <c r="V313" s="70">
        <v>-64.699999999999932</v>
      </c>
      <c r="W313" s="70">
        <v>159.80000000000007</v>
      </c>
    </row>
    <row r="314" spans="1:23" x14ac:dyDescent="0.25">
      <c r="A314" s="68">
        <v>43748</v>
      </c>
      <c r="B314" s="70">
        <v>224.5</v>
      </c>
      <c r="C314" s="70">
        <v>223</v>
      </c>
      <c r="D314" s="70">
        <v>224.93</v>
      </c>
      <c r="E314" s="70">
        <v>222.27</v>
      </c>
      <c r="F314" s="70">
        <v>14.67</v>
      </c>
      <c r="G314" s="70">
        <v>5.8999999999999999E-3</v>
      </c>
      <c r="H314" s="70">
        <v>225.44487179487177</v>
      </c>
      <c r="I314" s="70">
        <v>229.13960113960113</v>
      </c>
      <c r="J314" s="70">
        <v>-3.6947293447293532</v>
      </c>
      <c r="K314" s="70">
        <v>-3.0874010762899795</v>
      </c>
      <c r="L314" s="70">
        <v>-0.60732826843937371</v>
      </c>
      <c r="M314" s="70">
        <v>-1.1659938080279937</v>
      </c>
      <c r="N314" s="70">
        <v>8.2706766917292909E-2</v>
      </c>
      <c r="O314" s="70">
        <v>0</v>
      </c>
      <c r="P314" s="70">
        <v>0.11342444018276084</v>
      </c>
      <c r="Q314" s="70">
        <v>0.2390579691624477</v>
      </c>
      <c r="R314" s="70">
        <v>-0.35642496093087567</v>
      </c>
      <c r="S314" s="70">
        <v>-0.42500063387736209</v>
      </c>
      <c r="T314" s="70">
        <v>37.796650837848539</v>
      </c>
      <c r="U314" s="70">
        <v>1</v>
      </c>
      <c r="V314" s="70">
        <v>-64.699999999999932</v>
      </c>
      <c r="W314" s="70">
        <v>159.80000000000007</v>
      </c>
    </row>
    <row r="315" spans="1:23" x14ac:dyDescent="0.25">
      <c r="A315" s="68">
        <v>43747</v>
      </c>
      <c r="B315" s="70">
        <v>223.18</v>
      </c>
      <c r="C315" s="70">
        <v>223.1</v>
      </c>
      <c r="D315" s="70">
        <v>224.71</v>
      </c>
      <c r="E315" s="70">
        <v>221.72</v>
      </c>
      <c r="F315" s="70">
        <v>14.92</v>
      </c>
      <c r="G315" s="70">
        <v>-1E-4</v>
      </c>
      <c r="H315" s="70">
        <v>225.46743589743585</v>
      </c>
      <c r="I315" s="70">
        <v>229.36981481481479</v>
      </c>
      <c r="J315" s="70">
        <v>-3.9023789173789396</v>
      </c>
      <c r="K315" s="70">
        <v>-2.857179170623624</v>
      </c>
      <c r="L315" s="70">
        <v>-1.0451997467553156</v>
      </c>
      <c r="M315" s="70">
        <v>-1.2480338888714968</v>
      </c>
      <c r="N315" s="70">
        <v>0</v>
      </c>
      <c r="O315" s="70">
        <v>0.33110367892976794</v>
      </c>
      <c r="P315" s="70">
        <v>0.10308184160486825</v>
      </c>
      <c r="Q315" s="70">
        <v>0.28635849472384312</v>
      </c>
      <c r="R315" s="70">
        <v>-0.47061548592202895</v>
      </c>
      <c r="S315" s="70">
        <v>-0.42993728979361839</v>
      </c>
      <c r="T315" s="70">
        <v>25.249652911362759</v>
      </c>
      <c r="U315" s="70"/>
      <c r="V315" s="70">
        <v>-64.699999999999932</v>
      </c>
      <c r="W315" s="70">
        <v>158.48000000000008</v>
      </c>
    </row>
    <row r="316" spans="1:23" x14ac:dyDescent="0.25">
      <c r="A316" s="68">
        <v>43746</v>
      </c>
      <c r="B316" s="70">
        <v>223.2</v>
      </c>
      <c r="C316" s="70">
        <v>226.53</v>
      </c>
      <c r="D316" s="70">
        <v>227.7</v>
      </c>
      <c r="E316" s="70">
        <v>222.71</v>
      </c>
      <c r="F316" s="70">
        <v>22.26</v>
      </c>
      <c r="G316" s="70">
        <v>-1.4E-2</v>
      </c>
      <c r="H316" s="70">
        <v>225.97679487179488</v>
      </c>
      <c r="I316" s="70">
        <v>229.6504985754986</v>
      </c>
      <c r="J316" s="70">
        <v>-3.6737037037037226</v>
      </c>
      <c r="K316" s="70">
        <v>-2.4719176954732527</v>
      </c>
      <c r="L316" s="70">
        <v>-1.2017860082304699</v>
      </c>
      <c r="M316" s="70">
        <v>-1.2340575505532791</v>
      </c>
      <c r="N316" s="70">
        <v>0.17835671342685167</v>
      </c>
      <c r="O316" s="70">
        <v>0</v>
      </c>
      <c r="P316" s="70">
        <v>0.12856137209441848</v>
      </c>
      <c r="Q316" s="70">
        <v>0.25836981450773783</v>
      </c>
      <c r="R316" s="70">
        <v>-0.33548198467338519</v>
      </c>
      <c r="S316" s="70">
        <v>-0.40411061248548985</v>
      </c>
      <c r="T316" s="70">
        <v>25.167841184447454</v>
      </c>
      <c r="U316" s="70"/>
      <c r="V316" s="70">
        <v>-64.699999999999932</v>
      </c>
      <c r="W316" s="70">
        <v>158.50000000000006</v>
      </c>
    </row>
    <row r="317" spans="1:23" x14ac:dyDescent="0.25">
      <c r="A317" s="68">
        <v>43745</v>
      </c>
      <c r="B317" s="70">
        <v>226.36</v>
      </c>
      <c r="C317" s="70">
        <v>221.9</v>
      </c>
      <c r="D317" s="70">
        <v>226.81</v>
      </c>
      <c r="E317" s="70">
        <v>220.68</v>
      </c>
      <c r="F317" s="70">
        <v>22.39</v>
      </c>
      <c r="G317" s="70">
        <v>2.12E-2</v>
      </c>
      <c r="H317" s="70">
        <v>226.97134615384616</v>
      </c>
      <c r="I317" s="70">
        <v>230.25743589743593</v>
      </c>
      <c r="J317" s="70">
        <v>-3.2860897435897698</v>
      </c>
      <c r="K317" s="70">
        <v>-2.0914667616334235</v>
      </c>
      <c r="L317" s="70">
        <v>-1.1946229819563463</v>
      </c>
      <c r="M317" s="70">
        <v>-1.1707203281049474</v>
      </c>
      <c r="N317" s="70">
        <v>0.35236541598694915</v>
      </c>
      <c r="O317" s="70">
        <v>0</v>
      </c>
      <c r="P317" s="70">
        <v>0.14165997487156307</v>
      </c>
      <c r="Q317" s="70">
        <v>0.30423699080969691</v>
      </c>
      <c r="R317" s="70">
        <v>-0.36460668820596681</v>
      </c>
      <c r="S317" s="70">
        <v>-0.40831958992157846</v>
      </c>
      <c r="T317" s="70">
        <v>37.875327002527527</v>
      </c>
      <c r="U317" s="70"/>
      <c r="V317" s="70">
        <v>-64.699999999999932</v>
      </c>
      <c r="W317" s="70">
        <v>161.66000000000008</v>
      </c>
    </row>
    <row r="318" spans="1:23" x14ac:dyDescent="0.25">
      <c r="A318" s="68">
        <v>43742</v>
      </c>
      <c r="B318" s="70">
        <v>221.66</v>
      </c>
      <c r="C318" s="70">
        <v>224.3</v>
      </c>
      <c r="D318" s="70">
        <v>224.65</v>
      </c>
      <c r="E318" s="70">
        <v>221.24</v>
      </c>
      <c r="F318" s="70">
        <v>22.03</v>
      </c>
      <c r="G318" s="70">
        <v>-6.4999999999999997E-3</v>
      </c>
      <c r="H318" s="70">
        <v>226.54160256410256</v>
      </c>
      <c r="I318" s="70">
        <v>230.11548433048438</v>
      </c>
      <c r="J318" s="70">
        <v>-3.5738817663818168</v>
      </c>
      <c r="K318" s="70">
        <v>-1.8553334916112627</v>
      </c>
      <c r="L318" s="70">
        <v>-1.7185482747705541</v>
      </c>
      <c r="M318" s="70">
        <v>-1.1643186639255083</v>
      </c>
      <c r="N318" s="70">
        <v>0</v>
      </c>
      <c r="O318" s="70">
        <v>0</v>
      </c>
      <c r="P318" s="70">
        <v>6.8089173731430822E-2</v>
      </c>
      <c r="Q318" s="70">
        <v>0.30662014981936203</v>
      </c>
      <c r="R318" s="70">
        <v>-0.63657603666645279</v>
      </c>
      <c r="S318" s="70">
        <v>-0.42199198507631358</v>
      </c>
      <c r="T318" s="70">
        <v>37.946369381712117</v>
      </c>
      <c r="U318" s="70"/>
      <c r="V318" s="70">
        <v>-64.699999999999932</v>
      </c>
      <c r="W318" s="70">
        <v>156.96000000000006</v>
      </c>
    </row>
    <row r="319" spans="1:23" x14ac:dyDescent="0.25">
      <c r="A319" s="68">
        <v>43741</v>
      </c>
      <c r="B319" s="70">
        <v>223.1</v>
      </c>
      <c r="C319" s="70">
        <v>223.5</v>
      </c>
      <c r="D319" s="70">
        <v>224.89</v>
      </c>
      <c r="E319" s="70">
        <v>220.79</v>
      </c>
      <c r="F319" s="70">
        <v>29.98</v>
      </c>
      <c r="G319" s="70">
        <v>-2.2000000000000001E-3</v>
      </c>
      <c r="H319" s="70">
        <v>227.59519230769229</v>
      </c>
      <c r="I319" s="70">
        <v>230.63311965811968</v>
      </c>
      <c r="J319" s="70">
        <v>-3.0379273504273954</v>
      </c>
      <c r="K319" s="70">
        <v>-1.3646003482114497</v>
      </c>
      <c r="L319" s="70">
        <v>-1.6733270022159457</v>
      </c>
      <c r="M319" s="70">
        <v>-1.0324720926430357</v>
      </c>
      <c r="N319" s="70">
        <v>0</v>
      </c>
      <c r="O319" s="70">
        <v>0.60000000000000275</v>
      </c>
      <c r="P319" s="70">
        <v>7.4893757048469525E-2</v>
      </c>
      <c r="Q319" s="70">
        <v>0.39233443553364811</v>
      </c>
      <c r="R319" s="70">
        <v>-0.67941250875906178</v>
      </c>
      <c r="S319" s="70">
        <v>-0.37918252951868925</v>
      </c>
      <c r="T319" s="70">
        <v>37.820173989648723</v>
      </c>
      <c r="U319" s="70"/>
      <c r="V319" s="70">
        <v>-64.699999999999932</v>
      </c>
      <c r="W319" s="70">
        <v>158.40000000000006</v>
      </c>
    </row>
    <row r="320" spans="1:23" x14ac:dyDescent="0.25">
      <c r="A320" s="68">
        <v>43740</v>
      </c>
      <c r="B320" s="70">
        <v>223.6</v>
      </c>
      <c r="C320" s="70">
        <v>226.16</v>
      </c>
      <c r="D320" s="70">
        <v>226.65</v>
      </c>
      <c r="E320" s="70">
        <v>223.25</v>
      </c>
      <c r="F320" s="70">
        <v>31.88</v>
      </c>
      <c r="G320" s="70">
        <v>-1.2800000000000001E-2</v>
      </c>
      <c r="H320" s="70">
        <v>228.41108974358974</v>
      </c>
      <c r="I320" s="70">
        <v>230.86175213675213</v>
      </c>
      <c r="J320" s="70">
        <v>-2.4506623931623892</v>
      </c>
      <c r="K320" s="70">
        <v>-0.85652690724910996</v>
      </c>
      <c r="L320" s="70">
        <v>-1.5941354859132792</v>
      </c>
      <c r="M320" s="70">
        <v>-0.88664993442770745</v>
      </c>
      <c r="N320" s="70">
        <v>0</v>
      </c>
      <c r="O320" s="70">
        <v>0.56470588235293651</v>
      </c>
      <c r="P320" s="70">
        <v>0.11561773894892208</v>
      </c>
      <c r="Q320" s="70">
        <v>0.34773197916648468</v>
      </c>
      <c r="R320" s="70">
        <v>-0.50094827112800744</v>
      </c>
      <c r="S320" s="70">
        <v>-0.28171645869337697</v>
      </c>
      <c r="T320" s="70">
        <v>37.669595165235322</v>
      </c>
      <c r="U320" s="70"/>
      <c r="V320" s="70">
        <v>-64.699999999999932</v>
      </c>
      <c r="W320" s="70">
        <v>158.90000000000006</v>
      </c>
    </row>
    <row r="321" spans="1:23" x14ac:dyDescent="0.25">
      <c r="A321" s="68">
        <v>43739</v>
      </c>
      <c r="B321" s="70">
        <v>226.49</v>
      </c>
      <c r="C321" s="70">
        <v>226</v>
      </c>
      <c r="D321" s="70">
        <v>227.7</v>
      </c>
      <c r="E321" s="70">
        <v>225.17</v>
      </c>
      <c r="F321" s="70">
        <v>16.75</v>
      </c>
      <c r="G321" s="70">
        <v>2.5999999999999999E-3</v>
      </c>
      <c r="H321" s="70">
        <v>229.65108974358981</v>
      </c>
      <c r="I321" s="70">
        <v>231.19690883190887</v>
      </c>
      <c r="J321" s="70">
        <v>-1.5458190883190639</v>
      </c>
      <c r="K321" s="70">
        <v>-0.30535565052229702</v>
      </c>
      <c r="L321" s="70">
        <v>-1.2404634377967669</v>
      </c>
      <c r="M321" s="70">
        <v>-0.70264500172191524</v>
      </c>
      <c r="N321" s="70">
        <v>0</v>
      </c>
      <c r="O321" s="70">
        <v>0.28853754940712167</v>
      </c>
      <c r="P321" s="70">
        <v>0.11561773894892208</v>
      </c>
      <c r="Q321" s="70">
        <v>0.28898209219541571</v>
      </c>
      <c r="R321" s="70">
        <v>-0.4284835037033104</v>
      </c>
      <c r="S321" s="70">
        <v>-0.24064666876980864</v>
      </c>
      <c r="T321" s="70">
        <v>37.529435547760713</v>
      </c>
      <c r="U321" s="70"/>
      <c r="V321" s="70">
        <v>-64.699999999999932</v>
      </c>
      <c r="W321" s="70">
        <v>161.79000000000008</v>
      </c>
    </row>
    <row r="322" spans="1:23" x14ac:dyDescent="0.25">
      <c r="A322" s="68">
        <v>43738</v>
      </c>
      <c r="B322" s="70">
        <v>225.9</v>
      </c>
      <c r="C322" s="70">
        <v>229.05</v>
      </c>
      <c r="D322" s="70">
        <v>229.46</v>
      </c>
      <c r="E322" s="70">
        <v>225.9</v>
      </c>
      <c r="F322" s="70">
        <v>26.48</v>
      </c>
      <c r="G322" s="70">
        <v>-1.3599999999999999E-2</v>
      </c>
      <c r="H322" s="70">
        <v>229.98410256410256</v>
      </c>
      <c r="I322" s="70">
        <v>231.23903133903133</v>
      </c>
      <c r="J322" s="70">
        <v>-1.2549287749287714</v>
      </c>
      <c r="K322" s="70">
        <v>7.740170940172042E-2</v>
      </c>
      <c r="L322" s="70">
        <v>-1.3323304843304919</v>
      </c>
      <c r="M322" s="70">
        <v>-0.60354315769699607</v>
      </c>
      <c r="N322" s="70">
        <v>0</v>
      </c>
      <c r="O322" s="70">
        <v>0.87359550561797283</v>
      </c>
      <c r="P322" s="70">
        <v>0.11561773894892208</v>
      </c>
      <c r="Q322" s="70">
        <v>0.36560485450720259</v>
      </c>
      <c r="R322" s="70">
        <v>-0.51948333049552253</v>
      </c>
      <c r="S322" s="70">
        <v>-0.23223065626537065</v>
      </c>
      <c r="T322" s="70">
        <v>25.099492994602841</v>
      </c>
      <c r="U322" s="70"/>
      <c r="V322" s="70">
        <v>-64.699999999999932</v>
      </c>
      <c r="W322" s="70">
        <v>161.20000000000007</v>
      </c>
    </row>
    <row r="323" spans="1:23" x14ac:dyDescent="0.25">
      <c r="A323" s="68">
        <v>43735</v>
      </c>
      <c r="B323" s="70">
        <v>229.01</v>
      </c>
      <c r="C323" s="70">
        <v>231.92</v>
      </c>
      <c r="D323" s="70">
        <v>232.14</v>
      </c>
      <c r="E323" s="70">
        <v>229.01</v>
      </c>
      <c r="F323" s="70">
        <v>13.57</v>
      </c>
      <c r="G323" s="70">
        <v>-1.2800000000000001E-2</v>
      </c>
      <c r="H323" s="70">
        <v>230.95474358974366</v>
      </c>
      <c r="I323" s="70">
        <v>231.59226495726494</v>
      </c>
      <c r="J323" s="70">
        <v>-0.63752136752128763</v>
      </c>
      <c r="K323" s="70">
        <v>0.51313706869264919</v>
      </c>
      <c r="L323" s="70">
        <v>-1.1506584362139369</v>
      </c>
      <c r="M323" s="70">
        <v>-0.4468735411470281</v>
      </c>
      <c r="N323" s="70">
        <v>0</v>
      </c>
      <c r="O323" s="70">
        <v>0</v>
      </c>
      <c r="P323" s="70">
        <v>0.12142325418839958</v>
      </c>
      <c r="Q323" s="70">
        <v>0.18320579289465877</v>
      </c>
      <c r="R323" s="70">
        <v>-0.2028123690037146</v>
      </c>
      <c r="S323" s="70">
        <v>-0.15370835671105174</v>
      </c>
      <c r="T323" s="70">
        <v>24.996470958704776</v>
      </c>
      <c r="U323" s="70"/>
      <c r="V323" s="70">
        <v>-64.699999999999932</v>
      </c>
      <c r="W323" s="70">
        <v>164.31000000000006</v>
      </c>
    </row>
    <row r="324" spans="1:23" x14ac:dyDescent="0.25">
      <c r="A324" s="68">
        <v>43734</v>
      </c>
      <c r="B324" s="70">
        <v>231.97</v>
      </c>
      <c r="C324" s="70">
        <v>228.74</v>
      </c>
      <c r="D324" s="70">
        <v>233.7</v>
      </c>
      <c r="E324" s="70">
        <v>228.31</v>
      </c>
      <c r="F324" s="70">
        <v>40.42</v>
      </c>
      <c r="G324" s="70">
        <v>1.55E-2</v>
      </c>
      <c r="H324" s="70">
        <v>231.83743589743594</v>
      </c>
      <c r="I324" s="70">
        <v>231.92014245014244</v>
      </c>
      <c r="J324" s="70">
        <v>-8.2706552706497405E-2</v>
      </c>
      <c r="K324" s="70">
        <v>0.89230136119025971</v>
      </c>
      <c r="L324" s="70">
        <v>-0.97500791389675712</v>
      </c>
      <c r="M324" s="70">
        <v>-0.30525660158137635</v>
      </c>
      <c r="N324" s="70">
        <v>0.92764378478664433</v>
      </c>
      <c r="O324" s="70">
        <v>0</v>
      </c>
      <c r="P324" s="70">
        <v>0.25394379487220592</v>
      </c>
      <c r="Q324" s="70">
        <v>0.20418481387367965</v>
      </c>
      <c r="R324" s="70">
        <v>0.10861356407044762</v>
      </c>
      <c r="S324" s="70">
        <v>-0.11216878528210444</v>
      </c>
      <c r="T324" s="70">
        <v>24.934603532221644</v>
      </c>
      <c r="U324" s="70"/>
      <c r="V324" s="70">
        <v>-64.699999999999932</v>
      </c>
      <c r="W324" s="70">
        <v>167.27000000000007</v>
      </c>
    </row>
    <row r="325" spans="1:23" x14ac:dyDescent="0.25">
      <c r="A325" s="68">
        <v>43733</v>
      </c>
      <c r="B325" s="70">
        <v>228.43</v>
      </c>
      <c r="C325" s="70">
        <v>227.04</v>
      </c>
      <c r="D325" s="70">
        <v>228.7</v>
      </c>
      <c r="E325" s="70">
        <v>225.76</v>
      </c>
      <c r="F325" s="70">
        <v>22.05</v>
      </c>
      <c r="G325" s="70">
        <v>3.2000000000000002E-3</v>
      </c>
      <c r="H325" s="70">
        <v>231.36544871794877</v>
      </c>
      <c r="I325" s="70">
        <v>231.6312108262108</v>
      </c>
      <c r="J325" s="70">
        <v>-0.26576210826203805</v>
      </c>
      <c r="K325" s="70">
        <v>1.0627431149097903</v>
      </c>
      <c r="L325" s="70">
        <v>-1.3285052231718284</v>
      </c>
      <c r="M325" s="70">
        <v>-0.22775680160294581</v>
      </c>
      <c r="N325" s="70">
        <v>0</v>
      </c>
      <c r="O325" s="70">
        <v>0.48639455782313196</v>
      </c>
      <c r="P325" s="70">
        <v>6.0259927718950501E-2</v>
      </c>
      <c r="Q325" s="70">
        <v>0.27366975070555566</v>
      </c>
      <c r="R325" s="70">
        <v>-0.63908612134591147</v>
      </c>
      <c r="S325" s="70">
        <v>-0.22480975877534307</v>
      </c>
      <c r="T325" s="70">
        <v>25.052721511458145</v>
      </c>
      <c r="U325" s="70"/>
      <c r="V325" s="70">
        <v>-64.699999999999932</v>
      </c>
      <c r="W325" s="70">
        <v>163.73000000000008</v>
      </c>
    </row>
    <row r="326" spans="1:23" x14ac:dyDescent="0.25">
      <c r="A326" s="68">
        <v>43732</v>
      </c>
      <c r="B326" s="70">
        <v>227.7</v>
      </c>
      <c r="C326" s="70">
        <v>230.36</v>
      </c>
      <c r="D326" s="70">
        <v>230.68</v>
      </c>
      <c r="E326" s="70">
        <v>227.19</v>
      </c>
      <c r="F326" s="70">
        <v>22.37</v>
      </c>
      <c r="G326" s="70">
        <v>-1.15E-2</v>
      </c>
      <c r="H326" s="70">
        <v>231.70583333333335</v>
      </c>
      <c r="I326" s="70">
        <v>231.6878917378917</v>
      </c>
      <c r="J326" s="70">
        <v>1.7941595441641311E-2</v>
      </c>
      <c r="K326" s="70">
        <v>1.3243898385565029</v>
      </c>
      <c r="L326" s="70">
        <v>-1.3064482431148616</v>
      </c>
      <c r="M326" s="70">
        <v>-6.1978543773412581E-2</v>
      </c>
      <c r="N326" s="70">
        <v>0</v>
      </c>
      <c r="O326" s="70">
        <v>0.48137535816618982</v>
      </c>
      <c r="P326" s="70">
        <v>6.0259927718950501E-2</v>
      </c>
      <c r="Q326" s="70">
        <v>0.2823899906164809</v>
      </c>
      <c r="R326" s="70">
        <v>-0.64827116835930454</v>
      </c>
      <c r="S326" s="70">
        <v>-0.19733875976710868</v>
      </c>
      <c r="T326" s="70">
        <v>12.67285705807133</v>
      </c>
      <c r="U326" s="70"/>
      <c r="V326" s="70">
        <v>-64.699999999999932</v>
      </c>
      <c r="W326" s="70">
        <v>163.00000000000006</v>
      </c>
    </row>
    <row r="327" spans="1:23" x14ac:dyDescent="0.25">
      <c r="A327" s="68">
        <v>43731</v>
      </c>
      <c r="B327" s="70">
        <v>230.36</v>
      </c>
      <c r="C327" s="70">
        <v>230.5</v>
      </c>
      <c r="D327" s="70">
        <v>231.25</v>
      </c>
      <c r="E327" s="70">
        <v>228.87</v>
      </c>
      <c r="F327" s="70">
        <v>16.89</v>
      </c>
      <c r="G327" s="70">
        <v>-2.0000000000000001E-4</v>
      </c>
      <c r="H327" s="70">
        <v>232.59384615384616</v>
      </c>
      <c r="I327" s="70">
        <v>231.85287749287752</v>
      </c>
      <c r="J327" s="70">
        <v>0.74096866096863323</v>
      </c>
      <c r="K327" s="70">
        <v>1.6438499525165979</v>
      </c>
      <c r="L327" s="70">
        <v>-0.9028812915479647</v>
      </c>
      <c r="M327" s="70">
        <v>0.15831921354997439</v>
      </c>
      <c r="N327" s="70">
        <v>0.10504201680672288</v>
      </c>
      <c r="O327" s="70">
        <v>0</v>
      </c>
      <c r="P327" s="70">
        <v>0.12538173359894314</v>
      </c>
      <c r="Q327" s="70">
        <v>0.18188304770266103</v>
      </c>
      <c r="R327" s="70">
        <v>-0.18388477151326196</v>
      </c>
      <c r="S327" s="70">
        <v>-5.6852679822743432E-2</v>
      </c>
      <c r="T327" s="70">
        <v>12.637537057661987</v>
      </c>
      <c r="U327" s="70"/>
      <c r="V327" s="70">
        <v>-64.699999999999932</v>
      </c>
      <c r="W327" s="70">
        <v>165.66000000000008</v>
      </c>
    </row>
    <row r="328" spans="1:23" x14ac:dyDescent="0.25">
      <c r="A328" s="68">
        <v>43728</v>
      </c>
      <c r="B328" s="70">
        <v>230.41</v>
      </c>
      <c r="C328" s="70">
        <v>230.75</v>
      </c>
      <c r="D328" s="70">
        <v>231</v>
      </c>
      <c r="E328" s="70">
        <v>228.5</v>
      </c>
      <c r="F328" s="70">
        <v>34.65</v>
      </c>
      <c r="G328" s="70">
        <v>-5.0000000000000001E-4</v>
      </c>
      <c r="H328" s="70">
        <v>233.0119230769231</v>
      </c>
      <c r="I328" s="70">
        <v>231.65537037037043</v>
      </c>
      <c r="J328" s="70">
        <v>1.3565527065526624</v>
      </c>
      <c r="K328" s="70">
        <v>1.8505077556188434</v>
      </c>
      <c r="L328" s="70">
        <v>-0.49395504906618104</v>
      </c>
      <c r="M328" s="70">
        <v>0.32552449133644573</v>
      </c>
      <c r="N328" s="70">
        <v>0</v>
      </c>
      <c r="O328" s="70">
        <v>0.62400000000000089</v>
      </c>
      <c r="P328" s="70">
        <v>0.1241419578195644</v>
      </c>
      <c r="Q328" s="70">
        <v>0.27102590484551831</v>
      </c>
      <c r="R328" s="70">
        <v>-0.37170013278747499</v>
      </c>
      <c r="S328" s="70">
        <v>-5.4097612313369611E-2</v>
      </c>
      <c r="T328" s="70">
        <v>25.221381420061192</v>
      </c>
      <c r="U328" s="70"/>
      <c r="V328" s="70">
        <v>-64.699999999999932</v>
      </c>
      <c r="W328" s="70">
        <v>165.71000000000006</v>
      </c>
    </row>
    <row r="329" spans="1:23" x14ac:dyDescent="0.25">
      <c r="A329" s="68">
        <v>43727</v>
      </c>
      <c r="B329" s="70">
        <v>230.52</v>
      </c>
      <c r="C329" s="70">
        <v>233.11</v>
      </c>
      <c r="D329" s="70">
        <v>233.28</v>
      </c>
      <c r="E329" s="70">
        <v>230.06</v>
      </c>
      <c r="F329" s="70">
        <v>31.66</v>
      </c>
      <c r="G329" s="70">
        <v>-1.26E-2</v>
      </c>
      <c r="H329" s="70">
        <v>233.26153846153846</v>
      </c>
      <c r="I329" s="70">
        <v>231.54742165242169</v>
      </c>
      <c r="J329" s="70">
        <v>1.7141168091167742</v>
      </c>
      <c r="K329" s="70">
        <v>1.9708081671414814</v>
      </c>
      <c r="L329" s="70">
        <v>-0.25669135802470722</v>
      </c>
      <c r="M329" s="70">
        <v>0.39350928274004232</v>
      </c>
      <c r="N329" s="70">
        <v>0</v>
      </c>
      <c r="O329" s="70">
        <v>0.69565217391304657</v>
      </c>
      <c r="P329" s="70">
        <v>0.1241419578195644</v>
      </c>
      <c r="Q329" s="70">
        <v>0.24990049991122679</v>
      </c>
      <c r="R329" s="70">
        <v>-0.33621461813346953</v>
      </c>
      <c r="S329" s="70">
        <v>-2.6112004325524286E-2</v>
      </c>
      <c r="T329" s="70">
        <v>25.186372186999236</v>
      </c>
      <c r="U329" s="70"/>
      <c r="V329" s="70">
        <v>-64.699999999999932</v>
      </c>
      <c r="W329" s="70">
        <v>165.82000000000008</v>
      </c>
    </row>
    <row r="330" spans="1:23" x14ac:dyDescent="0.25">
      <c r="A330" s="68">
        <v>43726</v>
      </c>
      <c r="B330" s="70">
        <v>233.46</v>
      </c>
      <c r="C330" s="70">
        <v>233</v>
      </c>
      <c r="D330" s="70">
        <v>233.96</v>
      </c>
      <c r="E330" s="70">
        <v>232.3</v>
      </c>
      <c r="F330" s="70">
        <v>12.28</v>
      </c>
      <c r="G330" s="70">
        <v>-5.0000000000000001E-4</v>
      </c>
      <c r="H330" s="70">
        <v>233.74910256410254</v>
      </c>
      <c r="I330" s="70">
        <v>231.64340455840457</v>
      </c>
      <c r="J330" s="70">
        <v>2.1056980056979739</v>
      </c>
      <c r="K330" s="70">
        <v>2.0680576131687083</v>
      </c>
      <c r="L330" s="70">
        <v>3.7640392529265654E-2</v>
      </c>
      <c r="M330" s="70">
        <v>0.42189548786129066</v>
      </c>
      <c r="N330" s="70">
        <v>0</v>
      </c>
      <c r="O330" s="70">
        <v>3.6144578313254454E-2</v>
      </c>
      <c r="P330" s="70">
        <v>0.1241419578195644</v>
      </c>
      <c r="Q330" s="70">
        <v>0.11992075323467832</v>
      </c>
      <c r="R330" s="70">
        <v>1.7295573611603117E-2</v>
      </c>
      <c r="S330" s="70">
        <v>4.6951023556826822E-2</v>
      </c>
      <c r="T330" s="70">
        <v>37.68540599501663</v>
      </c>
      <c r="U330" s="70"/>
      <c r="V330" s="70">
        <v>-64.699999999999932</v>
      </c>
      <c r="W330" s="70">
        <v>168.76000000000008</v>
      </c>
    </row>
    <row r="331" spans="1:23" x14ac:dyDescent="0.25">
      <c r="A331" s="68">
        <v>43725</v>
      </c>
      <c r="B331" s="70">
        <v>233.58</v>
      </c>
      <c r="C331" s="70">
        <v>234.53</v>
      </c>
      <c r="D331" s="70">
        <v>235.17</v>
      </c>
      <c r="E331" s="70">
        <v>232.36</v>
      </c>
      <c r="F331" s="70">
        <v>28.34</v>
      </c>
      <c r="G331" s="70">
        <v>-5.4999999999999997E-3</v>
      </c>
      <c r="H331" s="70">
        <v>233.78237179487178</v>
      </c>
      <c r="I331" s="70">
        <v>231.52444444444444</v>
      </c>
      <c r="J331" s="70">
        <v>2.2579273504273374</v>
      </c>
      <c r="K331" s="70">
        <v>2.0747820512820416</v>
      </c>
      <c r="L331" s="70">
        <v>0.18314529914529576</v>
      </c>
      <c r="M331" s="70">
        <v>0.37070548824394467</v>
      </c>
      <c r="N331" s="70">
        <v>0.1032028469750871</v>
      </c>
      <c r="O331" s="70">
        <v>0</v>
      </c>
      <c r="P331" s="70">
        <v>0.13888522167314826</v>
      </c>
      <c r="Q331" s="70">
        <v>0.11237408303740541</v>
      </c>
      <c r="R331" s="70">
        <v>0.1055130621581685</v>
      </c>
      <c r="S331" s="70">
        <v>6.1929049217341603E-2</v>
      </c>
      <c r="T331" s="70">
        <v>37.664662658650627</v>
      </c>
      <c r="U331" s="70"/>
      <c r="V331" s="70">
        <v>-64.699999999999932</v>
      </c>
      <c r="W331" s="70">
        <v>168.88000000000008</v>
      </c>
    </row>
    <row r="332" spans="1:23" x14ac:dyDescent="0.25">
      <c r="A332" s="68">
        <v>43724</v>
      </c>
      <c r="B332" s="70">
        <v>234.88</v>
      </c>
      <c r="C332" s="70">
        <v>233.98</v>
      </c>
      <c r="D332" s="70">
        <v>234.88</v>
      </c>
      <c r="E332" s="70">
        <v>232.57</v>
      </c>
      <c r="F332" s="70">
        <v>29.14</v>
      </c>
      <c r="G332" s="70">
        <v>1.0200000000000001E-2</v>
      </c>
      <c r="H332" s="70">
        <v>233.88153846153847</v>
      </c>
      <c r="I332" s="70">
        <v>231.50179487179491</v>
      </c>
      <c r="J332" s="70">
        <v>2.3797435897435548</v>
      </c>
      <c r="K332" s="70">
        <v>2.0130161443494634</v>
      </c>
      <c r="L332" s="70">
        <v>0.36672744539409141</v>
      </c>
      <c r="M332" s="70">
        <v>0.32051035763855656</v>
      </c>
      <c r="N332" s="70">
        <v>0.6176470588235301</v>
      </c>
      <c r="O332" s="70">
        <v>0</v>
      </c>
      <c r="P332" s="70">
        <v>0.26994847007130668</v>
      </c>
      <c r="Q332" s="70">
        <v>0.11237408303740541</v>
      </c>
      <c r="R332" s="70">
        <v>0.41215038389089098</v>
      </c>
      <c r="S332" s="70">
        <v>0.11647901700212153</v>
      </c>
      <c r="T332" s="70">
        <v>50.216399391626858</v>
      </c>
      <c r="U332" s="70"/>
      <c r="V332" s="70">
        <v>-64.699999999999932</v>
      </c>
      <c r="W332" s="70">
        <v>170.18000000000006</v>
      </c>
    </row>
    <row r="333" spans="1:23" x14ac:dyDescent="0.25">
      <c r="A333" s="68">
        <v>43721</v>
      </c>
      <c r="B333" s="70">
        <v>232.5</v>
      </c>
      <c r="C333" s="70">
        <v>232.51</v>
      </c>
      <c r="D333" s="70">
        <v>233.41</v>
      </c>
      <c r="E333" s="70">
        <v>230.8</v>
      </c>
      <c r="F333" s="70">
        <v>17.97</v>
      </c>
      <c r="G333" s="70">
        <v>-1.6000000000000001E-3</v>
      </c>
      <c r="H333" s="70">
        <v>233.39692307692312</v>
      </c>
      <c r="I333" s="70">
        <v>231.15028490028493</v>
      </c>
      <c r="J333" s="70">
        <v>2.2466381766381858</v>
      </c>
      <c r="K333" s="70">
        <v>1.8163216207660633</v>
      </c>
      <c r="L333" s="70">
        <v>0.43031655587212247</v>
      </c>
      <c r="M333" s="70">
        <v>0.24639574354104252</v>
      </c>
      <c r="N333" s="70">
        <v>0</v>
      </c>
      <c r="O333" s="70">
        <v>0.27203065134098986</v>
      </c>
      <c r="P333" s="70">
        <v>0.14098919405320695</v>
      </c>
      <c r="Q333" s="70">
        <v>0.15123560465754682</v>
      </c>
      <c r="R333" s="70">
        <v>-3.5063453374064392E-2</v>
      </c>
      <c r="S333" s="70">
        <v>7.9750071892563876E-3</v>
      </c>
      <c r="T333" s="70">
        <v>50.185295939509153</v>
      </c>
      <c r="U333" s="70"/>
      <c r="V333" s="70">
        <v>-64.699999999999932</v>
      </c>
      <c r="W333" s="70">
        <v>167.80000000000007</v>
      </c>
    </row>
    <row r="334" spans="1:23" x14ac:dyDescent="0.25">
      <c r="A334" s="68">
        <v>43720</v>
      </c>
      <c r="B334" s="70">
        <v>232.88</v>
      </c>
      <c r="C334" s="70">
        <v>234.3</v>
      </c>
      <c r="D334" s="70">
        <v>235.28</v>
      </c>
      <c r="E334" s="70">
        <v>231.51</v>
      </c>
      <c r="F334" s="70">
        <v>29</v>
      </c>
      <c r="G334" s="70">
        <v>-9.2999999999999992E-3</v>
      </c>
      <c r="H334" s="70">
        <v>233.17192307692306</v>
      </c>
      <c r="I334" s="70">
        <v>231.13249287749287</v>
      </c>
      <c r="J334" s="70">
        <v>2.0394301994301998</v>
      </c>
      <c r="K334" s="70">
        <v>1.5778037353592866</v>
      </c>
      <c r="L334" s="70">
        <v>0.46162646407091312</v>
      </c>
      <c r="M334" s="70">
        <v>0.18173478879461546</v>
      </c>
      <c r="N334" s="70">
        <v>0</v>
      </c>
      <c r="O334" s="70">
        <v>0.18302387267904399</v>
      </c>
      <c r="P334" s="70">
        <v>0.14098919405320695</v>
      </c>
      <c r="Q334" s="70">
        <v>0.17360449184084334</v>
      </c>
      <c r="R334" s="70">
        <v>-0.10367435600287495</v>
      </c>
      <c r="S334" s="70">
        <v>-3.4202764018613926E-2</v>
      </c>
      <c r="T334" s="70">
        <v>50.224989311671656</v>
      </c>
      <c r="U334" s="70"/>
      <c r="V334" s="70">
        <v>-64.699999999999932</v>
      </c>
      <c r="W334" s="70">
        <v>168.18000000000006</v>
      </c>
    </row>
    <row r="335" spans="1:23" x14ac:dyDescent="0.25">
      <c r="A335" s="68">
        <v>43719</v>
      </c>
      <c r="B335" s="70">
        <v>235.07</v>
      </c>
      <c r="C335" s="70">
        <v>233.03</v>
      </c>
      <c r="D335" s="70">
        <v>235.38</v>
      </c>
      <c r="E335" s="70">
        <v>232.2</v>
      </c>
      <c r="F335" s="70">
        <v>27.12</v>
      </c>
      <c r="G335" s="70">
        <v>8.8999999999999999E-3</v>
      </c>
      <c r="H335" s="70">
        <v>233.09423076923076</v>
      </c>
      <c r="I335" s="70">
        <v>231.10917378917378</v>
      </c>
      <c r="J335" s="70">
        <v>1.9850569800569815</v>
      </c>
      <c r="K335" s="70">
        <v>1.3348543842988283</v>
      </c>
      <c r="L335" s="70">
        <v>0.6502025957581532</v>
      </c>
      <c r="M335" s="70">
        <v>0.17522076467375286</v>
      </c>
      <c r="N335" s="70">
        <v>8.805031446540898E-2</v>
      </c>
      <c r="O335" s="70">
        <v>0</v>
      </c>
      <c r="P335" s="70">
        <v>0.15356781040540823</v>
      </c>
      <c r="Q335" s="70">
        <v>0.15814443309790141</v>
      </c>
      <c r="R335" s="70">
        <v>-1.4682203820603486E-2</v>
      </c>
      <c r="S335" s="70">
        <v>-3.3622649192800773E-2</v>
      </c>
      <c r="T335" s="70">
        <v>62.686232298249458</v>
      </c>
      <c r="U335" s="70"/>
      <c r="V335" s="70">
        <v>-64.699999999999932</v>
      </c>
      <c r="W335" s="70">
        <v>170.37000000000006</v>
      </c>
    </row>
    <row r="336" spans="1:23" x14ac:dyDescent="0.25">
      <c r="A336" s="68">
        <v>43718</v>
      </c>
      <c r="B336" s="70">
        <v>233</v>
      </c>
      <c r="C336" s="70">
        <v>234.32</v>
      </c>
      <c r="D336" s="70">
        <v>235.1</v>
      </c>
      <c r="E336" s="70">
        <v>232.02</v>
      </c>
      <c r="F336" s="70">
        <v>24.06</v>
      </c>
      <c r="G336" s="70">
        <v>-7.9000000000000008E-3</v>
      </c>
      <c r="H336" s="70">
        <v>232.34070512820512</v>
      </c>
      <c r="I336" s="70">
        <v>230.65990028490029</v>
      </c>
      <c r="J336" s="70">
        <v>1.680804843304827</v>
      </c>
      <c r="K336" s="70">
        <v>1.0641824944602707</v>
      </c>
      <c r="L336" s="70">
        <v>0.61662234884455636</v>
      </c>
      <c r="M336" s="70">
        <v>0.16314942480754097</v>
      </c>
      <c r="N336" s="70">
        <v>0</v>
      </c>
      <c r="O336" s="70">
        <v>0.31818181818181651</v>
      </c>
      <c r="P336" s="70">
        <v>0.13518367881372945</v>
      </c>
      <c r="Q336" s="70">
        <v>0.22413318886767894</v>
      </c>
      <c r="R336" s="70">
        <v>-0.24755172399203201</v>
      </c>
      <c r="S336" s="70">
        <v>-6.8696608531536377E-2</v>
      </c>
      <c r="T336" s="70">
        <v>50.207322358178125</v>
      </c>
      <c r="U336" s="70">
        <v>-1</v>
      </c>
      <c r="V336" s="70">
        <v>-64.699999999999932</v>
      </c>
      <c r="W336" s="70">
        <v>168.30000000000007</v>
      </c>
    </row>
    <row r="337" spans="1:23" x14ac:dyDescent="0.25">
      <c r="A337" s="68">
        <v>43717</v>
      </c>
      <c r="B337" s="70">
        <v>234.85</v>
      </c>
      <c r="C337" s="70">
        <v>235</v>
      </c>
      <c r="D337" s="70">
        <v>235.62</v>
      </c>
      <c r="E337" s="70">
        <v>233</v>
      </c>
      <c r="F337" s="70">
        <v>16.64</v>
      </c>
      <c r="G337" s="70">
        <v>1.5E-3</v>
      </c>
      <c r="H337" s="70">
        <v>232.36794871794871</v>
      </c>
      <c r="I337" s="70">
        <v>230.46253561253562</v>
      </c>
      <c r="J337" s="70">
        <v>1.9054131054130892</v>
      </c>
      <c r="K337" s="70">
        <v>0.93909654954099442</v>
      </c>
      <c r="L337" s="70">
        <v>0.96631655587209475</v>
      </c>
      <c r="M337" s="70">
        <v>0.2436258866173372</v>
      </c>
      <c r="N337" s="70">
        <v>0</v>
      </c>
      <c r="O337" s="70">
        <v>0</v>
      </c>
      <c r="P337" s="70">
        <v>0.16421565479530764</v>
      </c>
      <c r="Q337" s="70">
        <v>0.15769962243411284</v>
      </c>
      <c r="R337" s="70">
        <v>2.0241451158439422E-2</v>
      </c>
      <c r="S337" s="70">
        <v>9.9865633037520725E-3</v>
      </c>
      <c r="T337" s="70">
        <v>62.677408828045166</v>
      </c>
      <c r="U337" s="70"/>
      <c r="V337" s="70">
        <v>-69.709999999999923</v>
      </c>
      <c r="W337" s="70">
        <v>168.30000000000007</v>
      </c>
    </row>
    <row r="338" spans="1:23" x14ac:dyDescent="0.25">
      <c r="A338" s="68">
        <v>43714</v>
      </c>
      <c r="B338" s="70">
        <v>234.49</v>
      </c>
      <c r="C338" s="70">
        <v>235.66</v>
      </c>
      <c r="D338" s="70">
        <v>235.97</v>
      </c>
      <c r="E338" s="70">
        <v>232.38</v>
      </c>
      <c r="F338" s="70">
        <v>24.97</v>
      </c>
      <c r="G338" s="70">
        <v>-7.1999999999999998E-3</v>
      </c>
      <c r="H338" s="70">
        <v>232.11583333333334</v>
      </c>
      <c r="I338" s="70">
        <v>230.18871794871797</v>
      </c>
      <c r="J338" s="70">
        <v>1.9271153846153766</v>
      </c>
      <c r="K338" s="70">
        <v>0.78910715416271215</v>
      </c>
      <c r="L338" s="70">
        <v>1.1380082304526644</v>
      </c>
      <c r="M338" s="70">
        <v>0.29630066546305966</v>
      </c>
      <c r="N338" s="70">
        <v>0</v>
      </c>
      <c r="O338" s="70">
        <v>0.62952646239554</v>
      </c>
      <c r="P338" s="70">
        <v>0.16421565479530764</v>
      </c>
      <c r="Q338" s="70">
        <v>0.24763197420490426</v>
      </c>
      <c r="R338" s="70">
        <v>-0.20254170119200493</v>
      </c>
      <c r="S338" s="70">
        <v>-3.2881701545142555E-2</v>
      </c>
      <c r="T338" s="70">
        <v>62.549787965000803</v>
      </c>
      <c r="U338" s="70"/>
      <c r="V338" s="70">
        <v>-69.709999999999923</v>
      </c>
      <c r="W338" s="70">
        <v>168.30000000000007</v>
      </c>
    </row>
    <row r="339" spans="1:23" x14ac:dyDescent="0.25">
      <c r="A339" s="68">
        <v>43713</v>
      </c>
      <c r="B339" s="70">
        <v>236.18</v>
      </c>
      <c r="C339" s="70">
        <v>234.7</v>
      </c>
      <c r="D339" s="70">
        <v>238.17</v>
      </c>
      <c r="E339" s="70">
        <v>234.64</v>
      </c>
      <c r="F339" s="70">
        <v>29.87</v>
      </c>
      <c r="G339" s="70">
        <v>1.06E-2</v>
      </c>
      <c r="H339" s="70">
        <v>232.14525641025637</v>
      </c>
      <c r="I339" s="70">
        <v>230.30642450142446</v>
      </c>
      <c r="J339" s="70">
        <v>1.8388319088319065</v>
      </c>
      <c r="K339" s="70">
        <v>0.67849256093700905</v>
      </c>
      <c r="L339" s="70">
        <v>1.1603393478948973</v>
      </c>
      <c r="M339" s="70">
        <v>0.31027065874929438</v>
      </c>
      <c r="N339" s="70">
        <v>0.76008968609865513</v>
      </c>
      <c r="O339" s="70">
        <v>0</v>
      </c>
      <c r="P339" s="70">
        <v>0.32751341553403496</v>
      </c>
      <c r="Q339" s="70">
        <v>0.11619238315528603</v>
      </c>
      <c r="R339" s="70">
        <v>0.47626385096380974</v>
      </c>
      <c r="S339" s="70">
        <v>7.8689730461820789E-2</v>
      </c>
      <c r="T339" s="70">
        <v>62.802291676772249</v>
      </c>
      <c r="U339" s="70"/>
      <c r="V339" s="70">
        <v>-69.709999999999923</v>
      </c>
      <c r="W339" s="70">
        <v>168.30000000000007</v>
      </c>
    </row>
    <row r="340" spans="1:23" x14ac:dyDescent="0.25">
      <c r="A340" s="68">
        <v>43712</v>
      </c>
      <c r="B340" s="70">
        <v>233.71</v>
      </c>
      <c r="C340" s="70">
        <v>232.7</v>
      </c>
      <c r="D340" s="70">
        <v>234.78</v>
      </c>
      <c r="E340" s="70">
        <v>232.18</v>
      </c>
      <c r="F340" s="70">
        <v>27.53</v>
      </c>
      <c r="G340" s="70">
        <v>1.1599999999999999E-2</v>
      </c>
      <c r="H340" s="70">
        <v>231.43807692307689</v>
      </c>
      <c r="I340" s="70">
        <v>230.14910256410255</v>
      </c>
      <c r="J340" s="70">
        <v>1.2889743589743432</v>
      </c>
      <c r="K340" s="70">
        <v>0.54191579613802343</v>
      </c>
      <c r="L340" s="70">
        <v>0.74705856283631977</v>
      </c>
      <c r="M340" s="70">
        <v>0.25151156472524167</v>
      </c>
      <c r="N340" s="70">
        <v>0.31382978723404514</v>
      </c>
      <c r="O340" s="70">
        <v>0</v>
      </c>
      <c r="P340" s="70">
        <v>0.21364619793148701</v>
      </c>
      <c r="Q340" s="70">
        <v>0.12417876297265194</v>
      </c>
      <c r="R340" s="70">
        <v>0.26483370180636923</v>
      </c>
      <c r="S340" s="70">
        <v>-2.2318302334935376E-2</v>
      </c>
      <c r="T340" s="70">
        <v>50.270273195067446</v>
      </c>
      <c r="U340" s="70"/>
      <c r="V340" s="70">
        <v>-69.709999999999923</v>
      </c>
      <c r="W340" s="70">
        <v>168.30000000000007</v>
      </c>
    </row>
    <row r="341" spans="1:23" x14ac:dyDescent="0.25">
      <c r="A341" s="68">
        <v>43711</v>
      </c>
      <c r="B341" s="70">
        <v>231.02</v>
      </c>
      <c r="C341" s="70">
        <v>233.4</v>
      </c>
      <c r="D341" s="70">
        <v>233.6</v>
      </c>
      <c r="E341" s="70">
        <v>229.96</v>
      </c>
      <c r="F341" s="70">
        <v>20.66</v>
      </c>
      <c r="G341" s="70">
        <v>-1.1299999999999999E-2</v>
      </c>
      <c r="H341" s="70">
        <v>230.53698717948717</v>
      </c>
      <c r="I341" s="70">
        <v>230.07056980056979</v>
      </c>
      <c r="J341" s="70">
        <v>0.46641737891738444</v>
      </c>
      <c r="K341" s="70">
        <v>0.44334108895221097</v>
      </c>
      <c r="L341" s="70">
        <v>2.3076289965173469E-2</v>
      </c>
      <c r="M341" s="70">
        <v>0.20359232473762975</v>
      </c>
      <c r="N341" s="70">
        <v>0</v>
      </c>
      <c r="O341" s="70">
        <v>0.14835164835164671</v>
      </c>
      <c r="P341" s="70">
        <v>0.14812129730020288</v>
      </c>
      <c r="Q341" s="70">
        <v>0.15544857133140855</v>
      </c>
      <c r="R341" s="70">
        <v>-2.4137026722166149E-2</v>
      </c>
      <c r="S341" s="70">
        <v>-0.11099221271323492</v>
      </c>
      <c r="T341" s="70">
        <v>37.713489209608575</v>
      </c>
      <c r="U341" s="70"/>
      <c r="V341" s="70">
        <v>-69.709999999999923</v>
      </c>
      <c r="W341" s="70">
        <v>168.30000000000007</v>
      </c>
    </row>
    <row r="342" spans="1:23" x14ac:dyDescent="0.25">
      <c r="A342" s="68">
        <v>43710</v>
      </c>
      <c r="B342" s="70">
        <v>233.67</v>
      </c>
      <c r="C342" s="70">
        <v>231.75</v>
      </c>
      <c r="D342" s="70">
        <v>234.22</v>
      </c>
      <c r="E342" s="70">
        <v>230.5</v>
      </c>
      <c r="F342" s="70">
        <v>19.260000000000002</v>
      </c>
      <c r="G342" s="70">
        <v>6.4999999999999997E-3</v>
      </c>
      <c r="H342" s="70">
        <v>230.49974358974356</v>
      </c>
      <c r="I342" s="70">
        <v>230.47021367521364</v>
      </c>
      <c r="J342" s="70">
        <v>2.9529914529916823E-2</v>
      </c>
      <c r="K342" s="70">
        <v>0.49341595441596592</v>
      </c>
      <c r="L342" s="70">
        <v>-0.4638860398860491</v>
      </c>
      <c r="M342" s="70">
        <v>0.30274643874644408</v>
      </c>
      <c r="N342" s="70">
        <v>0</v>
      </c>
      <c r="O342" s="70">
        <v>0.15322580645161113</v>
      </c>
      <c r="P342" s="70">
        <v>0.14812129730020288</v>
      </c>
      <c r="Q342" s="70">
        <v>0.14636345226755862</v>
      </c>
      <c r="R342" s="70">
        <v>5.9692226345316153E-3</v>
      </c>
      <c r="S342" s="70">
        <v>-0.13156763031229923</v>
      </c>
      <c r="T342" s="70">
        <v>50.2713016516606</v>
      </c>
      <c r="U342" s="70"/>
      <c r="V342" s="70">
        <v>-69.709999999999923</v>
      </c>
      <c r="W342" s="70">
        <v>168.30000000000007</v>
      </c>
    </row>
    <row r="343" spans="1:23" x14ac:dyDescent="0.25">
      <c r="A343" s="68">
        <v>43707</v>
      </c>
      <c r="B343" s="70">
        <v>232.15</v>
      </c>
      <c r="C343" s="70">
        <v>233.69</v>
      </c>
      <c r="D343" s="70">
        <v>233.85</v>
      </c>
      <c r="E343" s="70">
        <v>231.07</v>
      </c>
      <c r="F343" s="70">
        <v>22.03</v>
      </c>
      <c r="G343" s="70">
        <v>-4.4999999999999997E-3</v>
      </c>
      <c r="H343" s="70">
        <v>229.80615384615385</v>
      </c>
      <c r="I343" s="70">
        <v>230.37756410256407</v>
      </c>
      <c r="J343" s="70">
        <v>-0.5714102564102177</v>
      </c>
      <c r="K343" s="70">
        <v>0.48259164292499518</v>
      </c>
      <c r="L343" s="70">
        <v>-1.0540018993352129</v>
      </c>
      <c r="M343" s="70">
        <v>0.46846339605314979</v>
      </c>
      <c r="N343" s="70">
        <v>0</v>
      </c>
      <c r="O343" s="70">
        <v>0</v>
      </c>
      <c r="P343" s="70">
        <v>0.14812129730020288</v>
      </c>
      <c r="Q343" s="70">
        <v>0.1331240563601625</v>
      </c>
      <c r="R343" s="70">
        <v>5.3324404278518985E-2</v>
      </c>
      <c r="S343" s="70">
        <v>-0.14967833335846531</v>
      </c>
      <c r="T343" s="70">
        <v>37.654964284938877</v>
      </c>
      <c r="U343" s="70"/>
      <c r="V343" s="70">
        <v>-69.709999999999923</v>
      </c>
      <c r="W343" s="70">
        <v>168.30000000000007</v>
      </c>
    </row>
    <row r="344" spans="1:23" x14ac:dyDescent="0.25">
      <c r="A344" s="68">
        <v>43706</v>
      </c>
      <c r="B344" s="70">
        <v>233.2</v>
      </c>
      <c r="C344" s="70">
        <v>228.85</v>
      </c>
      <c r="D344" s="70">
        <v>235.25</v>
      </c>
      <c r="E344" s="70">
        <v>228.67</v>
      </c>
      <c r="F344" s="70">
        <v>47.58</v>
      </c>
      <c r="G344" s="70">
        <v>2.07E-2</v>
      </c>
      <c r="H344" s="70">
        <v>229.61160256410255</v>
      </c>
      <c r="I344" s="70">
        <v>229.987037037037</v>
      </c>
      <c r="J344" s="70">
        <v>-0.37543447293444387</v>
      </c>
      <c r="K344" s="70">
        <v>0.60047435897437129</v>
      </c>
      <c r="L344" s="70">
        <v>-0.97590883190881517</v>
      </c>
      <c r="M344" s="70">
        <v>0.8288627156319579</v>
      </c>
      <c r="N344" s="70">
        <v>0.9763663220088632</v>
      </c>
      <c r="O344" s="70">
        <v>0</v>
      </c>
      <c r="P344" s="70">
        <v>0.28760220044432616</v>
      </c>
      <c r="Q344" s="70">
        <v>0.16585974172742671</v>
      </c>
      <c r="R344" s="70">
        <v>0.26847337647309855</v>
      </c>
      <c r="S344" s="70">
        <v>-0.14294231984047182</v>
      </c>
      <c r="T344" s="70">
        <v>50.239174697977475</v>
      </c>
      <c r="U344" s="70"/>
      <c r="V344" s="70">
        <v>-69.709999999999923</v>
      </c>
      <c r="W344" s="70">
        <v>168.30000000000007</v>
      </c>
    </row>
    <row r="345" spans="1:23" x14ac:dyDescent="0.25">
      <c r="A345" s="68">
        <v>43705</v>
      </c>
      <c r="B345" s="70">
        <v>228.48</v>
      </c>
      <c r="C345" s="70">
        <v>226.56</v>
      </c>
      <c r="D345" s="70">
        <v>228.64</v>
      </c>
      <c r="E345" s="70">
        <v>224.88</v>
      </c>
      <c r="F345" s="70">
        <v>32.520000000000003</v>
      </c>
      <c r="G345" s="70">
        <v>6.4999999999999997E-3</v>
      </c>
      <c r="H345" s="70">
        <v>228.65064102564099</v>
      </c>
      <c r="I345" s="70">
        <v>228.88242165242161</v>
      </c>
      <c r="J345" s="70">
        <v>-0.23178062678061906</v>
      </c>
      <c r="K345" s="70">
        <v>0.66333998100665226</v>
      </c>
      <c r="L345" s="70">
        <v>-0.89512060778727132</v>
      </c>
      <c r="M345" s="70">
        <v>1.2208821890360444</v>
      </c>
      <c r="N345" s="70">
        <v>0</v>
      </c>
      <c r="O345" s="70">
        <v>0</v>
      </c>
      <c r="P345" s="70">
        <v>9.6466470526565581E-2</v>
      </c>
      <c r="Q345" s="70">
        <v>0.16585974172742671</v>
      </c>
      <c r="R345" s="70">
        <v>-0.26453045086349369</v>
      </c>
      <c r="S345" s="70">
        <v>-0.23230739106358544</v>
      </c>
      <c r="T345" s="70">
        <v>50.065655052169888</v>
      </c>
      <c r="U345" s="70"/>
      <c r="V345" s="70">
        <v>-69.709999999999923</v>
      </c>
      <c r="W345" s="70">
        <v>168.30000000000007</v>
      </c>
    </row>
    <row r="346" spans="1:23" x14ac:dyDescent="0.25">
      <c r="A346" s="68">
        <v>43704</v>
      </c>
      <c r="B346" s="70">
        <v>227</v>
      </c>
      <c r="C346" s="70">
        <v>228.92</v>
      </c>
      <c r="D346" s="70">
        <v>229.28</v>
      </c>
      <c r="E346" s="70">
        <v>223</v>
      </c>
      <c r="F346" s="70">
        <v>55.77</v>
      </c>
      <c r="G346" s="70">
        <v>-8.3000000000000001E-3</v>
      </c>
      <c r="H346" s="70">
        <v>228.54705128205126</v>
      </c>
      <c r="I346" s="70">
        <v>228.37784900284899</v>
      </c>
      <c r="J346" s="70">
        <v>0.16920227920226694</v>
      </c>
      <c r="K346" s="70">
        <v>0.7874150047483347</v>
      </c>
      <c r="L346" s="70">
        <v>-0.61821272554606777</v>
      </c>
      <c r="M346" s="70">
        <v>1.603025223589335</v>
      </c>
      <c r="N346" s="70">
        <v>0</v>
      </c>
      <c r="O346" s="70">
        <v>0.80414012738853669</v>
      </c>
      <c r="P346" s="70">
        <v>9.6466470526565581E-2</v>
      </c>
      <c r="Q346" s="70">
        <v>0.3106532550873442</v>
      </c>
      <c r="R346" s="70">
        <v>-0.52610269433100798</v>
      </c>
      <c r="S346" s="70">
        <v>-0.270750295868393</v>
      </c>
      <c r="T346" s="70">
        <v>37.69423121021196</v>
      </c>
      <c r="U346" s="70"/>
      <c r="V346" s="70">
        <v>-69.709999999999923</v>
      </c>
      <c r="W346" s="70">
        <v>168.30000000000007</v>
      </c>
    </row>
    <row r="347" spans="1:23" x14ac:dyDescent="0.25">
      <c r="A347" s="68">
        <v>43703</v>
      </c>
      <c r="B347" s="70">
        <v>228.9</v>
      </c>
      <c r="C347" s="70">
        <v>228.88</v>
      </c>
      <c r="D347" s="70">
        <v>230.6</v>
      </c>
      <c r="E347" s="70">
        <v>228.05</v>
      </c>
      <c r="F347" s="70">
        <v>11.24</v>
      </c>
      <c r="G347" s="70">
        <v>-2E-3</v>
      </c>
      <c r="H347" s="70">
        <v>229.04807692307691</v>
      </c>
      <c r="I347" s="70">
        <v>228.16673789173788</v>
      </c>
      <c r="J347" s="70">
        <v>0.88133903133902436</v>
      </c>
      <c r="K347" s="70">
        <v>0.92709021842354811</v>
      </c>
      <c r="L347" s="70">
        <v>-4.5751187084523748E-2</v>
      </c>
      <c r="M347" s="70">
        <v>1.9357360132744867</v>
      </c>
      <c r="N347" s="70">
        <v>0</v>
      </c>
      <c r="O347" s="70">
        <v>0.34509803921568682</v>
      </c>
      <c r="P347" s="70">
        <v>0.10623864043502172</v>
      </c>
      <c r="Q347" s="70">
        <v>0.19205558574033027</v>
      </c>
      <c r="R347" s="70">
        <v>-0.28769227753963006</v>
      </c>
      <c r="S347" s="70">
        <v>-0.20153335073462963</v>
      </c>
      <c r="T347" s="70">
        <v>50.091989539943114</v>
      </c>
      <c r="U347" s="70"/>
      <c r="V347" s="70">
        <v>-69.709999999999923</v>
      </c>
      <c r="W347" s="70">
        <v>168.30000000000007</v>
      </c>
    </row>
    <row r="348" spans="1:23" x14ac:dyDescent="0.25">
      <c r="A348" s="68">
        <v>43700</v>
      </c>
      <c r="B348" s="70">
        <v>229.35</v>
      </c>
      <c r="C348" s="70">
        <v>232.7</v>
      </c>
      <c r="D348" s="70">
        <v>233.04</v>
      </c>
      <c r="E348" s="70">
        <v>228.93</v>
      </c>
      <c r="F348" s="70">
        <v>29.02</v>
      </c>
      <c r="G348" s="70">
        <v>-1.17E-2</v>
      </c>
      <c r="H348" s="70">
        <v>229.28019230769232</v>
      </c>
      <c r="I348" s="70">
        <v>227.74066951566948</v>
      </c>
      <c r="J348" s="70">
        <v>1.5395227920228365</v>
      </c>
      <c r="K348" s="70">
        <v>0.99964498258943701</v>
      </c>
      <c r="L348" s="70">
        <v>0.53987780943339947</v>
      </c>
      <c r="M348" s="70">
        <v>2.146932149205671</v>
      </c>
      <c r="N348" s="70">
        <v>0</v>
      </c>
      <c r="O348" s="70">
        <v>0.31143552311435663</v>
      </c>
      <c r="P348" s="70">
        <v>0.1512062251515604</v>
      </c>
      <c r="Q348" s="70">
        <v>0.16449293799734765</v>
      </c>
      <c r="R348" s="70">
        <v>-4.2086626753331663E-2</v>
      </c>
      <c r="S348" s="70">
        <v>-0.14003808081129593</v>
      </c>
      <c r="T348" s="70">
        <v>50.141262234074532</v>
      </c>
      <c r="U348" s="70"/>
      <c r="V348" s="70">
        <v>-69.709999999999923</v>
      </c>
      <c r="W348" s="70">
        <v>168.30000000000007</v>
      </c>
    </row>
    <row r="349" spans="1:23" x14ac:dyDescent="0.25">
      <c r="A349" s="68">
        <v>43699</v>
      </c>
      <c r="B349" s="70">
        <v>232.06</v>
      </c>
      <c r="C349" s="70">
        <v>230.9</v>
      </c>
      <c r="D349" s="70">
        <v>233.98</v>
      </c>
      <c r="E349" s="70">
        <v>230.21</v>
      </c>
      <c r="F349" s="70">
        <v>26.49</v>
      </c>
      <c r="G349" s="70">
        <v>3.5999999999999999E-3</v>
      </c>
      <c r="H349" s="70">
        <v>229.57865384615383</v>
      </c>
      <c r="I349" s="70">
        <v>227.54789173789172</v>
      </c>
      <c r="J349" s="70">
        <v>2.0307621082621097</v>
      </c>
      <c r="K349" s="70">
        <v>0.95125087052864321</v>
      </c>
      <c r="L349" s="70">
        <v>1.0795112377334664</v>
      </c>
      <c r="M349" s="70">
        <v>2.2417084555204321</v>
      </c>
      <c r="N349" s="70">
        <v>0.4403183023872691</v>
      </c>
      <c r="O349" s="70">
        <v>0</v>
      </c>
      <c r="P349" s="70">
        <v>0.21410883977831313</v>
      </c>
      <c r="Q349" s="70">
        <v>9.9467938665778716E-2</v>
      </c>
      <c r="R349" s="70">
        <v>0.36559116935048797</v>
      </c>
      <c r="S349" s="70">
        <v>-9.3690822056960221E-2</v>
      </c>
      <c r="T349" s="70">
        <v>50.12701794640661</v>
      </c>
      <c r="U349" s="70"/>
      <c r="V349" s="70">
        <v>-69.709999999999923</v>
      </c>
      <c r="W349" s="70">
        <v>168.30000000000007</v>
      </c>
    </row>
    <row r="350" spans="1:23" x14ac:dyDescent="0.25">
      <c r="A350" s="68">
        <v>43698</v>
      </c>
      <c r="B350" s="70">
        <v>231.22</v>
      </c>
      <c r="C350" s="70">
        <v>231.8</v>
      </c>
      <c r="D350" s="70">
        <v>232.32</v>
      </c>
      <c r="E350" s="70">
        <v>230.5</v>
      </c>
      <c r="F350" s="70">
        <v>20.5</v>
      </c>
      <c r="G350" s="70">
        <v>-1.4E-3</v>
      </c>
      <c r="H350" s="70">
        <v>229.0757051282051</v>
      </c>
      <c r="I350" s="70">
        <v>227.06294871794867</v>
      </c>
      <c r="J350" s="70">
        <v>2.0127564102564293</v>
      </c>
      <c r="K350" s="70">
        <v>0.61953767014877792</v>
      </c>
      <c r="L350" s="70">
        <v>1.3932187401076512</v>
      </c>
      <c r="M350" s="70">
        <v>2.1720914950829586</v>
      </c>
      <c r="N350" s="70">
        <v>0</v>
      </c>
      <c r="O350" s="70">
        <v>0</v>
      </c>
      <c r="P350" s="70">
        <v>0.12217424916998219</v>
      </c>
      <c r="Q350" s="70">
        <v>0.1643609404008857</v>
      </c>
      <c r="R350" s="70">
        <v>-0.1472304022904998</v>
      </c>
      <c r="S350" s="70">
        <v>-0.2234340411630073</v>
      </c>
      <c r="T350" s="70">
        <v>50.077380333911179</v>
      </c>
      <c r="U350" s="70"/>
      <c r="V350" s="70">
        <v>-69.709999999999923</v>
      </c>
      <c r="W350" s="70">
        <v>168.30000000000007</v>
      </c>
    </row>
    <row r="351" spans="1:23" x14ac:dyDescent="0.25">
      <c r="A351" s="68">
        <v>43697</v>
      </c>
      <c r="B351" s="70">
        <v>231.54</v>
      </c>
      <c r="C351" s="70">
        <v>226.58</v>
      </c>
      <c r="D351" s="70">
        <v>232.32</v>
      </c>
      <c r="E351" s="70">
        <v>226.15</v>
      </c>
      <c r="F351" s="70">
        <v>34.64</v>
      </c>
      <c r="G351" s="70">
        <v>2.0899999999999998E-2</v>
      </c>
      <c r="H351" s="70">
        <v>228.58833333333337</v>
      </c>
      <c r="I351" s="70">
        <v>227.32846153846157</v>
      </c>
      <c r="J351" s="70">
        <v>1.259871794871799</v>
      </c>
      <c r="K351" s="70">
        <v>-4.1630579297254278E-2</v>
      </c>
      <c r="L351" s="70">
        <v>1.3015023741690532</v>
      </c>
      <c r="M351" s="70">
        <v>1.9735987184705217</v>
      </c>
      <c r="N351" s="70">
        <v>0.82982171799027793</v>
      </c>
      <c r="O351" s="70">
        <v>0</v>
      </c>
      <c r="P351" s="70">
        <v>0.24072020888287904</v>
      </c>
      <c r="Q351" s="70">
        <v>0.23179920555778208</v>
      </c>
      <c r="R351" s="70">
        <v>1.887965457600739E-2</v>
      </c>
      <c r="S351" s="70">
        <v>-0.22966770935259992</v>
      </c>
      <c r="T351" s="70">
        <v>50.111909465516021</v>
      </c>
      <c r="U351" s="70"/>
      <c r="V351" s="70">
        <v>-69.709999999999923</v>
      </c>
      <c r="W351" s="70">
        <v>168.30000000000007</v>
      </c>
    </row>
    <row r="352" spans="1:23" x14ac:dyDescent="0.25">
      <c r="A352" s="68">
        <v>43696</v>
      </c>
      <c r="B352" s="70">
        <v>226.8</v>
      </c>
      <c r="C352" s="70">
        <v>225.99</v>
      </c>
      <c r="D352" s="70">
        <v>227.2</v>
      </c>
      <c r="E352" s="70">
        <v>223.65</v>
      </c>
      <c r="F352" s="70">
        <v>19.13</v>
      </c>
      <c r="G352" s="70">
        <v>9.2999999999999992E-3</v>
      </c>
      <c r="H352" s="70">
        <v>227.60314102564107</v>
      </c>
      <c r="I352" s="70">
        <v>227.28931623931629</v>
      </c>
      <c r="J352" s="70">
        <v>0.31382478632477273</v>
      </c>
      <c r="K352" s="70">
        <v>-0.85077666983224276</v>
      </c>
      <c r="L352" s="70">
        <v>1.1646014561570155</v>
      </c>
      <c r="M352" s="70">
        <v>1.7194457837192956</v>
      </c>
      <c r="N352" s="70">
        <v>0</v>
      </c>
      <c r="O352" s="70">
        <v>0.12112676056338278</v>
      </c>
      <c r="P352" s="70">
        <v>6.7460729302491348E-2</v>
      </c>
      <c r="Q352" s="70">
        <v>0.267825047217427</v>
      </c>
      <c r="R352" s="70">
        <v>-0.59759265661253769</v>
      </c>
      <c r="S352" s="70">
        <v>-0.35362226340251063</v>
      </c>
      <c r="T352" s="70">
        <v>50.102898677642528</v>
      </c>
      <c r="U352" s="70"/>
      <c r="V352" s="70">
        <v>-69.709999999999923</v>
      </c>
      <c r="W352" s="70">
        <v>168.30000000000007</v>
      </c>
    </row>
    <row r="353" spans="1:23" x14ac:dyDescent="0.25">
      <c r="A353" s="68">
        <v>43693</v>
      </c>
      <c r="B353" s="70">
        <v>224.71</v>
      </c>
      <c r="C353" s="70">
        <v>228.48</v>
      </c>
      <c r="D353" s="70">
        <v>229.38</v>
      </c>
      <c r="E353" s="70">
        <v>224.08</v>
      </c>
      <c r="F353" s="70">
        <v>25.16</v>
      </c>
      <c r="G353" s="70">
        <v>-1.0699999999999999E-2</v>
      </c>
      <c r="H353" s="70">
        <v>227.80903846153848</v>
      </c>
      <c r="I353" s="70">
        <v>227.80045584045587</v>
      </c>
      <c r="J353" s="70">
        <v>8.5826210826098759E-3</v>
      </c>
      <c r="K353" s="70">
        <v>-1.5803290598290789</v>
      </c>
      <c r="L353" s="70">
        <v>1.5889116809116888</v>
      </c>
      <c r="M353" s="70">
        <v>1.5236109493545458</v>
      </c>
      <c r="N353" s="70">
        <v>0</v>
      </c>
      <c r="O353" s="70">
        <v>0.15283018867924084</v>
      </c>
      <c r="P353" s="70">
        <v>9.9286595743742365E-2</v>
      </c>
      <c r="Q353" s="70">
        <v>0.26436772855946933</v>
      </c>
      <c r="R353" s="70">
        <v>-0.4539506937860136</v>
      </c>
      <c r="S353" s="70">
        <v>-0.31586277251905653</v>
      </c>
      <c r="T353" s="70">
        <v>50.126647373229524</v>
      </c>
      <c r="U353" s="70"/>
      <c r="V353" s="70">
        <v>-69.709999999999923</v>
      </c>
      <c r="W353" s="70">
        <v>168.30000000000007</v>
      </c>
    </row>
    <row r="354" spans="1:23" x14ac:dyDescent="0.25">
      <c r="A354" s="68">
        <v>43692</v>
      </c>
      <c r="B354" s="70">
        <v>227.15</v>
      </c>
      <c r="C354" s="70">
        <v>227.69</v>
      </c>
      <c r="D354" s="70">
        <v>229.7</v>
      </c>
      <c r="E354" s="70">
        <v>224.89</v>
      </c>
      <c r="F354" s="70">
        <v>32.299999999999997</v>
      </c>
      <c r="G354" s="70">
        <v>2.0000000000000001E-4</v>
      </c>
      <c r="H354" s="70">
        <v>229.04397435897437</v>
      </c>
      <c r="I354" s="70">
        <v>228.78212250712255</v>
      </c>
      <c r="J354" s="70">
        <v>0.26185185185181581</v>
      </c>
      <c r="K354" s="70">
        <v>-2.3201468819246909</v>
      </c>
      <c r="L354" s="70">
        <v>2.5819987337765067</v>
      </c>
      <c r="M354" s="70">
        <v>1.336654755817152</v>
      </c>
      <c r="N354" s="70">
        <v>0</v>
      </c>
      <c r="O354" s="70">
        <v>0</v>
      </c>
      <c r="P354" s="70">
        <v>9.9286595743742365E-2</v>
      </c>
      <c r="Q354" s="70">
        <v>0.23245812872534213</v>
      </c>
      <c r="R354" s="70">
        <v>-0.40142773391415343</v>
      </c>
      <c r="S354" s="70">
        <v>-0.31843427735545099</v>
      </c>
      <c r="T354" s="70">
        <v>62.462021027782022</v>
      </c>
      <c r="U354" s="70"/>
      <c r="V354" s="70">
        <v>-69.709999999999923</v>
      </c>
      <c r="W354" s="70">
        <v>168.30000000000007</v>
      </c>
    </row>
    <row r="355" spans="1:23" x14ac:dyDescent="0.25">
      <c r="A355" s="68">
        <v>43691</v>
      </c>
      <c r="B355" s="70">
        <v>227.1</v>
      </c>
      <c r="C355" s="70">
        <v>231.1</v>
      </c>
      <c r="D355" s="70">
        <v>231.19</v>
      </c>
      <c r="E355" s="70">
        <v>224.58</v>
      </c>
      <c r="F355" s="70">
        <v>35.840000000000003</v>
      </c>
      <c r="G355" s="70">
        <v>-1.21E-2</v>
      </c>
      <c r="H355" s="70">
        <v>229.73788461538459</v>
      </c>
      <c r="I355" s="70">
        <v>229.59964387464387</v>
      </c>
      <c r="J355" s="70">
        <v>0.13824074074071291</v>
      </c>
      <c r="K355" s="70">
        <v>-3.1898314339981289</v>
      </c>
      <c r="L355" s="70">
        <v>3.3280721747388418</v>
      </c>
      <c r="M355" s="70">
        <v>1.0139225446917817</v>
      </c>
      <c r="N355" s="70">
        <v>0</v>
      </c>
      <c r="O355" s="70">
        <v>0.28441754916792733</v>
      </c>
      <c r="P355" s="70">
        <v>0.12519954742088615</v>
      </c>
      <c r="Q355" s="70">
        <v>0.27308920717790319</v>
      </c>
      <c r="R355" s="70">
        <v>-0.37131266712762617</v>
      </c>
      <c r="S355" s="70">
        <v>-0.32016411177590975</v>
      </c>
      <c r="T355" s="70">
        <v>50.146187623876216</v>
      </c>
      <c r="U355" s="70"/>
      <c r="V355" s="70">
        <v>-69.709999999999923</v>
      </c>
      <c r="W355" s="70">
        <v>168.30000000000007</v>
      </c>
    </row>
    <row r="356" spans="1:23" x14ac:dyDescent="0.25">
      <c r="A356" s="68">
        <v>43690</v>
      </c>
      <c r="B356" s="70">
        <v>229.87</v>
      </c>
      <c r="C356" s="70">
        <v>229.88</v>
      </c>
      <c r="D356" s="70">
        <v>232.16</v>
      </c>
      <c r="E356" s="70">
        <v>226.46</v>
      </c>
      <c r="F356" s="70">
        <v>35.15</v>
      </c>
      <c r="G356" s="70">
        <v>-1.6000000000000001E-3</v>
      </c>
      <c r="H356" s="70">
        <v>230.84307692307692</v>
      </c>
      <c r="I356" s="70">
        <v>230.62641025641022</v>
      </c>
      <c r="J356" s="70">
        <v>0.21666666666669698</v>
      </c>
      <c r="K356" s="70">
        <v>-4.0261861348528178</v>
      </c>
      <c r="L356" s="70">
        <v>4.2428528015195148</v>
      </c>
      <c r="M356" s="70">
        <v>0.62328964862299563</v>
      </c>
      <c r="N356" s="70">
        <v>0</v>
      </c>
      <c r="O356" s="70">
        <v>0.49649122807017365</v>
      </c>
      <c r="P356" s="70">
        <v>0.14969925823638647</v>
      </c>
      <c r="Q356" s="70">
        <v>0.28463264158143764</v>
      </c>
      <c r="R356" s="70">
        <v>-0.31066883045350235</v>
      </c>
      <c r="S356" s="70">
        <v>-0.32418352383198362</v>
      </c>
      <c r="T356" s="70">
        <v>50.123958122403856</v>
      </c>
      <c r="U356" s="70"/>
      <c r="V356" s="70">
        <v>-69.709999999999923</v>
      </c>
      <c r="W356" s="70">
        <v>168.30000000000007</v>
      </c>
    </row>
    <row r="357" spans="1:23" x14ac:dyDescent="0.25">
      <c r="A357" s="68">
        <v>43689</v>
      </c>
      <c r="B357" s="70">
        <v>230.24</v>
      </c>
      <c r="C357" s="70">
        <v>231.06</v>
      </c>
      <c r="D357" s="70">
        <v>232.97</v>
      </c>
      <c r="E357" s="70">
        <v>229.29</v>
      </c>
      <c r="F357" s="70">
        <v>15.93</v>
      </c>
      <c r="G357" s="70">
        <v>1.1999999999999999E-3</v>
      </c>
      <c r="H357" s="70">
        <v>231.20743589743591</v>
      </c>
      <c r="I357" s="70">
        <v>231.31763532763537</v>
      </c>
      <c r="J357" s="70">
        <v>-0.11019943019945799</v>
      </c>
      <c r="K357" s="70">
        <v>-4.9048781259892742</v>
      </c>
      <c r="L357" s="70">
        <v>4.7946786957898162</v>
      </c>
      <c r="M357" s="70">
        <v>3.7725646939326785E-2</v>
      </c>
      <c r="N357" s="70">
        <v>0.19293478260869745</v>
      </c>
      <c r="O357" s="70">
        <v>0</v>
      </c>
      <c r="P357" s="70">
        <v>0.2073542065820784</v>
      </c>
      <c r="Q357" s="70">
        <v>0.1809696379184344</v>
      </c>
      <c r="R357" s="70">
        <v>6.7944755485158354E-2</v>
      </c>
      <c r="S357" s="70">
        <v>-0.28471111676001853</v>
      </c>
      <c r="T357" s="70">
        <v>50.003275752877201</v>
      </c>
      <c r="U357" s="70"/>
      <c r="V357" s="70">
        <v>-69.709999999999923</v>
      </c>
      <c r="W357" s="70">
        <v>168.30000000000007</v>
      </c>
    </row>
    <row r="358" spans="1:23" x14ac:dyDescent="0.25">
      <c r="A358" s="68">
        <v>43686</v>
      </c>
      <c r="B358" s="70">
        <v>229.96</v>
      </c>
      <c r="C358" s="70">
        <v>231.45</v>
      </c>
      <c r="D358" s="70">
        <v>232.26</v>
      </c>
      <c r="E358" s="70">
        <v>228.91</v>
      </c>
      <c r="F358" s="70">
        <v>18.559999999999999</v>
      </c>
      <c r="G358" s="70">
        <v>-5.4000000000000003E-3</v>
      </c>
      <c r="H358" s="70">
        <v>230.37179487179489</v>
      </c>
      <c r="I358" s="70">
        <v>232.03229344729348</v>
      </c>
      <c r="J358" s="70">
        <v>-1.6604985754985933</v>
      </c>
      <c r="K358" s="70">
        <v>-5.9612469135802852</v>
      </c>
      <c r="L358" s="70">
        <v>4.300748338081692</v>
      </c>
      <c r="M358" s="70">
        <v>-0.75500666854512399</v>
      </c>
      <c r="N358" s="70">
        <v>0</v>
      </c>
      <c r="O358" s="70">
        <v>0.45373134328358589</v>
      </c>
      <c r="P358" s="70">
        <v>0.16707112010333935</v>
      </c>
      <c r="Q358" s="70">
        <v>0.29755823944665993</v>
      </c>
      <c r="R358" s="70">
        <v>-0.28084131289012682</v>
      </c>
      <c r="S358" s="70">
        <v>-0.39538196680458115</v>
      </c>
      <c r="T358" s="70">
        <v>37.297503127889897</v>
      </c>
      <c r="U358" s="70"/>
      <c r="V358" s="70">
        <v>-69.709999999999923</v>
      </c>
      <c r="W358" s="70">
        <v>168.30000000000007</v>
      </c>
    </row>
    <row r="359" spans="1:23" x14ac:dyDescent="0.25">
      <c r="A359" s="68">
        <v>43685</v>
      </c>
      <c r="B359" s="70">
        <v>231.21</v>
      </c>
      <c r="C359" s="70">
        <v>230.51</v>
      </c>
      <c r="D359" s="70">
        <v>233.54</v>
      </c>
      <c r="E359" s="70">
        <v>230.43</v>
      </c>
      <c r="F359" s="70">
        <v>29.63</v>
      </c>
      <c r="G359" s="70">
        <v>1.55E-2</v>
      </c>
      <c r="H359" s="70">
        <v>229.29769230769233</v>
      </c>
      <c r="I359" s="70">
        <v>233.02908831908834</v>
      </c>
      <c r="J359" s="70">
        <v>-3.731396011396015</v>
      </c>
      <c r="K359" s="70">
        <v>-6.9189635960747413</v>
      </c>
      <c r="L359" s="70">
        <v>3.1875675846787264</v>
      </c>
      <c r="M359" s="70">
        <v>-1.5576648542973275</v>
      </c>
      <c r="N359" s="70">
        <v>0.148211243611585</v>
      </c>
      <c r="O359" s="70">
        <v>0</v>
      </c>
      <c r="P359" s="70">
        <v>0.20573686627525659</v>
      </c>
      <c r="Q359" s="70">
        <v>0.20282312381602111</v>
      </c>
      <c r="R359" s="70">
        <v>7.1317371497500561E-3</v>
      </c>
      <c r="S359" s="70">
        <v>-0.38142146878583671</v>
      </c>
      <c r="T359" s="70">
        <v>50.001083752384261</v>
      </c>
      <c r="U359" s="70"/>
      <c r="V359" s="70">
        <v>-69.709999999999923</v>
      </c>
      <c r="W359" s="70">
        <v>168.30000000000007</v>
      </c>
    </row>
    <row r="360" spans="1:23" x14ac:dyDescent="0.25">
      <c r="A360" s="68">
        <v>43684</v>
      </c>
      <c r="B360" s="70">
        <v>227.67</v>
      </c>
      <c r="C360" s="70">
        <v>226.9</v>
      </c>
      <c r="D360" s="70">
        <v>232.67</v>
      </c>
      <c r="E360" s="70">
        <v>225.5</v>
      </c>
      <c r="F360" s="70">
        <v>49.73</v>
      </c>
      <c r="G360" s="70">
        <v>4.0000000000000001E-3</v>
      </c>
      <c r="H360" s="70">
        <v>227.77858974358972</v>
      </c>
      <c r="I360" s="70">
        <v>233.49300569800573</v>
      </c>
      <c r="J360" s="70">
        <v>-5.7144159544160118</v>
      </c>
      <c r="K360" s="70">
        <v>-7.6029433364989387</v>
      </c>
      <c r="L360" s="70">
        <v>1.8885273820829269</v>
      </c>
      <c r="M360" s="70">
        <v>-2.2733471991762637</v>
      </c>
      <c r="N360" s="70">
        <v>0.6820083682008361</v>
      </c>
      <c r="O360" s="70">
        <v>0</v>
      </c>
      <c r="P360" s="70">
        <v>0.27222142845097919</v>
      </c>
      <c r="Q360" s="70">
        <v>0.21701571088996419</v>
      </c>
      <c r="R360" s="70">
        <v>0.11284040626061877</v>
      </c>
      <c r="S360" s="70">
        <v>-0.41364693294694688</v>
      </c>
      <c r="T360" s="70">
        <v>50.150192332627391</v>
      </c>
      <c r="U360" s="70"/>
      <c r="V360" s="70">
        <v>-69.709999999999923</v>
      </c>
      <c r="W360" s="70">
        <v>168.30000000000007</v>
      </c>
    </row>
    <row r="361" spans="1:23" x14ac:dyDescent="0.25">
      <c r="A361" s="68">
        <v>43683</v>
      </c>
      <c r="B361" s="70">
        <v>226.76</v>
      </c>
      <c r="C361" s="70">
        <v>223.62</v>
      </c>
      <c r="D361" s="70">
        <v>227.78</v>
      </c>
      <c r="E361" s="70">
        <v>223.62</v>
      </c>
      <c r="F361" s="70">
        <v>30.46</v>
      </c>
      <c r="G361" s="70">
        <v>1.41E-2</v>
      </c>
      <c r="H361" s="70">
        <v>226.89467948717947</v>
      </c>
      <c r="I361" s="70">
        <v>234.10152421652424</v>
      </c>
      <c r="J361" s="70">
        <v>-7.2068447293447662</v>
      </c>
      <c r="K361" s="70">
        <v>-8.0149574232352432</v>
      </c>
      <c r="L361" s="70">
        <v>0.80811269389047702</v>
      </c>
      <c r="M361" s="70">
        <v>-2.8062555058110648</v>
      </c>
      <c r="N361" s="70">
        <v>0</v>
      </c>
      <c r="O361" s="70">
        <v>0</v>
      </c>
      <c r="P361" s="70">
        <v>0.13803325897083232</v>
      </c>
      <c r="Q361" s="70">
        <v>0.21701571088996419</v>
      </c>
      <c r="R361" s="70">
        <v>-0.22245509387084941</v>
      </c>
      <c r="S361" s="70">
        <v>-0.50635390185504658</v>
      </c>
      <c r="T361" s="70">
        <v>50.326241440199837</v>
      </c>
      <c r="U361" s="70"/>
      <c r="V361" s="70">
        <v>-69.709999999999923</v>
      </c>
      <c r="W361" s="70">
        <v>168.30000000000007</v>
      </c>
    </row>
    <row r="362" spans="1:23" x14ac:dyDescent="0.25">
      <c r="A362" s="68">
        <v>43682</v>
      </c>
      <c r="B362" s="70">
        <v>223.61</v>
      </c>
      <c r="C362" s="70">
        <v>226</v>
      </c>
      <c r="D362" s="70">
        <v>228</v>
      </c>
      <c r="E362" s="70">
        <v>222.3</v>
      </c>
      <c r="F362" s="70">
        <v>53.37</v>
      </c>
      <c r="G362" s="70">
        <v>-1.89E-2</v>
      </c>
      <c r="H362" s="70">
        <v>225.65134615384613</v>
      </c>
      <c r="I362" s="70">
        <v>234.53556980056987</v>
      </c>
      <c r="J362" s="70">
        <v>-8.8842236467237399</v>
      </c>
      <c r="K362" s="70">
        <v>-8.2281780626781167</v>
      </c>
      <c r="L362" s="70">
        <v>-0.65604558404562319</v>
      </c>
      <c r="M362" s="70">
        <v>-3.245416695365424</v>
      </c>
      <c r="N362" s="70">
        <v>0</v>
      </c>
      <c r="O362" s="70">
        <v>0.98421052631578887</v>
      </c>
      <c r="P362" s="70">
        <v>0.13803325897083232</v>
      </c>
      <c r="Q362" s="70">
        <v>0.40440913240902204</v>
      </c>
      <c r="R362" s="70">
        <v>-0.49106758186908644</v>
      </c>
      <c r="S362" s="70">
        <v>-0.5740416207864355</v>
      </c>
      <c r="T362" s="70">
        <v>50.117853126892136</v>
      </c>
      <c r="U362" s="70"/>
      <c r="V362" s="70">
        <v>-69.709999999999923</v>
      </c>
      <c r="W362" s="70">
        <v>168.30000000000007</v>
      </c>
    </row>
    <row r="363" spans="1:23" x14ac:dyDescent="0.25">
      <c r="A363" s="68">
        <v>43679</v>
      </c>
      <c r="B363" s="70">
        <v>227.91</v>
      </c>
      <c r="C363" s="70">
        <v>231.1</v>
      </c>
      <c r="D363" s="70">
        <v>233.17</v>
      </c>
      <c r="E363" s="70">
        <v>227.91</v>
      </c>
      <c r="F363" s="70">
        <v>59.3</v>
      </c>
      <c r="G363" s="70">
        <v>-2.7199999999999998E-2</v>
      </c>
      <c r="H363" s="70">
        <v>225.93846153846155</v>
      </c>
      <c r="I363" s="70">
        <v>235.18243589743594</v>
      </c>
      <c r="J363" s="70">
        <v>-9.2439743589743841</v>
      </c>
      <c r="K363" s="70">
        <v>-7.8254381133270385</v>
      </c>
      <c r="L363" s="70">
        <v>-1.4185362456473456</v>
      </c>
      <c r="M363" s="70">
        <v>-3.4255859518765512</v>
      </c>
      <c r="N363" s="70">
        <v>0</v>
      </c>
      <c r="O363" s="70">
        <v>1.0228136882129286</v>
      </c>
      <c r="P363" s="70">
        <v>0.13803325897083232</v>
      </c>
      <c r="Q363" s="70">
        <v>0.5550430781000022</v>
      </c>
      <c r="R363" s="70">
        <v>-0.60167949304341961</v>
      </c>
      <c r="S363" s="70">
        <v>-0.60212722770875471</v>
      </c>
      <c r="T363" s="70">
        <v>50.434404156352855</v>
      </c>
      <c r="U363" s="70"/>
      <c r="V363" s="70">
        <v>-69.709999999999923</v>
      </c>
      <c r="W363" s="70">
        <v>168.30000000000007</v>
      </c>
    </row>
    <row r="364" spans="1:23" x14ac:dyDescent="0.25">
      <c r="A364" s="68">
        <v>43678</v>
      </c>
      <c r="B364" s="70">
        <v>234.28</v>
      </c>
      <c r="C364" s="70">
        <v>234.54</v>
      </c>
      <c r="D364" s="70">
        <v>237.34</v>
      </c>
      <c r="E364" s="70">
        <v>233.29</v>
      </c>
      <c r="F364" s="70">
        <v>31.28</v>
      </c>
      <c r="G364" s="70">
        <v>-1.11E-2</v>
      </c>
      <c r="H364" s="70">
        <v>226.3741025641026</v>
      </c>
      <c r="I364" s="70">
        <v>235.82131054131059</v>
      </c>
      <c r="J364" s="70">
        <v>-9.4472079772079951</v>
      </c>
      <c r="K364" s="70">
        <v>-7.1906761633428689</v>
      </c>
      <c r="L364" s="70">
        <v>-2.2565318138651262</v>
      </c>
      <c r="M364" s="70">
        <v>-3.4340510733331255</v>
      </c>
      <c r="N364" s="70">
        <v>0</v>
      </c>
      <c r="O364" s="70">
        <v>0.28395061728395121</v>
      </c>
      <c r="P364" s="70">
        <v>0.13803325897083232</v>
      </c>
      <c r="Q364" s="70">
        <v>0.44365873593853555</v>
      </c>
      <c r="R364" s="70">
        <v>-0.52540774093912379</v>
      </c>
      <c r="S364" s="70">
        <v>-0.57257834967006449</v>
      </c>
      <c r="T364" s="70">
        <v>62.619348555232733</v>
      </c>
      <c r="U364" s="70"/>
      <c r="V364" s="70">
        <v>-69.709999999999923</v>
      </c>
      <c r="W364" s="70">
        <v>168.30000000000007</v>
      </c>
    </row>
    <row r="365" spans="1:23" x14ac:dyDescent="0.25">
      <c r="A365" s="68">
        <v>43677</v>
      </c>
      <c r="B365" s="70">
        <v>236.9</v>
      </c>
      <c r="C365" s="70">
        <v>237.41</v>
      </c>
      <c r="D365" s="70">
        <v>239.64</v>
      </c>
      <c r="E365" s="70">
        <v>234.44</v>
      </c>
      <c r="F365" s="70">
        <v>45.44</v>
      </c>
      <c r="G365" s="70">
        <v>-8.0000000000000004E-4</v>
      </c>
      <c r="H365" s="70">
        <v>227.04019230769234</v>
      </c>
      <c r="I365" s="70">
        <v>235.97336182336193</v>
      </c>
      <c r="J365" s="70">
        <v>-8.9331695156695901</v>
      </c>
      <c r="K365" s="70">
        <v>-6.2082704969927738</v>
      </c>
      <c r="L365" s="70">
        <v>-2.7248990186768163</v>
      </c>
      <c r="M365" s="70">
        <v>-3.3277580817409951</v>
      </c>
      <c r="N365" s="70">
        <v>0.48269230769230698</v>
      </c>
      <c r="O365" s="70">
        <v>0</v>
      </c>
      <c r="P365" s="70">
        <v>0.20698930292687617</v>
      </c>
      <c r="Q365" s="70">
        <v>0.41659575900087181</v>
      </c>
      <c r="R365" s="70">
        <v>-0.33613129767095318</v>
      </c>
      <c r="S365" s="70">
        <v>-0.51187139839159745</v>
      </c>
      <c r="T365" s="70">
        <v>75.205333421708175</v>
      </c>
      <c r="U365" s="70"/>
      <c r="V365" s="70">
        <v>-69.709999999999923</v>
      </c>
      <c r="W365" s="70">
        <v>168.30000000000007</v>
      </c>
    </row>
    <row r="366" spans="1:23" x14ac:dyDescent="0.25">
      <c r="A366" s="68">
        <v>43676</v>
      </c>
      <c r="B366" s="70">
        <v>237.1</v>
      </c>
      <c r="C366" s="70">
        <v>236.1</v>
      </c>
      <c r="D366" s="70">
        <v>237.13</v>
      </c>
      <c r="E366" s="70">
        <v>232.37</v>
      </c>
      <c r="F366" s="70">
        <v>44.06</v>
      </c>
      <c r="G366" s="70">
        <v>1.6000000000000001E-3</v>
      </c>
      <c r="H366" s="70">
        <v>227.31070512820511</v>
      </c>
      <c r="I366" s="70">
        <v>235.81688034188039</v>
      </c>
      <c r="J366" s="70">
        <v>-8.5061752136752773</v>
      </c>
      <c r="K366" s="70">
        <v>-5.1078960113960594</v>
      </c>
      <c r="L366" s="70">
        <v>-3.3982792022792179</v>
      </c>
      <c r="M366" s="70">
        <v>-3.205439904824527</v>
      </c>
      <c r="N366" s="70">
        <v>0</v>
      </c>
      <c r="O366" s="70">
        <v>0</v>
      </c>
      <c r="P366" s="70">
        <v>0.10620739252958129</v>
      </c>
      <c r="Q366" s="70">
        <v>0.43394682898352077</v>
      </c>
      <c r="R366" s="70">
        <v>-0.60675159686036029</v>
      </c>
      <c r="S366" s="70">
        <v>-0.51089475102534765</v>
      </c>
      <c r="T366" s="70">
        <v>76.083640204071372</v>
      </c>
      <c r="U366" s="70"/>
      <c r="V366" s="70">
        <v>-69.709999999999923</v>
      </c>
      <c r="W366" s="70">
        <v>168.30000000000007</v>
      </c>
    </row>
    <row r="367" spans="1:23" x14ac:dyDescent="0.25">
      <c r="A367" s="68">
        <v>43675</v>
      </c>
      <c r="B367" s="70">
        <v>236.73</v>
      </c>
      <c r="C367" s="70">
        <v>234.12</v>
      </c>
      <c r="D367" s="70">
        <v>238.7</v>
      </c>
      <c r="E367" s="70">
        <v>231.83</v>
      </c>
      <c r="F367" s="70">
        <v>50.48</v>
      </c>
      <c r="G367" s="70">
        <v>1.0699999999999999E-2</v>
      </c>
      <c r="H367" s="70">
        <v>227.84608974358974</v>
      </c>
      <c r="I367" s="70">
        <v>235.62138176638177</v>
      </c>
      <c r="J367" s="70">
        <v>-7.7752920227920299</v>
      </c>
      <c r="K367" s="70">
        <v>-3.8460264324153557</v>
      </c>
      <c r="L367" s="70">
        <v>-3.9292655903766742</v>
      </c>
      <c r="M367" s="70">
        <v>-3.0245916394463404</v>
      </c>
      <c r="N367" s="70">
        <v>0.39301310043668092</v>
      </c>
      <c r="O367" s="70">
        <v>0</v>
      </c>
      <c r="P367" s="70">
        <v>0.16235212116339284</v>
      </c>
      <c r="Q367" s="70">
        <v>0.47798012433491815</v>
      </c>
      <c r="R367" s="70">
        <v>-0.49291286732858713</v>
      </c>
      <c r="S367" s="70">
        <v>-0.44421083673702949</v>
      </c>
      <c r="T367" s="70">
        <v>63.501753474477205</v>
      </c>
      <c r="U367" s="70"/>
      <c r="V367" s="70">
        <v>-69.709999999999923</v>
      </c>
      <c r="W367" s="70">
        <v>168.30000000000007</v>
      </c>
    </row>
    <row r="368" spans="1:23" x14ac:dyDescent="0.25">
      <c r="A368" s="68">
        <v>43672</v>
      </c>
      <c r="B368" s="70">
        <v>234.23</v>
      </c>
      <c r="C368" s="70">
        <v>217</v>
      </c>
      <c r="D368" s="70">
        <v>236</v>
      </c>
      <c r="E368" s="70">
        <v>217</v>
      </c>
      <c r="F368" s="70">
        <v>181.11</v>
      </c>
      <c r="G368" s="70">
        <v>6.9500000000000006E-2</v>
      </c>
      <c r="H368" s="70">
        <v>228.1997435897436</v>
      </c>
      <c r="I368" s="70">
        <v>235.16411680911685</v>
      </c>
      <c r="J368" s="70">
        <v>-6.9643732193732433</v>
      </c>
      <c r="K368" s="70">
        <v>-2.3858217790440404</v>
      </c>
      <c r="L368" s="70">
        <v>-4.5785514403292034</v>
      </c>
      <c r="M368" s="70">
        <v>-2.8317492320911164</v>
      </c>
      <c r="N368" s="70">
        <v>0.37157894736842118</v>
      </c>
      <c r="O368" s="70">
        <v>0</v>
      </c>
      <c r="P368" s="70">
        <v>0.13337714761935482</v>
      </c>
      <c r="Q368" s="70">
        <v>0.47798012433491815</v>
      </c>
      <c r="R368" s="70">
        <v>-0.56366872943868118</v>
      </c>
      <c r="S368" s="70">
        <v>-0.37936628422699442</v>
      </c>
      <c r="T368" s="70">
        <v>50.605678844849315</v>
      </c>
      <c r="U368" s="70"/>
      <c r="V368" s="70">
        <v>-69.709999999999923</v>
      </c>
      <c r="W368" s="70">
        <v>168.30000000000007</v>
      </c>
    </row>
    <row r="369" spans="1:23" x14ac:dyDescent="0.25">
      <c r="A369" s="68">
        <v>43671</v>
      </c>
      <c r="B369" s="70">
        <v>219</v>
      </c>
      <c r="C369" s="70">
        <v>208</v>
      </c>
      <c r="D369" s="70">
        <v>228.94</v>
      </c>
      <c r="E369" s="70">
        <v>206</v>
      </c>
      <c r="F369" s="70">
        <v>168.79</v>
      </c>
      <c r="G369" s="70">
        <v>3.3000000000000002E-2</v>
      </c>
      <c r="H369" s="70">
        <v>226.98346153846154</v>
      </c>
      <c r="I369" s="70">
        <v>233.97507122507128</v>
      </c>
      <c r="J369" s="70">
        <v>-6.9916096866097348</v>
      </c>
      <c r="K369" s="70">
        <v>-1.1577856916746234</v>
      </c>
      <c r="L369" s="70">
        <v>-5.8338239949351109</v>
      </c>
      <c r="M369" s="70">
        <v>-2.723301802977022</v>
      </c>
      <c r="N369" s="70">
        <v>0.45640802092414995</v>
      </c>
      <c r="O369" s="70">
        <v>0</v>
      </c>
      <c r="P369" s="70">
        <v>0.14587903869744162</v>
      </c>
      <c r="Q369" s="70">
        <v>0.47798012433491815</v>
      </c>
      <c r="R369" s="70">
        <v>-0.5323334260624627</v>
      </c>
      <c r="S369" s="70">
        <v>-0.30374777103634448</v>
      </c>
      <c r="T369" s="70">
        <v>37.173281153121991</v>
      </c>
      <c r="U369" s="70"/>
      <c r="V369" s="70">
        <v>-69.709999999999923</v>
      </c>
      <c r="W369" s="70">
        <v>168.30000000000007</v>
      </c>
    </row>
    <row r="370" spans="1:23" x14ac:dyDescent="0.25">
      <c r="A370" s="68">
        <v>43670</v>
      </c>
      <c r="B370" s="70">
        <v>212</v>
      </c>
      <c r="C370" s="70">
        <v>218.47</v>
      </c>
      <c r="D370" s="70">
        <v>218.47</v>
      </c>
      <c r="E370" s="70">
        <v>210.51</v>
      </c>
      <c r="F370" s="70">
        <v>44.52</v>
      </c>
      <c r="G370" s="70">
        <v>-2.4799999999999999E-2</v>
      </c>
      <c r="H370" s="70">
        <v>228.10442307692307</v>
      </c>
      <c r="I370" s="70">
        <v>233.93589743589746</v>
      </c>
      <c r="J370" s="70">
        <v>-5.8314743589743898</v>
      </c>
      <c r="K370" s="70">
        <v>0.32677128838235947</v>
      </c>
      <c r="L370" s="70">
        <v>-6.1582456473567495</v>
      </c>
      <c r="M370" s="70">
        <v>-2.4299084840452374</v>
      </c>
      <c r="N370" s="70">
        <v>0</v>
      </c>
      <c r="O370" s="70">
        <v>0.78517587939698419</v>
      </c>
      <c r="P370" s="70">
        <v>5.0585056306685049E-2</v>
      </c>
      <c r="Q370" s="70">
        <v>0.64646678842459704</v>
      </c>
      <c r="R370" s="70">
        <v>-0.85485998871092306</v>
      </c>
      <c r="S370" s="70">
        <v>-0.31237386564312086</v>
      </c>
      <c r="T370" s="70">
        <v>24.42014039150007</v>
      </c>
      <c r="U370" s="70"/>
      <c r="V370" s="70">
        <v>-69.709999999999923</v>
      </c>
      <c r="W370" s="70">
        <v>168.30000000000007</v>
      </c>
    </row>
    <row r="371" spans="1:23" x14ac:dyDescent="0.25">
      <c r="A371" s="68">
        <v>43669</v>
      </c>
      <c r="B371" s="70">
        <v>217.39</v>
      </c>
      <c r="C371" s="70">
        <v>217.5</v>
      </c>
      <c r="D371" s="70">
        <v>221.17</v>
      </c>
      <c r="E371" s="70">
        <v>216.76</v>
      </c>
      <c r="F371" s="70">
        <v>34.74</v>
      </c>
      <c r="G371" s="70">
        <v>1.1999999999999999E-3</v>
      </c>
      <c r="H371" s="70">
        <v>231.50807692307689</v>
      </c>
      <c r="I371" s="70">
        <v>235.05203703703705</v>
      </c>
      <c r="J371" s="70">
        <v>-3.5439601139601677</v>
      </c>
      <c r="K371" s="70">
        <v>1.9170490661601325</v>
      </c>
      <c r="L371" s="70">
        <v>-5.4610091801202998</v>
      </c>
      <c r="M371" s="70">
        <v>-1.9707648755170188</v>
      </c>
      <c r="N371" s="70">
        <v>0.26530612244897694</v>
      </c>
      <c r="O371" s="70">
        <v>0</v>
      </c>
      <c r="P371" s="70">
        <v>8.8485930942253183E-2</v>
      </c>
      <c r="Q371" s="70">
        <v>0.48806110654538348</v>
      </c>
      <c r="R371" s="70">
        <v>-0.69304870135890451</v>
      </c>
      <c r="S371" s="70">
        <v>-0.19230398546979971</v>
      </c>
      <c r="T371" s="70">
        <v>23.968866014640241</v>
      </c>
      <c r="U371" s="70"/>
      <c r="V371" s="70">
        <v>-69.709999999999923</v>
      </c>
      <c r="W371" s="70">
        <v>168.30000000000007</v>
      </c>
    </row>
    <row r="372" spans="1:23" x14ac:dyDescent="0.25">
      <c r="A372" s="68">
        <v>43668</v>
      </c>
      <c r="B372" s="70">
        <v>217.12</v>
      </c>
      <c r="C372" s="70">
        <v>215.97</v>
      </c>
      <c r="D372" s="70">
        <v>220</v>
      </c>
      <c r="E372" s="70">
        <v>214.1</v>
      </c>
      <c r="F372" s="70">
        <v>33.71</v>
      </c>
      <c r="G372" s="70">
        <v>5.1999999999999998E-3</v>
      </c>
      <c r="H372" s="70">
        <v>233.82871794871795</v>
      </c>
      <c r="I372" s="70">
        <v>235.47434472934481</v>
      </c>
      <c r="J372" s="70">
        <v>-1.6456267806268556</v>
      </c>
      <c r="K372" s="70">
        <v>3.2067340930673796</v>
      </c>
      <c r="L372" s="70">
        <v>-4.8523608736942352</v>
      </c>
      <c r="M372" s="70">
        <v>-1.5614015424271921</v>
      </c>
      <c r="N372" s="70">
        <v>0</v>
      </c>
      <c r="O372" s="70">
        <v>0.21525423728813711</v>
      </c>
      <c r="P372" s="70">
        <v>8.775271047761754E-2</v>
      </c>
      <c r="Q372" s="70">
        <v>0.51881171187226016</v>
      </c>
      <c r="R372" s="70">
        <v>-0.71065658570063595</v>
      </c>
      <c r="S372" s="70">
        <v>-0.10366356416468132</v>
      </c>
      <c r="T372" s="70">
        <v>11.783221716903114</v>
      </c>
      <c r="U372" s="70"/>
      <c r="V372" s="70">
        <v>-69.709999999999923</v>
      </c>
      <c r="W372" s="70">
        <v>168.30000000000007</v>
      </c>
    </row>
    <row r="373" spans="1:23" x14ac:dyDescent="0.25">
      <c r="A373" s="68">
        <v>43665</v>
      </c>
      <c r="B373" s="70">
        <v>216</v>
      </c>
      <c r="C373" s="70">
        <v>219.5</v>
      </c>
      <c r="D373" s="70">
        <v>220.43</v>
      </c>
      <c r="E373" s="70">
        <v>215.37</v>
      </c>
      <c r="F373" s="70">
        <v>20.03</v>
      </c>
      <c r="G373" s="70">
        <v>-1.0500000000000001E-2</v>
      </c>
      <c r="H373" s="70">
        <v>236.35211538461539</v>
      </c>
      <c r="I373" s="70">
        <v>235.90384615384622</v>
      </c>
      <c r="J373" s="70">
        <v>0.44826923076917069</v>
      </c>
      <c r="K373" s="70">
        <v>4.3012860082304174</v>
      </c>
      <c r="L373" s="70">
        <v>-3.8530167774612467</v>
      </c>
      <c r="M373" s="70">
        <v>-1.1640361778139612</v>
      </c>
      <c r="N373" s="70">
        <v>0.12450592885375399</v>
      </c>
      <c r="O373" s="70">
        <v>0</v>
      </c>
      <c r="P373" s="70">
        <v>0.13104104269875605</v>
      </c>
      <c r="Q373" s="70">
        <v>0.47386851947144032</v>
      </c>
      <c r="R373" s="70">
        <v>-0.56674170522737899</v>
      </c>
      <c r="S373" s="70">
        <v>-2.3361908687926786E-3</v>
      </c>
      <c r="T373" s="70">
        <v>13.339482116105359</v>
      </c>
      <c r="U373" s="70"/>
      <c r="V373" s="70">
        <v>-69.709999999999923</v>
      </c>
      <c r="W373" s="70">
        <v>168.30000000000007</v>
      </c>
    </row>
    <row r="374" spans="1:23" x14ac:dyDescent="0.25">
      <c r="A374" s="68">
        <v>43664</v>
      </c>
      <c r="B374" s="70">
        <v>218.3</v>
      </c>
      <c r="C374" s="70">
        <v>219</v>
      </c>
      <c r="D374" s="70">
        <v>219.8</v>
      </c>
      <c r="E374" s="70">
        <v>215.77</v>
      </c>
      <c r="F374" s="70">
        <v>30.87</v>
      </c>
      <c r="G374" s="70">
        <v>-8.6E-3</v>
      </c>
      <c r="H374" s="70">
        <v>239.21621794871794</v>
      </c>
      <c r="I374" s="70">
        <v>236.7309116809117</v>
      </c>
      <c r="J374" s="70">
        <v>2.4853062678062372</v>
      </c>
      <c r="K374" s="70">
        <v>5.1654620132953228</v>
      </c>
      <c r="L374" s="70">
        <v>-2.6801557454890856</v>
      </c>
      <c r="M374" s="70">
        <v>-0.85747985347985578</v>
      </c>
      <c r="N374" s="70">
        <v>0</v>
      </c>
      <c r="O374" s="70">
        <v>0.70967741935483486</v>
      </c>
      <c r="P374" s="70">
        <v>0.11488797462200953</v>
      </c>
      <c r="Q374" s="70">
        <v>0.5752510079507025</v>
      </c>
      <c r="R374" s="70">
        <v>-0.6670584403340668</v>
      </c>
      <c r="S374" s="70">
        <v>4.2744332467604826E-2</v>
      </c>
      <c r="T374" s="70">
        <v>26.199551804301848</v>
      </c>
      <c r="U374" s="70"/>
      <c r="V374" s="70">
        <v>-69.709999999999923</v>
      </c>
      <c r="W374" s="70">
        <v>168.30000000000007</v>
      </c>
    </row>
    <row r="375" spans="1:23" x14ac:dyDescent="0.25">
      <c r="A375" s="68">
        <v>43663</v>
      </c>
      <c r="B375" s="70">
        <v>220.19</v>
      </c>
      <c r="C375" s="70">
        <v>223.56</v>
      </c>
      <c r="D375" s="70">
        <v>224.03</v>
      </c>
      <c r="E375" s="70">
        <v>218.63</v>
      </c>
      <c r="F375" s="70">
        <v>49.43</v>
      </c>
      <c r="G375" s="70">
        <v>-7.4899999999999994E-2</v>
      </c>
      <c r="H375" s="70">
        <v>241.50602564102564</v>
      </c>
      <c r="I375" s="70">
        <v>237.46065527065531</v>
      </c>
      <c r="J375" s="70">
        <v>4.0453703703703354</v>
      </c>
      <c r="K375" s="70">
        <v>5.7819199113643283</v>
      </c>
      <c r="L375" s="70">
        <v>-1.7365495409939928</v>
      </c>
      <c r="M375" s="70">
        <v>-0.68808848258421107</v>
      </c>
      <c r="N375" s="70">
        <v>0</v>
      </c>
      <c r="O375" s="70">
        <v>3.1851851851851851</v>
      </c>
      <c r="P375" s="70">
        <v>0.1696639678595413</v>
      </c>
      <c r="Q375" s="70">
        <v>0.88210305673823597</v>
      </c>
      <c r="R375" s="70">
        <v>-0.67737347931320602</v>
      </c>
      <c r="S375" s="70">
        <v>0.11529669779230227</v>
      </c>
      <c r="T375" s="70">
        <v>25.79158698823251</v>
      </c>
      <c r="U375" s="70"/>
      <c r="V375" s="70">
        <v>-69.709999999999923</v>
      </c>
      <c r="W375" s="70">
        <v>168.30000000000007</v>
      </c>
    </row>
    <row r="376" spans="1:23" x14ac:dyDescent="0.25">
      <c r="A376" s="68">
        <v>43662</v>
      </c>
      <c r="B376" s="70">
        <v>238.01</v>
      </c>
      <c r="C376" s="70">
        <v>240.01</v>
      </c>
      <c r="D376" s="70">
        <v>240.4</v>
      </c>
      <c r="E376" s="70">
        <v>235.83</v>
      </c>
      <c r="F376" s="70">
        <v>40.880000000000003</v>
      </c>
      <c r="G376" s="70">
        <v>-9.4999999999999998E-3</v>
      </c>
      <c r="H376" s="70">
        <v>246.03224358974359</v>
      </c>
      <c r="I376" s="70">
        <v>239.2048005698006</v>
      </c>
      <c r="J376" s="70">
        <v>6.8274430199429901</v>
      </c>
      <c r="K376" s="70">
        <v>6.5587098765431824</v>
      </c>
      <c r="L376" s="70">
        <v>0.26873314339980769</v>
      </c>
      <c r="M376" s="70">
        <v>-0.50514235621928127</v>
      </c>
      <c r="N376" s="70">
        <v>0</v>
      </c>
      <c r="O376" s="70">
        <v>0.93435448577680269</v>
      </c>
      <c r="P376" s="70">
        <v>0.18107563311736022</v>
      </c>
      <c r="Q376" s="70">
        <v>0.3505436039533999</v>
      </c>
      <c r="R376" s="70">
        <v>-0.31877697234925867</v>
      </c>
      <c r="S376" s="70">
        <v>0.22993240701546394</v>
      </c>
      <c r="T376" s="70">
        <v>25.389818296216248</v>
      </c>
      <c r="U376" s="70">
        <v>1</v>
      </c>
      <c r="V376" s="70">
        <v>-69.709999999999923</v>
      </c>
      <c r="W376" s="70">
        <v>168.30000000000007</v>
      </c>
    </row>
    <row r="377" spans="1:23" x14ac:dyDescent="0.25">
      <c r="A377" s="68">
        <v>43661</v>
      </c>
      <c r="B377" s="70">
        <v>240.3</v>
      </c>
      <c r="C377" s="70">
        <v>246.98</v>
      </c>
      <c r="D377" s="70">
        <v>248.08</v>
      </c>
      <c r="E377" s="70">
        <v>240.1</v>
      </c>
      <c r="F377" s="70">
        <v>35.979999999999997</v>
      </c>
      <c r="G377" s="70">
        <v>-2.12E-2</v>
      </c>
      <c r="H377" s="70">
        <v>246.0192948717949</v>
      </c>
      <c r="I377" s="70">
        <v>239.10698005698009</v>
      </c>
      <c r="J377" s="70">
        <v>6.9123148148148061</v>
      </c>
      <c r="K377" s="70">
        <v>6.5419406457739591</v>
      </c>
      <c r="L377" s="70">
        <v>0.37037416904084708</v>
      </c>
      <c r="M377" s="70">
        <v>-0.73179975579975676</v>
      </c>
      <c r="N377" s="70">
        <v>0</v>
      </c>
      <c r="O377" s="70">
        <v>0.48872180451127778</v>
      </c>
      <c r="P377" s="70">
        <v>0.21871181667629072</v>
      </c>
      <c r="Q377" s="70">
        <v>0.22527600207304116</v>
      </c>
      <c r="R377" s="70">
        <v>-1.478460696340966E-2</v>
      </c>
      <c r="S377" s="70">
        <v>0.31923920142054768</v>
      </c>
      <c r="T377" s="70">
        <v>38.012101824327388</v>
      </c>
      <c r="U377" s="70"/>
      <c r="V377" s="70">
        <v>-69.709999999999923</v>
      </c>
      <c r="W377" s="70">
        <v>170.59000000000009</v>
      </c>
    </row>
    <row r="378" spans="1:23" x14ac:dyDescent="0.25">
      <c r="A378" s="68">
        <v>43658</v>
      </c>
      <c r="B378" s="70">
        <v>245.5</v>
      </c>
      <c r="C378" s="70">
        <v>247</v>
      </c>
      <c r="D378" s="70">
        <v>247.8</v>
      </c>
      <c r="E378" s="70">
        <v>244</v>
      </c>
      <c r="F378" s="70">
        <v>21.63</v>
      </c>
      <c r="G378" s="70">
        <v>-6.8999999999999999E-3</v>
      </c>
      <c r="H378" s="70">
        <v>246.27634615384613</v>
      </c>
      <c r="I378" s="70">
        <v>239.17699430199434</v>
      </c>
      <c r="J378" s="70">
        <v>7.0993518518517931</v>
      </c>
      <c r="K378" s="70">
        <v>6.5101014561569785</v>
      </c>
      <c r="L378" s="70">
        <v>0.58925039569481452</v>
      </c>
      <c r="M378" s="70">
        <v>-0.9594146220983919</v>
      </c>
      <c r="N378" s="70">
        <v>0</v>
      </c>
      <c r="O378" s="70">
        <v>0.26315789473684131</v>
      </c>
      <c r="P378" s="70">
        <v>0.27681621228068642</v>
      </c>
      <c r="Q378" s="70">
        <v>0.16082917070891656</v>
      </c>
      <c r="R378" s="70">
        <v>0.26502516896088296</v>
      </c>
      <c r="S378" s="70">
        <v>0.38569463307986834</v>
      </c>
      <c r="T378" s="70">
        <v>50.380858544685239</v>
      </c>
      <c r="U378" s="70"/>
      <c r="V378" s="70">
        <v>-69.709999999999923</v>
      </c>
      <c r="W378" s="70">
        <v>175.79000000000008</v>
      </c>
    </row>
    <row r="379" spans="1:23" x14ac:dyDescent="0.25">
      <c r="A379" s="68">
        <v>43657</v>
      </c>
      <c r="B379" s="70">
        <v>247.2</v>
      </c>
      <c r="C379" s="70">
        <v>250</v>
      </c>
      <c r="D379" s="70">
        <v>250.69</v>
      </c>
      <c r="E379" s="70">
        <v>245</v>
      </c>
      <c r="F379" s="70">
        <v>43.06</v>
      </c>
      <c r="G379" s="70">
        <v>-1.2E-2</v>
      </c>
      <c r="H379" s="70">
        <v>245.66352564102561</v>
      </c>
      <c r="I379" s="70">
        <v>238.75128205128206</v>
      </c>
      <c r="J379" s="70">
        <v>6.9122435897435537</v>
      </c>
      <c r="K379" s="70">
        <v>6.4171869262424561</v>
      </c>
      <c r="L379" s="70">
        <v>0.49505666350109756</v>
      </c>
      <c r="M379" s="70">
        <v>-1.25574967735652</v>
      </c>
      <c r="N379" s="70">
        <v>0</v>
      </c>
      <c r="O379" s="70">
        <v>0.66783831282952777</v>
      </c>
      <c r="P379" s="70">
        <v>0.27681621228068642</v>
      </c>
      <c r="Q379" s="70">
        <v>0.20128958902522287</v>
      </c>
      <c r="R379" s="70">
        <v>0.15797052252695612</v>
      </c>
      <c r="S379" s="70">
        <v>0.35502132051840929</v>
      </c>
      <c r="T379" s="70">
        <v>62.680822561457177</v>
      </c>
      <c r="U379" s="70"/>
      <c r="V379" s="70">
        <v>-69.709999999999923</v>
      </c>
      <c r="W379" s="70">
        <v>177.49000000000007</v>
      </c>
    </row>
    <row r="380" spans="1:23" x14ac:dyDescent="0.25">
      <c r="A380" s="68">
        <v>43656</v>
      </c>
      <c r="B380" s="70">
        <v>250.21</v>
      </c>
      <c r="C380" s="70">
        <v>250.75</v>
      </c>
      <c r="D380" s="70">
        <v>251.48</v>
      </c>
      <c r="E380" s="70">
        <v>248.8</v>
      </c>
      <c r="F380" s="70">
        <v>33.020000000000003</v>
      </c>
      <c r="G380" s="70">
        <v>2.0000000000000001E-4</v>
      </c>
      <c r="H380" s="70">
        <v>245.06115384615384</v>
      </c>
      <c r="I380" s="70">
        <v>238.36740740740743</v>
      </c>
      <c r="J380" s="70">
        <v>6.6937464387464161</v>
      </c>
      <c r="K380" s="70">
        <v>6.2914495093383751</v>
      </c>
      <c r="L380" s="70">
        <v>0.40229692940804096</v>
      </c>
      <c r="M380" s="70">
        <v>-1.5385135649409194</v>
      </c>
      <c r="N380" s="70">
        <v>0</v>
      </c>
      <c r="O380" s="70">
        <v>0</v>
      </c>
      <c r="P380" s="70">
        <v>0.28549613994795553</v>
      </c>
      <c r="Q380" s="70">
        <v>6.1850820412464341E-2</v>
      </c>
      <c r="R380" s="70">
        <v>0.64386721364548183</v>
      </c>
      <c r="S380" s="70">
        <v>0.42027226496239861</v>
      </c>
      <c r="T380" s="70">
        <v>75.016008965020404</v>
      </c>
      <c r="U380" s="70"/>
      <c r="V380" s="70">
        <v>-69.709999999999923</v>
      </c>
      <c r="W380" s="70">
        <v>180.50000000000009</v>
      </c>
    </row>
    <row r="381" spans="1:23" x14ac:dyDescent="0.25">
      <c r="A381" s="68">
        <v>43655</v>
      </c>
      <c r="B381" s="70">
        <v>250.17</v>
      </c>
      <c r="C381" s="70">
        <v>248.69</v>
      </c>
      <c r="D381" s="70">
        <v>252.93</v>
      </c>
      <c r="E381" s="70">
        <v>247.71</v>
      </c>
      <c r="F381" s="70">
        <v>32.46</v>
      </c>
      <c r="G381" s="70">
        <v>6.7000000000000002E-3</v>
      </c>
      <c r="H381" s="70">
        <v>243.79775641025643</v>
      </c>
      <c r="I381" s="70">
        <v>237.84094017094017</v>
      </c>
      <c r="J381" s="70">
        <v>5.9568162393162538</v>
      </c>
      <c r="K381" s="70">
        <v>6.1708244697688972</v>
      </c>
      <c r="L381" s="70">
        <v>-0.21400823045264339</v>
      </c>
      <c r="M381" s="70">
        <v>-1.9045784275869742</v>
      </c>
      <c r="N381" s="70">
        <v>0.37739463601532552</v>
      </c>
      <c r="O381" s="70">
        <v>0</v>
      </c>
      <c r="P381" s="70">
        <v>0.33940965937871631</v>
      </c>
      <c r="Q381" s="70">
        <v>0.10856160281806933</v>
      </c>
      <c r="R381" s="70">
        <v>0.51531889663770358</v>
      </c>
      <c r="S381" s="70">
        <v>0.34102484281521001</v>
      </c>
      <c r="T381" s="70">
        <v>74.796871057279844</v>
      </c>
      <c r="U381" s="70"/>
      <c r="V381" s="70">
        <v>-69.709999999999923</v>
      </c>
      <c r="W381" s="70">
        <v>180.46000000000006</v>
      </c>
    </row>
    <row r="382" spans="1:23" x14ac:dyDescent="0.25">
      <c r="A382" s="68">
        <v>43654</v>
      </c>
      <c r="B382" s="70">
        <v>248.51</v>
      </c>
      <c r="C382" s="70">
        <v>250.09</v>
      </c>
      <c r="D382" s="70">
        <v>250.96</v>
      </c>
      <c r="E382" s="70">
        <v>245.2</v>
      </c>
      <c r="F382" s="70">
        <v>39.35</v>
      </c>
      <c r="G382" s="70">
        <v>-9.4999999999999998E-3</v>
      </c>
      <c r="H382" s="70">
        <v>242.05596153846156</v>
      </c>
      <c r="I382" s="70">
        <v>236.4690455840456</v>
      </c>
      <c r="J382" s="70">
        <v>5.5869159544159572</v>
      </c>
      <c r="K382" s="70">
        <v>6.2680276986387851</v>
      </c>
      <c r="L382" s="70">
        <v>-0.68111174422282783</v>
      </c>
      <c r="M382" s="70">
        <v>-2.1749365670733209</v>
      </c>
      <c r="N382" s="70">
        <v>0</v>
      </c>
      <c r="O382" s="70">
        <v>0.85416666666666652</v>
      </c>
      <c r="P382" s="70">
        <v>0.26061297713375825</v>
      </c>
      <c r="Q382" s="70">
        <v>0.24267332442979117</v>
      </c>
      <c r="R382" s="70">
        <v>3.564502480642593E-2</v>
      </c>
      <c r="S382" s="70">
        <v>0.25661194745120824</v>
      </c>
      <c r="T382" s="70">
        <v>62.727795797202546</v>
      </c>
      <c r="U382" s="70"/>
      <c r="V382" s="70">
        <v>-69.709999999999923</v>
      </c>
      <c r="W382" s="70">
        <v>178.80000000000007</v>
      </c>
    </row>
    <row r="383" spans="1:23" x14ac:dyDescent="0.25">
      <c r="A383" s="68">
        <v>43651</v>
      </c>
      <c r="B383" s="70">
        <v>250.89</v>
      </c>
      <c r="C383" s="70">
        <v>255.32</v>
      </c>
      <c r="D383" s="70">
        <v>255.96</v>
      </c>
      <c r="E383" s="70">
        <v>250.12</v>
      </c>
      <c r="F383" s="70">
        <v>36.24</v>
      </c>
      <c r="G383" s="70">
        <v>-1.7500000000000002E-2</v>
      </c>
      <c r="H383" s="70">
        <v>241.29461538461538</v>
      </c>
      <c r="I383" s="70">
        <v>235.38430199430206</v>
      </c>
      <c r="J383" s="70">
        <v>5.9103133903133198</v>
      </c>
      <c r="K383" s="70">
        <v>6.6155599873377255</v>
      </c>
      <c r="L383" s="70">
        <v>-0.70524659702440573</v>
      </c>
      <c r="M383" s="70">
        <v>-2.3034450253766643</v>
      </c>
      <c r="N383" s="70">
        <v>0</v>
      </c>
      <c r="O383" s="70">
        <v>8.3904109589042611E-2</v>
      </c>
      <c r="P383" s="70">
        <v>0.32076335307360765</v>
      </c>
      <c r="Q383" s="70">
        <v>7.6317134957163593E-2</v>
      </c>
      <c r="R383" s="70">
        <v>0.61560873798840765</v>
      </c>
      <c r="S383" s="70">
        <v>0.37909270749807283</v>
      </c>
      <c r="T383" s="70">
        <v>75.186808449489874</v>
      </c>
      <c r="U383" s="70"/>
      <c r="V383" s="70">
        <v>-69.709999999999923</v>
      </c>
      <c r="W383" s="70">
        <v>181.18000000000006</v>
      </c>
    </row>
    <row r="384" spans="1:23" x14ac:dyDescent="0.25">
      <c r="A384" s="68">
        <v>43650</v>
      </c>
      <c r="B384" s="70">
        <v>255.35</v>
      </c>
      <c r="C384" s="70">
        <v>251.6</v>
      </c>
      <c r="D384" s="70">
        <v>256.39999999999998</v>
      </c>
      <c r="E384" s="70">
        <v>250.61</v>
      </c>
      <c r="F384" s="70">
        <v>43.49</v>
      </c>
      <c r="G384" s="70">
        <v>1.49E-2</v>
      </c>
      <c r="H384" s="70">
        <v>240.68121794871797</v>
      </c>
      <c r="I384" s="70">
        <v>234.15662393162398</v>
      </c>
      <c r="J384" s="70">
        <v>6.5245940170939889</v>
      </c>
      <c r="K384" s="70">
        <v>7.0956639759417275</v>
      </c>
      <c r="L384" s="70">
        <v>-0.57106995884773859</v>
      </c>
      <c r="M384" s="70">
        <v>-2.3803095359847601</v>
      </c>
      <c r="N384" s="70">
        <v>0.82901554404145306</v>
      </c>
      <c r="O384" s="70">
        <v>0</v>
      </c>
      <c r="P384" s="70">
        <v>0.43919414507952947</v>
      </c>
      <c r="Q384" s="70">
        <v>8.0721771416593993E-2</v>
      </c>
      <c r="R384" s="70">
        <v>0.68948143784247529</v>
      </c>
      <c r="S384" s="70">
        <v>0.36497036503054636</v>
      </c>
      <c r="T384" s="70">
        <v>75.919304355035962</v>
      </c>
      <c r="U384" s="70"/>
      <c r="V384" s="70">
        <v>-69.709999999999923</v>
      </c>
      <c r="W384" s="70">
        <v>185.64000000000007</v>
      </c>
    </row>
    <row r="385" spans="1:23" x14ac:dyDescent="0.25">
      <c r="A385" s="68">
        <v>43649</v>
      </c>
      <c r="B385" s="70">
        <v>251.6</v>
      </c>
      <c r="C385" s="70">
        <v>246</v>
      </c>
      <c r="D385" s="70">
        <v>251.6</v>
      </c>
      <c r="E385" s="70">
        <v>245.55</v>
      </c>
      <c r="F385" s="70">
        <v>44.8</v>
      </c>
      <c r="G385" s="70">
        <v>2.01E-2</v>
      </c>
      <c r="H385" s="70">
        <v>238.46698717948721</v>
      </c>
      <c r="I385" s="70">
        <v>232.01915954415958</v>
      </c>
      <c r="J385" s="70">
        <v>6.4478276353276271</v>
      </c>
      <c r="K385" s="70">
        <v>7.438726020892668</v>
      </c>
      <c r="L385" s="70">
        <v>-0.99089838556504084</v>
      </c>
      <c r="M385" s="70">
        <v>-2.529311584901337</v>
      </c>
      <c r="N385" s="70">
        <v>0.38677685950413387</v>
      </c>
      <c r="O385" s="70">
        <v>0</v>
      </c>
      <c r="P385" s="70">
        <v>0.3213568246044321</v>
      </c>
      <c r="Q385" s="70">
        <v>0.10306533222169319</v>
      </c>
      <c r="R385" s="70">
        <v>0.51432633492828528</v>
      </c>
      <c r="S385" s="70">
        <v>0.31866555357896054</v>
      </c>
      <c r="T385" s="70">
        <v>75.62921200996459</v>
      </c>
      <c r="U385" s="70"/>
      <c r="V385" s="70">
        <v>-69.709999999999923</v>
      </c>
      <c r="W385" s="70">
        <v>181.89000000000007</v>
      </c>
    </row>
    <row r="386" spans="1:23" x14ac:dyDescent="0.25">
      <c r="A386" s="68">
        <v>43648</v>
      </c>
      <c r="B386" s="70">
        <v>246.65</v>
      </c>
      <c r="C386" s="70">
        <v>246.25</v>
      </c>
      <c r="D386" s="70">
        <v>249.26</v>
      </c>
      <c r="E386" s="70">
        <v>243.7</v>
      </c>
      <c r="F386" s="70">
        <v>31.53</v>
      </c>
      <c r="G386" s="70">
        <v>4.7000000000000002E-3</v>
      </c>
      <c r="H386" s="70">
        <v>236.16897435897437</v>
      </c>
      <c r="I386" s="70">
        <v>230.03568376068381</v>
      </c>
      <c r="J386" s="70">
        <v>6.1332905982905572</v>
      </c>
      <c r="K386" s="70">
        <v>7.8780686926242245</v>
      </c>
      <c r="L386" s="70">
        <v>-1.7447780943336673</v>
      </c>
      <c r="M386" s="70">
        <v>-2.6824214993616819</v>
      </c>
      <c r="N386" s="70">
        <v>0.14928057553956542</v>
      </c>
      <c r="O386" s="70">
        <v>0</v>
      </c>
      <c r="P386" s="70">
        <v>0.26192701308174859</v>
      </c>
      <c r="Q386" s="70">
        <v>0.13066930719408917</v>
      </c>
      <c r="R386" s="70">
        <v>0.33433249143914001</v>
      </c>
      <c r="S386" s="70">
        <v>0.28650963693388454</v>
      </c>
      <c r="T386" s="70">
        <v>63.179849700675078</v>
      </c>
      <c r="U386" s="70"/>
      <c r="V386" s="70">
        <v>-69.709999999999923</v>
      </c>
      <c r="W386" s="70">
        <v>176.94000000000008</v>
      </c>
    </row>
    <row r="387" spans="1:23" x14ac:dyDescent="0.25">
      <c r="A387" s="68">
        <v>43647</v>
      </c>
      <c r="B387" s="70">
        <v>245.5</v>
      </c>
      <c r="C387" s="70">
        <v>234.1</v>
      </c>
      <c r="D387" s="70">
        <v>248.43</v>
      </c>
      <c r="E387" s="70">
        <v>234.1</v>
      </c>
      <c r="F387" s="70">
        <v>79.849999999999994</v>
      </c>
      <c r="G387" s="70">
        <v>5.4399999999999997E-2</v>
      </c>
      <c r="H387" s="70">
        <v>234.92448717948716</v>
      </c>
      <c r="I387" s="70">
        <v>228.4494301994302</v>
      </c>
      <c r="J387" s="70">
        <v>6.4750569800569622</v>
      </c>
      <c r="K387" s="70">
        <v>8.6305903767014698</v>
      </c>
      <c r="L387" s="70">
        <v>-2.1555333966445076</v>
      </c>
      <c r="M387" s="70">
        <v>-2.7222336669345286</v>
      </c>
      <c r="N387" s="70">
        <v>0.83076923076923159</v>
      </c>
      <c r="O387" s="70">
        <v>0</v>
      </c>
      <c r="P387" s="70">
        <v>0.34943985994711418</v>
      </c>
      <c r="Q387" s="70">
        <v>0.13066930719408917</v>
      </c>
      <c r="R387" s="70">
        <v>0.45566835154531243</v>
      </c>
      <c r="S387" s="70">
        <v>0.32979320087171043</v>
      </c>
      <c r="T387" s="70">
        <v>62.901647496671316</v>
      </c>
      <c r="U387" s="70"/>
      <c r="V387" s="70">
        <v>-69.709999999999923</v>
      </c>
      <c r="W387" s="70">
        <v>175.79000000000008</v>
      </c>
    </row>
    <row r="388" spans="1:23" x14ac:dyDescent="0.25">
      <c r="A388" s="68">
        <v>43644</v>
      </c>
      <c r="B388" s="70">
        <v>232.83</v>
      </c>
      <c r="C388" s="70">
        <v>233.2</v>
      </c>
      <c r="D388" s="70">
        <v>235.47</v>
      </c>
      <c r="E388" s="70">
        <v>232.35</v>
      </c>
      <c r="F388" s="70">
        <v>42.49</v>
      </c>
      <c r="G388" s="70">
        <v>1E-3</v>
      </c>
      <c r="H388" s="70">
        <v>232.19538461538457</v>
      </c>
      <c r="I388" s="70">
        <v>226.20606837606837</v>
      </c>
      <c r="J388" s="70">
        <v>5.9893162393161958</v>
      </c>
      <c r="K388" s="70">
        <v>9.2959620132953216</v>
      </c>
      <c r="L388" s="70">
        <v>-3.3066457739791257</v>
      </c>
      <c r="M388" s="70">
        <v>-2.8313384260563845</v>
      </c>
      <c r="N388" s="70">
        <v>0.17307692307692027</v>
      </c>
      <c r="O388" s="70">
        <v>0</v>
      </c>
      <c r="P388" s="70">
        <v>0.23448635191668241</v>
      </c>
      <c r="Q388" s="70">
        <v>0.13066930719408917</v>
      </c>
      <c r="R388" s="70">
        <v>0.28430901214952792</v>
      </c>
      <c r="S388" s="70">
        <v>0.31999063520232857</v>
      </c>
      <c r="T388" s="70">
        <v>62.641149768183212</v>
      </c>
      <c r="U388" s="70">
        <v>-1</v>
      </c>
      <c r="V388" s="70">
        <v>-69.709999999999923</v>
      </c>
      <c r="W388" s="70">
        <v>163.12000000000009</v>
      </c>
    </row>
    <row r="389" spans="1:23" x14ac:dyDescent="0.25">
      <c r="A389" s="68">
        <v>43643</v>
      </c>
      <c r="B389" s="70">
        <v>232.6</v>
      </c>
      <c r="C389" s="70">
        <v>233</v>
      </c>
      <c r="D389" s="70">
        <v>234.93</v>
      </c>
      <c r="E389" s="70">
        <v>232.6</v>
      </c>
      <c r="F389" s="70">
        <v>22.24</v>
      </c>
      <c r="G389" s="70">
        <v>-2.0999999999999999E-3</v>
      </c>
      <c r="H389" s="70">
        <v>232.303141025641</v>
      </c>
      <c r="I389" s="70">
        <v>225.30833333333334</v>
      </c>
      <c r="J389" s="70">
        <v>6.9948076923076599</v>
      </c>
      <c r="K389" s="70">
        <v>10.383933998100648</v>
      </c>
      <c r="L389" s="70">
        <v>-3.3891263057929883</v>
      </c>
      <c r="M389" s="70">
        <v>-2.7195441804159839</v>
      </c>
      <c r="N389" s="70">
        <v>0.57081545064377914</v>
      </c>
      <c r="O389" s="70">
        <v>0</v>
      </c>
      <c r="P389" s="70">
        <v>0.28885474681000389</v>
      </c>
      <c r="Q389" s="70">
        <v>0.13066930719408917</v>
      </c>
      <c r="R389" s="70">
        <v>0.37705928445850539</v>
      </c>
      <c r="S389" s="70">
        <v>0.35410764125753758</v>
      </c>
      <c r="T389" s="70">
        <v>62.627062492929753</v>
      </c>
      <c r="U389" s="70"/>
      <c r="V389" s="70">
        <v>-67.37999999999991</v>
      </c>
      <c r="W389" s="70">
        <v>163.12000000000009</v>
      </c>
    </row>
    <row r="390" spans="1:23" x14ac:dyDescent="0.25">
      <c r="A390" s="68">
        <v>43642</v>
      </c>
      <c r="B390" s="70">
        <v>233.1</v>
      </c>
      <c r="C390" s="70">
        <v>232.51</v>
      </c>
      <c r="D390" s="70">
        <v>233.6</v>
      </c>
      <c r="E390" s="70">
        <v>232</v>
      </c>
      <c r="F390" s="70">
        <v>19.239999999999998</v>
      </c>
      <c r="G390" s="70">
        <v>4.4000000000000003E-3</v>
      </c>
      <c r="H390" s="70">
        <v>232.34480769230768</v>
      </c>
      <c r="I390" s="70">
        <v>224.46217948717953</v>
      </c>
      <c r="J390" s="70">
        <v>7.8826282051281567</v>
      </c>
      <c r="K390" s="70">
        <v>11.438644666033539</v>
      </c>
      <c r="L390" s="70">
        <v>-3.5560164609053828</v>
      </c>
      <c r="M390" s="70">
        <v>-2.5834408162271476</v>
      </c>
      <c r="N390" s="70">
        <v>0.88125000000000098</v>
      </c>
      <c r="O390" s="70">
        <v>0</v>
      </c>
      <c r="P390" s="70">
        <v>0.29556635601624792</v>
      </c>
      <c r="Q390" s="70">
        <v>0.13066930719408917</v>
      </c>
      <c r="R390" s="70">
        <v>0.38686825870031899</v>
      </c>
      <c r="S390" s="70">
        <v>0.36722167290726682</v>
      </c>
      <c r="T390" s="70">
        <v>62.721328456284596</v>
      </c>
      <c r="U390" s="70"/>
      <c r="V390" s="70">
        <v>-67.37999999999991</v>
      </c>
      <c r="W390" s="70">
        <v>163.12000000000009</v>
      </c>
    </row>
    <row r="391" spans="1:23" x14ac:dyDescent="0.25">
      <c r="A391" s="68">
        <v>43641</v>
      </c>
      <c r="B391" s="70">
        <v>232.09</v>
      </c>
      <c r="C391" s="70">
        <v>232.01</v>
      </c>
      <c r="D391" s="70">
        <v>232.19</v>
      </c>
      <c r="E391" s="70">
        <v>229.64</v>
      </c>
      <c r="F391" s="70">
        <v>21.54</v>
      </c>
      <c r="G391" s="70">
        <v>-1.1999999999999999E-3</v>
      </c>
      <c r="H391" s="70">
        <v>232.00608974358974</v>
      </c>
      <c r="I391" s="70">
        <v>223.23707977207977</v>
      </c>
      <c r="J391" s="70">
        <v>8.7690099715099734</v>
      </c>
      <c r="K391" s="70">
        <v>12.470088160810384</v>
      </c>
      <c r="L391" s="70">
        <v>-3.7010781893004108</v>
      </c>
      <c r="M391" s="70">
        <v>-2.3783584664781232</v>
      </c>
      <c r="N391" s="70">
        <v>0</v>
      </c>
      <c r="O391" s="70">
        <v>0</v>
      </c>
      <c r="P391" s="70">
        <v>0.13924307278872933</v>
      </c>
      <c r="Q391" s="70">
        <v>0.13066930719408917</v>
      </c>
      <c r="R391" s="70">
        <v>3.1764995718928955E-2</v>
      </c>
      <c r="S391" s="70">
        <v>0.33676614928221499</v>
      </c>
      <c r="T391" s="70">
        <v>50.18871592179223</v>
      </c>
      <c r="U391" s="70"/>
      <c r="V391" s="70">
        <v>-67.37999999999991</v>
      </c>
      <c r="W391" s="70">
        <v>163.12000000000009</v>
      </c>
    </row>
    <row r="392" spans="1:23" x14ac:dyDescent="0.25">
      <c r="A392" s="68">
        <v>43640</v>
      </c>
      <c r="B392" s="70">
        <v>232.38</v>
      </c>
      <c r="C392" s="70">
        <v>229.54</v>
      </c>
      <c r="D392" s="70">
        <v>233.04</v>
      </c>
      <c r="E392" s="70">
        <v>229.47</v>
      </c>
      <c r="F392" s="70">
        <v>22.08</v>
      </c>
      <c r="G392" s="70">
        <v>1.44E-2</v>
      </c>
      <c r="H392" s="70">
        <v>232.00557692307692</v>
      </c>
      <c r="I392" s="70">
        <v>222.07622507122508</v>
      </c>
      <c r="J392" s="70">
        <v>9.929351851851834</v>
      </c>
      <c r="K392" s="70">
        <v>13.521901392845834</v>
      </c>
      <c r="L392" s="70">
        <v>-3.5925495409939998</v>
      </c>
      <c r="M392" s="70">
        <v>-2.0708296198894485</v>
      </c>
      <c r="N392" s="70">
        <v>0.13164556962024893</v>
      </c>
      <c r="O392" s="70">
        <v>0</v>
      </c>
      <c r="P392" s="70">
        <v>0.15804958273447917</v>
      </c>
      <c r="Q392" s="70">
        <v>0.13066930719408917</v>
      </c>
      <c r="R392" s="70">
        <v>9.4833682503988992E-2</v>
      </c>
      <c r="S392" s="70">
        <v>0.382932146367509</v>
      </c>
      <c r="T392" s="70">
        <v>50.125111899651628</v>
      </c>
      <c r="U392" s="70"/>
      <c r="V392" s="70">
        <v>-67.37999999999991</v>
      </c>
      <c r="W392" s="70">
        <v>163.12000000000009</v>
      </c>
    </row>
    <row r="393" spans="1:23" x14ac:dyDescent="0.25">
      <c r="A393" s="68">
        <v>43637</v>
      </c>
      <c r="B393" s="70">
        <v>229.09</v>
      </c>
      <c r="C393" s="70">
        <v>232.52</v>
      </c>
      <c r="D393" s="70">
        <v>232.52</v>
      </c>
      <c r="E393" s="70">
        <v>228.85</v>
      </c>
      <c r="F393" s="70">
        <v>47.1</v>
      </c>
      <c r="G393" s="70">
        <v>-1.4800000000000001E-2</v>
      </c>
      <c r="H393" s="70">
        <v>231.33230769230772</v>
      </c>
      <c r="I393" s="70">
        <v>220.77554131054134</v>
      </c>
      <c r="J393" s="70">
        <v>10.55676638176638</v>
      </c>
      <c r="K393" s="70">
        <v>14.371125356125356</v>
      </c>
      <c r="L393" s="70">
        <v>-3.8143589743589761</v>
      </c>
      <c r="M393" s="70">
        <v>-1.7627460213101207</v>
      </c>
      <c r="N393" s="70">
        <v>0</v>
      </c>
      <c r="O393" s="70">
        <v>0.70844686648500899</v>
      </c>
      <c r="P393" s="70">
        <v>0.13056314512146017</v>
      </c>
      <c r="Q393" s="70">
        <v>0.23187600240623329</v>
      </c>
      <c r="R393" s="70">
        <v>-0.27953066873669313</v>
      </c>
      <c r="S393" s="70">
        <v>0.36244933449626449</v>
      </c>
      <c r="T393" s="70">
        <v>50.191725638457143</v>
      </c>
      <c r="U393" s="70"/>
      <c r="V393" s="70">
        <v>-67.37999999999991</v>
      </c>
      <c r="W393" s="70">
        <v>163.12000000000009</v>
      </c>
    </row>
    <row r="394" spans="1:23" x14ac:dyDescent="0.25">
      <c r="A394" s="68">
        <v>43636</v>
      </c>
      <c r="B394" s="70">
        <v>232.52</v>
      </c>
      <c r="C394" s="70">
        <v>234</v>
      </c>
      <c r="D394" s="70">
        <v>234.45</v>
      </c>
      <c r="E394" s="70">
        <v>231.45</v>
      </c>
      <c r="F394" s="70">
        <v>44.89</v>
      </c>
      <c r="G394" s="70">
        <v>2.9999999999999997E-4</v>
      </c>
      <c r="H394" s="70">
        <v>231.9354487179487</v>
      </c>
      <c r="I394" s="70">
        <v>219.83730769230766</v>
      </c>
      <c r="J394" s="70">
        <v>12.098141025641041</v>
      </c>
      <c r="K394" s="70">
        <v>15.400523425134544</v>
      </c>
      <c r="L394" s="70">
        <v>-3.3023823994935029</v>
      </c>
      <c r="M394" s="70">
        <v>-1.2524836904153105</v>
      </c>
      <c r="N394" s="70">
        <v>0</v>
      </c>
      <c r="O394" s="70">
        <v>0.18333333333333712</v>
      </c>
      <c r="P394" s="70">
        <v>0.19343814692175684</v>
      </c>
      <c r="Q394" s="70">
        <v>0.11014900097896091</v>
      </c>
      <c r="R394" s="70">
        <v>0.2743500392514443</v>
      </c>
      <c r="S394" s="70">
        <v>0.50964404195751534</v>
      </c>
      <c r="T394" s="70">
        <v>62.590129205357485</v>
      </c>
      <c r="U394" s="70"/>
      <c r="V394" s="70">
        <v>-67.37999999999991</v>
      </c>
      <c r="W394" s="70">
        <v>163.12000000000009</v>
      </c>
    </row>
    <row r="395" spans="1:23" x14ac:dyDescent="0.25">
      <c r="A395" s="68">
        <v>43635</v>
      </c>
      <c r="B395" s="70">
        <v>232.46</v>
      </c>
      <c r="C395" s="70">
        <v>232.5</v>
      </c>
      <c r="D395" s="70">
        <v>235.42</v>
      </c>
      <c r="E395" s="70">
        <v>232</v>
      </c>
      <c r="F395" s="70">
        <v>31.84</v>
      </c>
      <c r="G395" s="70">
        <v>1.4E-3</v>
      </c>
      <c r="H395" s="70">
        <v>232.13705128205123</v>
      </c>
      <c r="I395" s="70">
        <v>218.30686609686609</v>
      </c>
      <c r="J395" s="70">
        <v>13.830185185185144</v>
      </c>
      <c r="K395" s="70">
        <v>16.40804969927192</v>
      </c>
      <c r="L395" s="70">
        <v>-2.5778645140867766</v>
      </c>
      <c r="M395" s="70">
        <v>-0.7577706744031607</v>
      </c>
      <c r="N395" s="70">
        <v>0.91228070175438236</v>
      </c>
      <c r="O395" s="70">
        <v>0</v>
      </c>
      <c r="P395" s="70">
        <v>0.32376396145809716</v>
      </c>
      <c r="Q395" s="70">
        <v>7.1870612700571837E-2</v>
      </c>
      <c r="R395" s="70">
        <v>0.63668184028957908</v>
      </c>
      <c r="S395" s="70">
        <v>0.58522564520853404</v>
      </c>
      <c r="T395" s="70">
        <v>50.142371932544229</v>
      </c>
      <c r="U395" s="70"/>
      <c r="V395" s="70">
        <v>-67.37999999999991</v>
      </c>
      <c r="W395" s="70">
        <v>163.12000000000009</v>
      </c>
    </row>
    <row r="396" spans="1:23" x14ac:dyDescent="0.25">
      <c r="A396" s="68">
        <v>43634</v>
      </c>
      <c r="B396" s="70">
        <v>232.13</v>
      </c>
      <c r="C396" s="70">
        <v>229.67</v>
      </c>
      <c r="D396" s="70">
        <v>232.3</v>
      </c>
      <c r="E396" s="70">
        <v>228.3</v>
      </c>
      <c r="F396" s="70">
        <v>32.229999999999997</v>
      </c>
      <c r="G396" s="70">
        <v>1.01E-2</v>
      </c>
      <c r="H396" s="70">
        <v>230.86217948717945</v>
      </c>
      <c r="I396" s="70">
        <v>215.80877492877491</v>
      </c>
      <c r="J396" s="70">
        <v>15.053404558404537</v>
      </c>
      <c r="K396" s="70">
        <v>17.215145615701175</v>
      </c>
      <c r="L396" s="70">
        <v>-2.1617410572966378</v>
      </c>
      <c r="M396" s="70">
        <v>-0.27902696986458214</v>
      </c>
      <c r="N396" s="70">
        <v>0</v>
      </c>
      <c r="O396" s="70">
        <v>0.33249999999999602</v>
      </c>
      <c r="P396" s="70">
        <v>0.19532669875660311</v>
      </c>
      <c r="Q396" s="70">
        <v>0.11937061270057127</v>
      </c>
      <c r="R396" s="70">
        <v>0.24136236088044347</v>
      </c>
      <c r="S396" s="70">
        <v>0.53818043254897141</v>
      </c>
      <c r="T396" s="70">
        <v>50.115252046531673</v>
      </c>
      <c r="U396" s="70"/>
      <c r="V396" s="70">
        <v>-67.37999999999991</v>
      </c>
      <c r="W396" s="70">
        <v>163.12000000000009</v>
      </c>
    </row>
    <row r="397" spans="1:23" x14ac:dyDescent="0.25">
      <c r="A397" s="68">
        <v>43633</v>
      </c>
      <c r="B397" s="70">
        <v>229.81</v>
      </c>
      <c r="C397" s="70">
        <v>231.58</v>
      </c>
      <c r="D397" s="70">
        <v>234.44</v>
      </c>
      <c r="E397" s="70">
        <v>229.63</v>
      </c>
      <c r="F397" s="70">
        <v>32.36</v>
      </c>
      <c r="G397" s="70">
        <v>-7.3000000000000001E-3</v>
      </c>
      <c r="H397" s="70">
        <v>229.16339743589745</v>
      </c>
      <c r="I397" s="70">
        <v>213.19675213675214</v>
      </c>
      <c r="J397" s="70">
        <v>15.966645299145313</v>
      </c>
      <c r="K397" s="70">
        <v>17.887951408673644</v>
      </c>
      <c r="L397" s="70">
        <v>-1.9213061095283308</v>
      </c>
      <c r="M397" s="70">
        <v>0.1961492821834675</v>
      </c>
      <c r="N397" s="70">
        <v>0</v>
      </c>
      <c r="O397" s="70">
        <v>0.33887733887733779</v>
      </c>
      <c r="P397" s="70">
        <v>0.21226113210441033</v>
      </c>
      <c r="Q397" s="70">
        <v>9.835858418854343E-2</v>
      </c>
      <c r="R397" s="70">
        <v>0.36669452047416834</v>
      </c>
      <c r="S397" s="70">
        <v>0.58469229651848298</v>
      </c>
      <c r="T397" s="70">
        <v>37.656630793452237</v>
      </c>
      <c r="U397" s="70"/>
      <c r="V397" s="70">
        <v>-67.37999999999991</v>
      </c>
      <c r="W397" s="70">
        <v>163.12000000000009</v>
      </c>
    </row>
    <row r="398" spans="1:23" x14ac:dyDescent="0.25">
      <c r="A398" s="68">
        <v>43630</v>
      </c>
      <c r="B398" s="70">
        <v>231.51</v>
      </c>
      <c r="C398" s="70">
        <v>234.13</v>
      </c>
      <c r="D398" s="70">
        <v>235.44</v>
      </c>
      <c r="E398" s="70">
        <v>231.26</v>
      </c>
      <c r="F398" s="70">
        <v>25.41</v>
      </c>
      <c r="G398" s="70">
        <v>-1.2500000000000001E-2</v>
      </c>
      <c r="H398" s="70">
        <v>227.82641025641024</v>
      </c>
      <c r="I398" s="70">
        <v>210.96370370370366</v>
      </c>
      <c r="J398" s="70">
        <v>16.862706552706584</v>
      </c>
      <c r="K398" s="70">
        <v>18.542365938588176</v>
      </c>
      <c r="L398" s="70">
        <v>-1.6796593858815925</v>
      </c>
      <c r="M398" s="70">
        <v>0.62933803644914699</v>
      </c>
      <c r="N398" s="70">
        <v>0</v>
      </c>
      <c r="O398" s="70">
        <v>0.41866028708133901</v>
      </c>
      <c r="P398" s="70">
        <v>0.21226113210441033</v>
      </c>
      <c r="Q398" s="70">
        <v>8.741258741258727E-2</v>
      </c>
      <c r="R398" s="70">
        <v>0.41661492670444733</v>
      </c>
      <c r="S398" s="70">
        <v>0.5988917081753693</v>
      </c>
      <c r="T398" s="70">
        <v>37.649525883678436</v>
      </c>
      <c r="U398" s="70"/>
      <c r="V398" s="70">
        <v>-67.37999999999991</v>
      </c>
      <c r="W398" s="70">
        <v>163.12000000000009</v>
      </c>
    </row>
    <row r="399" spans="1:23" x14ac:dyDescent="0.25">
      <c r="A399" s="68">
        <v>43629</v>
      </c>
      <c r="B399" s="70">
        <v>234.44</v>
      </c>
      <c r="C399" s="70">
        <v>233.74</v>
      </c>
      <c r="D399" s="70">
        <v>237.35</v>
      </c>
      <c r="E399" s="70">
        <v>233.01</v>
      </c>
      <c r="F399" s="70">
        <v>35.409999999999997</v>
      </c>
      <c r="G399" s="70">
        <v>-1.8E-3</v>
      </c>
      <c r="H399" s="70">
        <v>226.27602564102563</v>
      </c>
      <c r="I399" s="70">
        <v>208.78401709401706</v>
      </c>
      <c r="J399" s="70">
        <v>17.492008547008567</v>
      </c>
      <c r="K399" s="70">
        <v>18.950634694523586</v>
      </c>
      <c r="L399" s="70">
        <v>-1.4586261475150195</v>
      </c>
      <c r="M399" s="70">
        <v>1.0591747144909525</v>
      </c>
      <c r="N399" s="70">
        <v>0</v>
      </c>
      <c r="O399" s="70">
        <v>0</v>
      </c>
      <c r="P399" s="70">
        <v>0.21226113210441033</v>
      </c>
      <c r="Q399" s="70">
        <v>3.3424908424908341E-2</v>
      </c>
      <c r="R399" s="70">
        <v>0.72790551426612604</v>
      </c>
      <c r="S399" s="70">
        <v>0.6242758649989697</v>
      </c>
      <c r="T399" s="70">
        <v>50.236951528485292</v>
      </c>
      <c r="U399" s="70"/>
      <c r="V399" s="70">
        <v>-67.37999999999991</v>
      </c>
      <c r="W399" s="70">
        <v>163.12000000000009</v>
      </c>
    </row>
    <row r="400" spans="1:23" x14ac:dyDescent="0.25">
      <c r="A400" s="68">
        <v>43627</v>
      </c>
      <c r="B400" s="70">
        <v>234.86</v>
      </c>
      <c r="C400" s="70">
        <v>232.32</v>
      </c>
      <c r="D400" s="70">
        <v>237.63</v>
      </c>
      <c r="E400" s="70">
        <v>231.13</v>
      </c>
      <c r="F400" s="70">
        <v>44.89</v>
      </c>
      <c r="G400" s="70">
        <v>1.1900000000000001E-2</v>
      </c>
      <c r="H400" s="70">
        <v>224.34935897435895</v>
      </c>
      <c r="I400" s="70">
        <v>206.35821937321936</v>
      </c>
      <c r="J400" s="70">
        <v>17.991139601139594</v>
      </c>
      <c r="K400" s="70">
        <v>19.30735169357391</v>
      </c>
      <c r="L400" s="70">
        <v>-1.3162120924343164</v>
      </c>
      <c r="M400" s="70">
        <v>1.4524946689903915</v>
      </c>
      <c r="N400" s="70">
        <v>0.51230769230768991</v>
      </c>
      <c r="O400" s="70">
        <v>0</v>
      </c>
      <c r="P400" s="70">
        <v>0.28544794529122319</v>
      </c>
      <c r="Q400" s="70">
        <v>5.4720383136532248E-2</v>
      </c>
      <c r="R400" s="70">
        <v>0.67827467425055299</v>
      </c>
      <c r="S400" s="70">
        <v>0.59355289061512739</v>
      </c>
      <c r="T400" s="70">
        <v>62.457261821285108</v>
      </c>
      <c r="U400" s="70"/>
      <c r="V400" s="70">
        <v>-67.37999999999991</v>
      </c>
      <c r="W400" s="70">
        <v>163.12000000000009</v>
      </c>
    </row>
    <row r="401" spans="1:23" x14ac:dyDescent="0.25">
      <c r="A401" s="68">
        <v>43626</v>
      </c>
      <c r="B401" s="70">
        <v>232.1</v>
      </c>
      <c r="C401" s="70">
        <v>230.85</v>
      </c>
      <c r="D401" s="70">
        <v>234.3</v>
      </c>
      <c r="E401" s="70">
        <v>230.4</v>
      </c>
      <c r="F401" s="70">
        <v>30.62</v>
      </c>
      <c r="G401" s="70">
        <v>6.8999999999999999E-3</v>
      </c>
      <c r="H401" s="70">
        <v>221.78397435897432</v>
      </c>
      <c r="I401" s="70">
        <v>203.71253561253559</v>
      </c>
      <c r="J401" s="70">
        <v>18.07143874643873</v>
      </c>
      <c r="K401" s="70">
        <v>19.50383064260841</v>
      </c>
      <c r="L401" s="70">
        <v>-1.4323918961696798</v>
      </c>
      <c r="M401" s="70">
        <v>1.8315522508513919</v>
      </c>
      <c r="N401" s="70">
        <v>0.135897435897436</v>
      </c>
      <c r="O401" s="70">
        <v>0</v>
      </c>
      <c r="P401" s="70">
        <v>0.21942389088570846</v>
      </c>
      <c r="Q401" s="70">
        <v>5.4720383136532248E-2</v>
      </c>
      <c r="R401" s="70">
        <v>0.60079134731741357</v>
      </c>
      <c r="S401" s="70">
        <v>0.56445870974742363</v>
      </c>
      <c r="T401" s="70">
        <v>62.007888092500806</v>
      </c>
      <c r="U401" s="70"/>
      <c r="V401" s="70">
        <v>-67.37999999999991</v>
      </c>
      <c r="W401" s="70">
        <v>163.12000000000009</v>
      </c>
    </row>
    <row r="402" spans="1:23" x14ac:dyDescent="0.25">
      <c r="A402" s="68">
        <v>43623</v>
      </c>
      <c r="B402" s="70">
        <v>230.5</v>
      </c>
      <c r="C402" s="70">
        <v>233.77</v>
      </c>
      <c r="D402" s="70">
        <v>233.77</v>
      </c>
      <c r="E402" s="70">
        <v>230</v>
      </c>
      <c r="F402" s="70">
        <v>42.25</v>
      </c>
      <c r="G402" s="70">
        <v>-4.1000000000000003E-3</v>
      </c>
      <c r="H402" s="70">
        <v>219.89910256410258</v>
      </c>
      <c r="I402" s="70">
        <v>201.22970085470081</v>
      </c>
      <c r="J402" s="70">
        <v>18.669401709401768</v>
      </c>
      <c r="K402" s="70">
        <v>19.632698322253884</v>
      </c>
      <c r="L402" s="70">
        <v>-0.96329661285211543</v>
      </c>
      <c r="M402" s="70">
        <v>2.3092457204081192</v>
      </c>
      <c r="N402" s="70">
        <v>0</v>
      </c>
      <c r="O402" s="70">
        <v>0</v>
      </c>
      <c r="P402" s="70">
        <v>0.19104970097305696</v>
      </c>
      <c r="Q402" s="70">
        <v>5.4720383136532248E-2</v>
      </c>
      <c r="R402" s="70">
        <v>0.55470265362213611</v>
      </c>
      <c r="S402" s="70">
        <v>0.53840640994288846</v>
      </c>
      <c r="T402" s="70">
        <v>61.478998533160066</v>
      </c>
      <c r="U402" s="70">
        <v>1</v>
      </c>
      <c r="V402" s="70">
        <v>-67.37999999999991</v>
      </c>
      <c r="W402" s="70">
        <v>163.12000000000009</v>
      </c>
    </row>
    <row r="403" spans="1:23" x14ac:dyDescent="0.25">
      <c r="A403" s="68">
        <v>43622</v>
      </c>
      <c r="B403" s="70">
        <v>231.45</v>
      </c>
      <c r="C403" s="70">
        <v>230</v>
      </c>
      <c r="D403" s="70">
        <v>236.62</v>
      </c>
      <c r="E403" s="70">
        <v>228.71</v>
      </c>
      <c r="F403" s="70">
        <v>55.26</v>
      </c>
      <c r="G403" s="70">
        <v>6.3E-3</v>
      </c>
      <c r="H403" s="70">
        <v>218.46576923076924</v>
      </c>
      <c r="I403" s="70">
        <v>198.93005698005697</v>
      </c>
      <c r="J403" s="70">
        <v>19.535712250712265</v>
      </c>
      <c r="K403" s="70">
        <v>19.667012662234882</v>
      </c>
      <c r="L403" s="70">
        <v>-0.1313004115226164</v>
      </c>
      <c r="M403" s="70">
        <v>2.8107856847173052</v>
      </c>
      <c r="N403" s="70">
        <v>0.41972187104930397</v>
      </c>
      <c r="O403" s="70">
        <v>0</v>
      </c>
      <c r="P403" s="70">
        <v>0.30333859202300989</v>
      </c>
      <c r="Q403" s="70">
        <v>5.4720383136532248E-2</v>
      </c>
      <c r="R403" s="70">
        <v>0.69434988684671173</v>
      </c>
      <c r="S403" s="70">
        <v>0.55477320612019254</v>
      </c>
      <c r="T403" s="70">
        <v>62.432034435885825</v>
      </c>
      <c r="U403" s="70"/>
      <c r="V403" s="70">
        <v>-67.37999999999991</v>
      </c>
      <c r="W403" s="70">
        <v>164.07000000000008</v>
      </c>
    </row>
    <row r="404" spans="1:23" x14ac:dyDescent="0.25">
      <c r="A404" s="68">
        <v>43621</v>
      </c>
      <c r="B404" s="70">
        <v>230.01</v>
      </c>
      <c r="C404" s="70">
        <v>230.24</v>
      </c>
      <c r="D404" s="70">
        <v>233.3</v>
      </c>
      <c r="E404" s="70">
        <v>228.04</v>
      </c>
      <c r="F404" s="70">
        <v>40.24</v>
      </c>
      <c r="G404" s="70">
        <v>-6.9999999999999999E-4</v>
      </c>
      <c r="H404" s="70">
        <v>216.57660256410259</v>
      </c>
      <c r="I404" s="70">
        <v>196.41883190883192</v>
      </c>
      <c r="J404" s="70">
        <v>20.157770655270667</v>
      </c>
      <c r="K404" s="70">
        <v>19.429806742640075</v>
      </c>
      <c r="L404" s="70">
        <v>0.72796391263059235</v>
      </c>
      <c r="M404" s="70">
        <v>3.2274942550327146</v>
      </c>
      <c r="N404" s="70">
        <v>0</v>
      </c>
      <c r="O404" s="70">
        <v>0</v>
      </c>
      <c r="P404" s="70">
        <v>0.21570435521051781</v>
      </c>
      <c r="Q404" s="70">
        <v>5.4720383136532248E-2</v>
      </c>
      <c r="R404" s="70">
        <v>0.59530046347825805</v>
      </c>
      <c r="S404" s="70">
        <v>0.51447578054735899</v>
      </c>
      <c r="T404" s="70">
        <v>61.886976757548766</v>
      </c>
      <c r="U404" s="70"/>
      <c r="V404" s="70">
        <v>-67.37999999999991</v>
      </c>
      <c r="W404" s="70">
        <v>162.63000000000008</v>
      </c>
    </row>
    <row r="405" spans="1:23" x14ac:dyDescent="0.25">
      <c r="A405" s="68">
        <v>43620</v>
      </c>
      <c r="B405" s="70">
        <v>230.16</v>
      </c>
      <c r="C405" s="70">
        <v>233.5</v>
      </c>
      <c r="D405" s="70">
        <v>235.59</v>
      </c>
      <c r="E405" s="70">
        <v>223.52</v>
      </c>
      <c r="F405" s="70">
        <v>109.61</v>
      </c>
      <c r="G405" s="70">
        <v>-2.2700000000000001E-2</v>
      </c>
      <c r="H405" s="70">
        <v>214.54000000000002</v>
      </c>
      <c r="I405" s="70">
        <v>193.97232193732196</v>
      </c>
      <c r="J405" s="70">
        <v>20.567678062678056</v>
      </c>
      <c r="K405" s="70">
        <v>19.007039252928134</v>
      </c>
      <c r="L405" s="70">
        <v>1.5606388097499213</v>
      </c>
      <c r="M405" s="70">
        <v>3.5556375052614331</v>
      </c>
      <c r="N405" s="70">
        <v>0</v>
      </c>
      <c r="O405" s="70">
        <v>0</v>
      </c>
      <c r="P405" s="70">
        <v>0.21570435521051781</v>
      </c>
      <c r="Q405" s="70">
        <v>5.4720383136532248E-2</v>
      </c>
      <c r="R405" s="70">
        <v>0.59530046347825805</v>
      </c>
      <c r="S405" s="70">
        <v>0.50148334452510468</v>
      </c>
      <c r="T405" s="70">
        <v>62.807608873131024</v>
      </c>
      <c r="U405" s="70"/>
      <c r="V405" s="70">
        <v>-67.37999999999991</v>
      </c>
      <c r="W405" s="70">
        <v>162.78000000000009</v>
      </c>
    </row>
    <row r="406" spans="1:23" x14ac:dyDescent="0.25">
      <c r="A406" s="68">
        <v>43619</v>
      </c>
      <c r="B406" s="70">
        <v>235.51</v>
      </c>
      <c r="C406" s="70">
        <v>214.41</v>
      </c>
      <c r="D406" s="70">
        <v>251.65</v>
      </c>
      <c r="E406" s="70">
        <v>213.5</v>
      </c>
      <c r="F406" s="70">
        <v>218.66</v>
      </c>
      <c r="G406" s="70">
        <v>9.4899999999999998E-2</v>
      </c>
      <c r="H406" s="70">
        <v>213.15814102564104</v>
      </c>
      <c r="I406" s="70">
        <v>191.84547008547011</v>
      </c>
      <c r="J406" s="70">
        <v>21.312670940170932</v>
      </c>
      <c r="K406" s="70">
        <v>18.497333808167141</v>
      </c>
      <c r="L406" s="70">
        <v>2.8153371320037905</v>
      </c>
      <c r="M406" s="70">
        <v>3.8776655500245201</v>
      </c>
      <c r="N406" s="70">
        <v>0.95360419397116614</v>
      </c>
      <c r="O406" s="70">
        <v>0</v>
      </c>
      <c r="P406" s="70">
        <v>0.38808629808695128</v>
      </c>
      <c r="Q406" s="70">
        <v>5.4720383136532248E-2</v>
      </c>
      <c r="R406" s="70">
        <v>0.75284752711797942</v>
      </c>
      <c r="S406" s="70">
        <v>0.51601932549344165</v>
      </c>
      <c r="T406" s="70">
        <v>75.930299845294471</v>
      </c>
      <c r="U406" s="70"/>
      <c r="V406" s="70">
        <v>-67.37999999999991</v>
      </c>
      <c r="W406" s="70">
        <v>168.13000000000008</v>
      </c>
    </row>
    <row r="407" spans="1:23" x14ac:dyDescent="0.25">
      <c r="A407" s="68">
        <v>43616</v>
      </c>
      <c r="B407" s="70">
        <v>215.1</v>
      </c>
      <c r="C407" s="70">
        <v>212</v>
      </c>
      <c r="D407" s="70">
        <v>215.27</v>
      </c>
      <c r="E407" s="70">
        <v>210.05</v>
      </c>
      <c r="F407" s="70">
        <v>43.76</v>
      </c>
      <c r="G407" s="70">
        <v>9.4000000000000004E-3</v>
      </c>
      <c r="H407" s="70">
        <v>207.70461538461532</v>
      </c>
      <c r="I407" s="70">
        <v>187.66481481481483</v>
      </c>
      <c r="J407" s="70">
        <v>20.039800569800491</v>
      </c>
      <c r="K407" s="70">
        <v>17.408824311490964</v>
      </c>
      <c r="L407" s="70">
        <v>2.6309762583095271</v>
      </c>
      <c r="M407" s="70">
        <v>3.8335792659382282</v>
      </c>
      <c r="N407" s="70">
        <v>0</v>
      </c>
      <c r="O407" s="70">
        <v>0</v>
      </c>
      <c r="P407" s="70">
        <v>0.24562651226063886</v>
      </c>
      <c r="Q407" s="70">
        <v>5.4720383136532248E-2</v>
      </c>
      <c r="R407" s="70">
        <v>0.63561878630926816</v>
      </c>
      <c r="S407" s="70">
        <v>0.4793117424063551</v>
      </c>
      <c r="T407" s="70">
        <v>75.534322051700642</v>
      </c>
      <c r="U407" s="70"/>
      <c r="V407" s="70">
        <v>-67.37999999999991</v>
      </c>
      <c r="W407" s="70">
        <v>147.72000000000008</v>
      </c>
    </row>
    <row r="408" spans="1:23" x14ac:dyDescent="0.25">
      <c r="A408" s="68">
        <v>43615</v>
      </c>
      <c r="B408" s="70">
        <v>213.1</v>
      </c>
      <c r="C408" s="70">
        <v>207.9</v>
      </c>
      <c r="D408" s="70">
        <v>216.45</v>
      </c>
      <c r="E408" s="70">
        <v>207.57</v>
      </c>
      <c r="F408" s="70">
        <v>77.209999999999994</v>
      </c>
      <c r="G408" s="70">
        <v>2.8799999999999999E-2</v>
      </c>
      <c r="H408" s="70">
        <v>206.02262820512817</v>
      </c>
      <c r="I408" s="70">
        <v>185.64059829059829</v>
      </c>
      <c r="J408" s="70">
        <v>20.38202991452988</v>
      </c>
      <c r="K408" s="70">
        <v>16.600549066160184</v>
      </c>
      <c r="L408" s="70">
        <v>3.7814808483696964</v>
      </c>
      <c r="M408" s="70">
        <v>3.9187984860976255</v>
      </c>
      <c r="N408" s="70">
        <v>0.94092373791621786</v>
      </c>
      <c r="O408" s="70">
        <v>0</v>
      </c>
      <c r="P408" s="70">
        <v>0.44203388083001788</v>
      </c>
      <c r="Q408" s="70">
        <v>5.4720383136532248E-2</v>
      </c>
      <c r="R408" s="70">
        <v>0.77968832033934199</v>
      </c>
      <c r="S408" s="70">
        <v>0.47901193374813428</v>
      </c>
      <c r="T408" s="70">
        <v>75.426656137156911</v>
      </c>
      <c r="U408" s="70"/>
      <c r="V408" s="70">
        <v>-67.37999999999991</v>
      </c>
      <c r="W408" s="70">
        <v>145.72000000000008</v>
      </c>
    </row>
    <row r="409" spans="1:23" x14ac:dyDescent="0.25">
      <c r="A409" s="68">
        <v>43614</v>
      </c>
      <c r="B409" s="70">
        <v>207.14</v>
      </c>
      <c r="C409" s="70">
        <v>202.11</v>
      </c>
      <c r="D409" s="70">
        <v>207.69</v>
      </c>
      <c r="E409" s="70">
        <v>201.11</v>
      </c>
      <c r="F409" s="70">
        <v>42.94</v>
      </c>
      <c r="G409" s="70">
        <v>1.9699999999999999E-2</v>
      </c>
      <c r="H409" s="70">
        <v>203.4535897435897</v>
      </c>
      <c r="I409" s="70">
        <v>183.43273504273503</v>
      </c>
      <c r="J409" s="70">
        <v>20.02085470085467</v>
      </c>
      <c r="K409" s="70">
        <v>15.496698322253888</v>
      </c>
      <c r="L409" s="70">
        <v>4.5241563786007823</v>
      </c>
      <c r="M409" s="70">
        <v>3.7137213473452753</v>
      </c>
      <c r="N409" s="70">
        <v>0.25683890577507629</v>
      </c>
      <c r="O409" s="70">
        <v>0</v>
      </c>
      <c r="P409" s="70">
        <v>0.28226854846373051</v>
      </c>
      <c r="Q409" s="70">
        <v>5.4720383136532248E-2</v>
      </c>
      <c r="R409" s="70">
        <v>0.67523928529829735</v>
      </c>
      <c r="S409" s="70">
        <v>0.39902743727047829</v>
      </c>
      <c r="T409" s="70">
        <v>75.243086976854357</v>
      </c>
      <c r="U409" s="70"/>
      <c r="V409" s="70">
        <v>-67.37999999999991</v>
      </c>
      <c r="W409" s="70">
        <v>139.76000000000008</v>
      </c>
    </row>
    <row r="410" spans="1:23" x14ac:dyDescent="0.25">
      <c r="A410" s="68">
        <v>43613</v>
      </c>
      <c r="B410" s="70">
        <v>203.13</v>
      </c>
      <c r="C410" s="70">
        <v>206</v>
      </c>
      <c r="D410" s="70">
        <v>206</v>
      </c>
      <c r="E410" s="70">
        <v>201</v>
      </c>
      <c r="F410" s="70">
        <v>61.17</v>
      </c>
      <c r="G410" s="70">
        <v>-1.49E-2</v>
      </c>
      <c r="H410" s="70">
        <v>199.72423076923076</v>
      </c>
      <c r="I410" s="70">
        <v>181.54844729344725</v>
      </c>
      <c r="J410" s="70">
        <v>18.175783475783504</v>
      </c>
      <c r="K410" s="70">
        <v>14.050628046850296</v>
      </c>
      <c r="L410" s="70">
        <v>4.1251554289332084</v>
      </c>
      <c r="M410" s="70">
        <v>3.2980404356643724</v>
      </c>
      <c r="N410" s="70">
        <v>0</v>
      </c>
      <c r="O410" s="70">
        <v>0</v>
      </c>
      <c r="P410" s="70">
        <v>0.22864284286234091</v>
      </c>
      <c r="Q410" s="70">
        <v>8.1614541609638283E-2</v>
      </c>
      <c r="R410" s="70">
        <v>0.4738913837713391</v>
      </c>
      <c r="S410" s="70">
        <v>0.31665029914461446</v>
      </c>
      <c r="T410" s="70">
        <v>62.978245476963643</v>
      </c>
      <c r="U410" s="70"/>
      <c r="V410" s="70">
        <v>-67.37999999999991</v>
      </c>
      <c r="W410" s="70">
        <v>135.75000000000009</v>
      </c>
    </row>
    <row r="411" spans="1:23" x14ac:dyDescent="0.25">
      <c r="A411" s="68">
        <v>43612</v>
      </c>
      <c r="B411" s="70">
        <v>206.2</v>
      </c>
      <c r="C411" s="70">
        <v>204.25</v>
      </c>
      <c r="D411" s="70">
        <v>206.6</v>
      </c>
      <c r="E411" s="70">
        <v>200.84</v>
      </c>
      <c r="F411" s="70">
        <v>28.13</v>
      </c>
      <c r="G411" s="70">
        <v>8.3000000000000001E-3</v>
      </c>
      <c r="H411" s="70">
        <v>197.4098717948718</v>
      </c>
      <c r="I411" s="70">
        <v>180.30363247863247</v>
      </c>
      <c r="J411" s="70">
        <v>17.106239316239339</v>
      </c>
      <c r="K411" s="70">
        <v>12.745614434947793</v>
      </c>
      <c r="L411" s="70">
        <v>4.360624881291546</v>
      </c>
      <c r="M411" s="70">
        <v>3.0047931081264476</v>
      </c>
      <c r="N411" s="70">
        <v>0</v>
      </c>
      <c r="O411" s="70">
        <v>0.50694444444444309</v>
      </c>
      <c r="P411" s="70">
        <v>0.22864284286234091</v>
      </c>
      <c r="Q411" s="70">
        <v>0.17705977098343895</v>
      </c>
      <c r="R411" s="70">
        <v>0.12714503214541842</v>
      </c>
      <c r="S411" s="70">
        <v>0.23126257246168513</v>
      </c>
      <c r="T411" s="70">
        <v>75.370760448148488</v>
      </c>
      <c r="U411" s="70"/>
      <c r="V411" s="70">
        <v>-67.37999999999991</v>
      </c>
      <c r="W411" s="70">
        <v>138.82000000000008</v>
      </c>
    </row>
    <row r="412" spans="1:23" x14ac:dyDescent="0.25">
      <c r="A412" s="68">
        <v>43609</v>
      </c>
      <c r="B412" s="70">
        <v>204.5</v>
      </c>
      <c r="C412" s="70">
        <v>209.49</v>
      </c>
      <c r="D412" s="70">
        <v>210.2</v>
      </c>
      <c r="E412" s="70">
        <v>203.76</v>
      </c>
      <c r="F412" s="70">
        <v>29.04</v>
      </c>
      <c r="G412" s="70">
        <v>-2.0899999999999998E-2</v>
      </c>
      <c r="H412" s="70">
        <v>194.14237179487179</v>
      </c>
      <c r="I412" s="70">
        <v>178.67485754985751</v>
      </c>
      <c r="J412" s="70">
        <v>15.467514245014286</v>
      </c>
      <c r="K412" s="70">
        <v>11.269351535296003</v>
      </c>
      <c r="L412" s="70">
        <v>4.1981627097182823</v>
      </c>
      <c r="M412" s="70">
        <v>2.6440897209786201</v>
      </c>
      <c r="N412" s="70">
        <v>0</v>
      </c>
      <c r="O412" s="70">
        <v>0.32298136645962938</v>
      </c>
      <c r="P412" s="70">
        <v>0.25488844192347465</v>
      </c>
      <c r="Q412" s="70">
        <v>0.11735442284641437</v>
      </c>
      <c r="R412" s="70">
        <v>0.36947388947825849</v>
      </c>
      <c r="S412" s="70">
        <v>0.26652445397209312</v>
      </c>
      <c r="T412" s="70">
        <v>75.210476506520166</v>
      </c>
      <c r="U412" s="70"/>
      <c r="V412" s="70">
        <v>-67.37999999999991</v>
      </c>
      <c r="W412" s="70">
        <v>137.12000000000009</v>
      </c>
    </row>
    <row r="413" spans="1:23" x14ac:dyDescent="0.25">
      <c r="A413" s="68">
        <v>43608</v>
      </c>
      <c r="B413" s="70">
        <v>208.86</v>
      </c>
      <c r="C413" s="70">
        <v>207</v>
      </c>
      <c r="D413" s="70">
        <v>212.18</v>
      </c>
      <c r="E413" s="70">
        <v>205.84</v>
      </c>
      <c r="F413" s="70">
        <v>54.53</v>
      </c>
      <c r="G413" s="70">
        <v>3.7000000000000002E-3</v>
      </c>
      <c r="H413" s="70">
        <v>191.97217948717949</v>
      </c>
      <c r="I413" s="70">
        <v>177.49283475783474</v>
      </c>
      <c r="J413" s="70">
        <v>14.479344729344746</v>
      </c>
      <c r="K413" s="70">
        <v>9.7947939221272691</v>
      </c>
      <c r="L413" s="70">
        <v>4.6845508072174766</v>
      </c>
      <c r="M413" s="70">
        <v>2.3992737860430231</v>
      </c>
      <c r="N413" s="70">
        <v>0.3264984227129325</v>
      </c>
      <c r="O413" s="70">
        <v>0</v>
      </c>
      <c r="P413" s="70">
        <v>0.30153107373960786</v>
      </c>
      <c r="Q413" s="70">
        <v>0.12772720040296673</v>
      </c>
      <c r="R413" s="70">
        <v>0.40489347277884646</v>
      </c>
      <c r="S413" s="70">
        <v>0.23091202699005142</v>
      </c>
      <c r="T413" s="70">
        <v>87.665200969964587</v>
      </c>
      <c r="U413" s="70"/>
      <c r="V413" s="70">
        <v>-67.37999999999991</v>
      </c>
      <c r="W413" s="70">
        <v>141.4800000000001</v>
      </c>
    </row>
    <row r="414" spans="1:23" x14ac:dyDescent="0.25">
      <c r="A414" s="68">
        <v>43607</v>
      </c>
      <c r="B414" s="70">
        <v>208.1</v>
      </c>
      <c r="C414" s="70">
        <v>208.92</v>
      </c>
      <c r="D414" s="70">
        <v>210.11</v>
      </c>
      <c r="E414" s="70">
        <v>206.33</v>
      </c>
      <c r="F414" s="70">
        <v>35.1</v>
      </c>
      <c r="G414" s="70">
        <v>1.4E-3</v>
      </c>
      <c r="H414" s="70">
        <v>188.79429487179488</v>
      </c>
      <c r="I414" s="70">
        <v>175.637037037037</v>
      </c>
      <c r="J414" s="70">
        <v>13.157257834757871</v>
      </c>
      <c r="K414" s="70">
        <v>8.3610052231719045</v>
      </c>
      <c r="L414" s="70">
        <v>4.7962526115859667</v>
      </c>
      <c r="M414" s="70">
        <v>2.0873148409045936</v>
      </c>
      <c r="N414" s="70">
        <v>0</v>
      </c>
      <c r="O414" s="70">
        <v>0</v>
      </c>
      <c r="P414" s="70">
        <v>0.24011022974840707</v>
      </c>
      <c r="Q414" s="70">
        <v>0.12772720040296673</v>
      </c>
      <c r="R414" s="70">
        <v>0.30552363662173276</v>
      </c>
      <c r="S414" s="70">
        <v>0.21497722734175204</v>
      </c>
      <c r="T414" s="70">
        <v>76.899212930159521</v>
      </c>
      <c r="U414" s="70"/>
      <c r="V414" s="70">
        <v>-67.37999999999991</v>
      </c>
      <c r="W414" s="70">
        <v>140.72000000000008</v>
      </c>
    </row>
    <row r="415" spans="1:23" x14ac:dyDescent="0.25">
      <c r="A415" s="68">
        <v>43606</v>
      </c>
      <c r="B415" s="70">
        <v>207.8</v>
      </c>
      <c r="C415" s="70">
        <v>201.3</v>
      </c>
      <c r="D415" s="70">
        <v>210.98</v>
      </c>
      <c r="E415" s="70">
        <v>199.01</v>
      </c>
      <c r="F415" s="70">
        <v>90.77</v>
      </c>
      <c r="G415" s="70">
        <v>3.49E-2</v>
      </c>
      <c r="H415" s="70">
        <v>185.80141025641024</v>
      </c>
      <c r="I415" s="70">
        <v>173.8705128205128</v>
      </c>
      <c r="J415" s="70">
        <v>11.930897435897435</v>
      </c>
      <c r="K415" s="70">
        <v>7.0901630262741442</v>
      </c>
      <c r="L415" s="70">
        <v>4.8407344096232912</v>
      </c>
      <c r="M415" s="70">
        <v>1.7669948272683351</v>
      </c>
      <c r="N415" s="70">
        <v>0.79365079365079372</v>
      </c>
      <c r="O415" s="70">
        <v>0</v>
      </c>
      <c r="P415" s="70">
        <v>0.38355318990295717</v>
      </c>
      <c r="Q415" s="70">
        <v>0.12772720040296673</v>
      </c>
      <c r="R415" s="70">
        <v>0.50036339032466581</v>
      </c>
      <c r="S415" s="70">
        <v>0.2503797704932062</v>
      </c>
      <c r="T415" s="70">
        <v>76.223982970671713</v>
      </c>
      <c r="U415" s="70"/>
      <c r="V415" s="70">
        <v>-67.37999999999991</v>
      </c>
      <c r="W415" s="70">
        <v>140.4200000000001</v>
      </c>
    </row>
    <row r="416" spans="1:23" x14ac:dyDescent="0.25">
      <c r="A416" s="68">
        <v>43605</v>
      </c>
      <c r="B416" s="70">
        <v>200.8</v>
      </c>
      <c r="C416" s="70">
        <v>200.2</v>
      </c>
      <c r="D416" s="70">
        <v>201.48</v>
      </c>
      <c r="E416" s="70">
        <v>198.3</v>
      </c>
      <c r="F416" s="70">
        <v>27.3</v>
      </c>
      <c r="G416" s="70">
        <v>9.5999999999999992E-3</v>
      </c>
      <c r="H416" s="70">
        <v>181.75660256410259</v>
      </c>
      <c r="I416" s="70">
        <v>171.5799145299145</v>
      </c>
      <c r="J416" s="70">
        <v>10.176688034188089</v>
      </c>
      <c r="K416" s="70">
        <v>5.8496478315922955</v>
      </c>
      <c r="L416" s="70">
        <v>4.3270402025957937</v>
      </c>
      <c r="M416" s="70">
        <v>1.3533828134511996</v>
      </c>
      <c r="N416" s="70">
        <v>0</v>
      </c>
      <c r="O416" s="70">
        <v>0</v>
      </c>
      <c r="P416" s="70">
        <v>0.23605361502741085</v>
      </c>
      <c r="Q416" s="70">
        <v>0.12772720040296673</v>
      </c>
      <c r="R416" s="70">
        <v>0.29777934962371938</v>
      </c>
      <c r="S416" s="70">
        <v>0.20990091064358185</v>
      </c>
      <c r="T416" s="70">
        <v>64.444294075853435</v>
      </c>
      <c r="U416" s="70"/>
      <c r="V416" s="70">
        <v>-67.37999999999991</v>
      </c>
      <c r="W416" s="70">
        <v>133.4200000000001</v>
      </c>
    </row>
    <row r="417" spans="1:23" x14ac:dyDescent="0.25">
      <c r="A417" s="68">
        <v>43602</v>
      </c>
      <c r="B417" s="70">
        <v>198.89</v>
      </c>
      <c r="C417" s="70">
        <v>201.8</v>
      </c>
      <c r="D417" s="70">
        <v>202.3</v>
      </c>
      <c r="E417" s="70">
        <v>197.71</v>
      </c>
      <c r="F417" s="70">
        <v>49.62</v>
      </c>
      <c r="G417" s="70">
        <v>-1.8800000000000001E-2</v>
      </c>
      <c r="H417" s="70">
        <v>178.86435897435899</v>
      </c>
      <c r="I417" s="70">
        <v>170.0880056980057</v>
      </c>
      <c r="J417" s="70">
        <v>8.7763532763532908</v>
      </c>
      <c r="K417" s="70">
        <v>4.8756790123456835</v>
      </c>
      <c r="L417" s="70">
        <v>3.9006742640076073</v>
      </c>
      <c r="M417" s="70">
        <v>0.98597173956148731</v>
      </c>
      <c r="N417" s="70">
        <v>0</v>
      </c>
      <c r="O417" s="70">
        <v>0</v>
      </c>
      <c r="P417" s="70">
        <v>0.29679090729179686</v>
      </c>
      <c r="Q417" s="70">
        <v>0.12772720040296673</v>
      </c>
      <c r="R417" s="70">
        <v>0.39824851714073423</v>
      </c>
      <c r="S417" s="70">
        <v>0.22320713225528896</v>
      </c>
      <c r="T417" s="70">
        <v>52.148120394654669</v>
      </c>
      <c r="U417" s="70"/>
      <c r="V417" s="70">
        <v>-67.37999999999991</v>
      </c>
      <c r="W417" s="70">
        <v>131.51000000000008</v>
      </c>
    </row>
    <row r="418" spans="1:23" x14ac:dyDescent="0.25">
      <c r="A418" s="68">
        <v>43601</v>
      </c>
      <c r="B418" s="70">
        <v>202.7</v>
      </c>
      <c r="C418" s="70">
        <v>194.31</v>
      </c>
      <c r="D418" s="70">
        <v>203.45</v>
      </c>
      <c r="E418" s="70">
        <v>194.24</v>
      </c>
      <c r="F418" s="70">
        <v>100.06</v>
      </c>
      <c r="G418" s="70">
        <v>3.6200000000000003E-2</v>
      </c>
      <c r="H418" s="70">
        <v>176.98538461538465</v>
      </c>
      <c r="I418" s="70">
        <v>169.08141025641027</v>
      </c>
      <c r="J418" s="70">
        <v>7.9039743589743807</v>
      </c>
      <c r="K418" s="70">
        <v>4.1777565685343507</v>
      </c>
      <c r="L418" s="70">
        <v>3.72621779044003</v>
      </c>
      <c r="M418" s="70">
        <v>0.66887556571317697</v>
      </c>
      <c r="N418" s="70">
        <v>0.54831704668838155</v>
      </c>
      <c r="O418" s="70">
        <v>0</v>
      </c>
      <c r="P418" s="70">
        <v>0.37512191396156563</v>
      </c>
      <c r="Q418" s="70">
        <v>0.13372120639697269</v>
      </c>
      <c r="R418" s="70">
        <v>0.4744108702786401</v>
      </c>
      <c r="S418" s="70">
        <v>0.20426713424689513</v>
      </c>
      <c r="T418" s="70">
        <v>53.386796607520843</v>
      </c>
      <c r="U418" s="70"/>
      <c r="V418" s="70">
        <v>-67.37999999999991</v>
      </c>
      <c r="W418" s="70">
        <v>135.32000000000008</v>
      </c>
    </row>
    <row r="419" spans="1:23" x14ac:dyDescent="0.25">
      <c r="A419" s="68">
        <v>43600</v>
      </c>
      <c r="B419" s="70">
        <v>195.61</v>
      </c>
      <c r="C419" s="70">
        <v>193</v>
      </c>
      <c r="D419" s="70">
        <v>198.4</v>
      </c>
      <c r="E419" s="70">
        <v>192.29</v>
      </c>
      <c r="F419" s="70">
        <v>135.54</v>
      </c>
      <c r="G419" s="70">
        <v>3.1300000000000001E-2</v>
      </c>
      <c r="H419" s="70">
        <v>172.95423076923078</v>
      </c>
      <c r="I419" s="70">
        <v>167.05337606837608</v>
      </c>
      <c r="J419" s="70">
        <v>5.9008547008546941</v>
      </c>
      <c r="K419" s="70">
        <v>3.3547109844887579</v>
      </c>
      <c r="L419" s="70">
        <v>2.5461437163659362</v>
      </c>
      <c r="M419" s="70">
        <v>0.23219303646654013</v>
      </c>
      <c r="N419" s="70">
        <v>0.85910652920962016</v>
      </c>
      <c r="O419" s="70">
        <v>0</v>
      </c>
      <c r="P419" s="70">
        <v>0.38336763915547561</v>
      </c>
      <c r="Q419" s="70">
        <v>0.14537466921322617</v>
      </c>
      <c r="R419" s="70">
        <v>0.45011145538270897</v>
      </c>
      <c r="S419" s="70">
        <v>0.1724115355559202</v>
      </c>
      <c r="T419" s="70">
        <v>52.149945677139918</v>
      </c>
      <c r="U419" s="70"/>
      <c r="V419" s="70">
        <v>-67.37999999999991</v>
      </c>
      <c r="W419" s="70">
        <v>128.2300000000001</v>
      </c>
    </row>
    <row r="420" spans="1:23" x14ac:dyDescent="0.25">
      <c r="A420" s="68">
        <v>43599</v>
      </c>
      <c r="B420" s="70">
        <v>189.67</v>
      </c>
      <c r="C420" s="70">
        <v>163</v>
      </c>
      <c r="D420" s="70">
        <v>190.9</v>
      </c>
      <c r="E420" s="70">
        <v>162.65</v>
      </c>
      <c r="F420" s="70">
        <v>182.19</v>
      </c>
      <c r="G420" s="70">
        <v>0.1636</v>
      </c>
      <c r="H420" s="70">
        <v>169.48076923076923</v>
      </c>
      <c r="I420" s="70">
        <v>165.29535612535614</v>
      </c>
      <c r="J420" s="70">
        <v>4.1854131054130903</v>
      </c>
      <c r="K420" s="70">
        <v>2.7547052864830577</v>
      </c>
      <c r="L420" s="70">
        <v>1.4307078189300326</v>
      </c>
      <c r="M420" s="70">
        <v>-8.8541254883134746E-2</v>
      </c>
      <c r="N420" s="70">
        <v>0.94017699115044251</v>
      </c>
      <c r="O420" s="70">
        <v>0</v>
      </c>
      <c r="P420" s="70">
        <v>0.33830474717715658</v>
      </c>
      <c r="Q420" s="70">
        <v>0.17469753144097266</v>
      </c>
      <c r="R420" s="70">
        <v>0.31892103126109222</v>
      </c>
      <c r="S420" s="70">
        <v>0.12825431001683446</v>
      </c>
      <c r="T420" s="70">
        <v>51.083464402585101</v>
      </c>
      <c r="U420" s="70"/>
      <c r="V420" s="70">
        <v>-67.37999999999991</v>
      </c>
      <c r="W420" s="70">
        <v>122.29000000000008</v>
      </c>
    </row>
    <row r="421" spans="1:23" x14ac:dyDescent="0.25">
      <c r="A421" s="68">
        <v>43598</v>
      </c>
      <c r="B421" s="70">
        <v>163</v>
      </c>
      <c r="C421" s="70">
        <v>163.47999999999999</v>
      </c>
      <c r="D421" s="70">
        <v>164.34</v>
      </c>
      <c r="E421" s="70">
        <v>163</v>
      </c>
      <c r="F421" s="70">
        <v>16.95</v>
      </c>
      <c r="G421" s="70">
        <v>-3.7000000000000002E-3</v>
      </c>
      <c r="H421" s="70">
        <v>163.3257692307692</v>
      </c>
      <c r="I421" s="70">
        <v>162.22364672364671</v>
      </c>
      <c r="J421" s="70">
        <v>1.1021225071224876</v>
      </c>
      <c r="K421" s="70">
        <v>2.0401085786641278</v>
      </c>
      <c r="L421" s="70">
        <v>-0.93798607154164015</v>
      </c>
      <c r="M421" s="70">
        <v>-0.4866514232839011</v>
      </c>
      <c r="N421" s="70">
        <v>0</v>
      </c>
      <c r="O421" s="70">
        <v>0</v>
      </c>
      <c r="P421" s="70">
        <v>0.14200405671717406</v>
      </c>
      <c r="Q421" s="70">
        <v>0.21618665456274874</v>
      </c>
      <c r="R421" s="70">
        <v>-0.2071036336495104</v>
      </c>
      <c r="S421" s="70">
        <v>3.9659523096452487E-2</v>
      </c>
      <c r="T421" s="70">
        <v>50.127298014150981</v>
      </c>
      <c r="U421" s="70"/>
      <c r="V421" s="70">
        <v>-67.37999999999991</v>
      </c>
      <c r="W421" s="70">
        <v>95.62000000000009</v>
      </c>
    </row>
    <row r="422" spans="1:23" x14ac:dyDescent="0.25">
      <c r="A422" s="68">
        <v>43595</v>
      </c>
      <c r="B422" s="70">
        <v>163.61000000000001</v>
      </c>
      <c r="C422" s="70">
        <v>163.6</v>
      </c>
      <c r="D422" s="70">
        <v>164.9</v>
      </c>
      <c r="E422" s="70">
        <v>162.62</v>
      </c>
      <c r="F422" s="70">
        <v>16.16</v>
      </c>
      <c r="G422" s="70">
        <v>2.0000000000000001E-4</v>
      </c>
      <c r="H422" s="70">
        <v>163.37871794871793</v>
      </c>
      <c r="I422" s="70">
        <v>162.05480056980056</v>
      </c>
      <c r="J422" s="70">
        <v>1.3239173789173719</v>
      </c>
      <c r="K422" s="70">
        <v>2.2397527698638768</v>
      </c>
      <c r="L422" s="70">
        <v>-0.9158353909465049</v>
      </c>
      <c r="M422" s="70">
        <v>-0.37178913900281274</v>
      </c>
      <c r="N422" s="70">
        <v>0</v>
      </c>
      <c r="O422" s="70">
        <v>0.40789473684210803</v>
      </c>
      <c r="P422" s="70">
        <v>0.20793812265124001</v>
      </c>
      <c r="Q422" s="70">
        <v>0.27445733125447846</v>
      </c>
      <c r="R422" s="70">
        <v>-0.13789352296889446</v>
      </c>
      <c r="S422" s="70">
        <v>0.10605285419044702</v>
      </c>
      <c r="T422" s="70">
        <v>62.541579962634998</v>
      </c>
      <c r="U422" s="70"/>
      <c r="V422" s="70">
        <v>-67.37999999999991</v>
      </c>
      <c r="W422" s="70">
        <v>96.230000000000103</v>
      </c>
    </row>
    <row r="423" spans="1:23" x14ac:dyDescent="0.25">
      <c r="A423" s="68">
        <v>43593</v>
      </c>
      <c r="B423" s="70">
        <v>163.57</v>
      </c>
      <c r="C423" s="70">
        <v>164.5</v>
      </c>
      <c r="D423" s="70">
        <v>165.44</v>
      </c>
      <c r="E423" s="70">
        <v>163.55000000000001</v>
      </c>
      <c r="F423" s="70">
        <v>17.899999999999999</v>
      </c>
      <c r="G423" s="70">
        <v>-3.8999999999999998E-3</v>
      </c>
      <c r="H423" s="70">
        <v>163.36480769230769</v>
      </c>
      <c r="I423" s="70">
        <v>161.74521367521365</v>
      </c>
      <c r="J423" s="70">
        <v>1.6195940170940446</v>
      </c>
      <c r="K423" s="70">
        <v>2.4522068692624259</v>
      </c>
      <c r="L423" s="70">
        <v>-0.83261285216838132</v>
      </c>
      <c r="M423" s="70">
        <v>-0.23838958635539267</v>
      </c>
      <c r="N423" s="70">
        <v>0</v>
      </c>
      <c r="O423" s="70">
        <v>0.34920634920634991</v>
      </c>
      <c r="P423" s="70">
        <v>0.20793812265124001</v>
      </c>
      <c r="Q423" s="70">
        <v>0.23917911740483558</v>
      </c>
      <c r="R423" s="70">
        <v>-6.9872042396928055E-2</v>
      </c>
      <c r="S423" s="70">
        <v>0.15838869727387564</v>
      </c>
      <c r="T423" s="70">
        <v>62.467183611971421</v>
      </c>
      <c r="U423" s="70"/>
      <c r="V423" s="70">
        <v>-67.37999999999991</v>
      </c>
      <c r="W423" s="70">
        <v>96.190000000000083</v>
      </c>
    </row>
    <row r="424" spans="1:23" x14ac:dyDescent="0.25">
      <c r="A424" s="68">
        <v>43592</v>
      </c>
      <c r="B424" s="70">
        <v>164.21</v>
      </c>
      <c r="C424" s="70">
        <v>165</v>
      </c>
      <c r="D424" s="70">
        <v>166.27</v>
      </c>
      <c r="E424" s="70">
        <v>164.21</v>
      </c>
      <c r="F424" s="70">
        <v>19.350000000000001</v>
      </c>
      <c r="G424" s="70">
        <v>-7.4999999999999997E-3</v>
      </c>
      <c r="H424" s="70">
        <v>163.3927564102564</v>
      </c>
      <c r="I424" s="70">
        <v>161.47068376068373</v>
      </c>
      <c r="J424" s="70">
        <v>1.9220726495726694</v>
      </c>
      <c r="K424" s="70">
        <v>2.6801144349477686</v>
      </c>
      <c r="L424" s="70">
        <v>-0.75804178537509914</v>
      </c>
      <c r="M424" s="70">
        <v>-9.8025630589731072E-2</v>
      </c>
      <c r="N424" s="70">
        <v>0.3980582524271945</v>
      </c>
      <c r="O424" s="70">
        <v>0</v>
      </c>
      <c r="P424" s="70">
        <v>0.26480358728369635</v>
      </c>
      <c r="Q424" s="70">
        <v>0.2010290588466139</v>
      </c>
      <c r="R424" s="70">
        <v>0.13690437749878612</v>
      </c>
      <c r="S424" s="70">
        <v>0.21292164375342681</v>
      </c>
      <c r="T424" s="70">
        <v>62.670341331582527</v>
      </c>
      <c r="U424" s="70">
        <v>-1</v>
      </c>
      <c r="V424" s="70">
        <v>-67.37999999999991</v>
      </c>
      <c r="W424" s="70">
        <v>96.830000000000098</v>
      </c>
    </row>
    <row r="425" spans="1:23" x14ac:dyDescent="0.25">
      <c r="A425" s="68">
        <v>43591</v>
      </c>
      <c r="B425" s="70">
        <v>165.45</v>
      </c>
      <c r="C425" s="70">
        <v>165</v>
      </c>
      <c r="D425" s="70">
        <v>165.45</v>
      </c>
      <c r="E425" s="70">
        <v>163.34</v>
      </c>
      <c r="F425" s="70">
        <v>15.57</v>
      </c>
      <c r="G425" s="70">
        <v>-5.1999999999999998E-3</v>
      </c>
      <c r="H425" s="70">
        <v>163.4128846153846</v>
      </c>
      <c r="I425" s="70">
        <v>161.0425925925926</v>
      </c>
      <c r="J425" s="70">
        <v>2.3702920227920004</v>
      </c>
      <c r="K425" s="70">
        <v>2.9390118708451936</v>
      </c>
      <c r="L425" s="70">
        <v>-0.5687198480531932</v>
      </c>
      <c r="M425" s="70">
        <v>7.5056239107516812E-2</v>
      </c>
      <c r="N425" s="70">
        <v>0</v>
      </c>
      <c r="O425" s="70">
        <v>1.1800947867298703</v>
      </c>
      <c r="P425" s="70">
        <v>0.22300564085259109</v>
      </c>
      <c r="Q425" s="70">
        <v>0.36961402837945251</v>
      </c>
      <c r="R425" s="70">
        <v>-0.24739035023398132</v>
      </c>
      <c r="S425" s="70">
        <v>0.19871626780968438</v>
      </c>
      <c r="T425" s="70">
        <v>62.844981358566258</v>
      </c>
      <c r="U425" s="70"/>
      <c r="V425" s="70">
        <v>-62.289999999999907</v>
      </c>
      <c r="W425" s="70">
        <v>96.830000000000098</v>
      </c>
    </row>
    <row r="426" spans="1:23" x14ac:dyDescent="0.25">
      <c r="A426" s="68">
        <v>43588</v>
      </c>
      <c r="B426" s="70">
        <v>166.31</v>
      </c>
      <c r="C426" s="70">
        <v>166.2</v>
      </c>
      <c r="D426" s="70">
        <v>166.98</v>
      </c>
      <c r="E426" s="70">
        <v>165.83</v>
      </c>
      <c r="F426" s="70">
        <v>13.23</v>
      </c>
      <c r="G426" s="70">
        <v>3.5999999999999999E-3</v>
      </c>
      <c r="H426" s="70">
        <v>163.4429487179487</v>
      </c>
      <c r="I426" s="70">
        <v>160.55537037037035</v>
      </c>
      <c r="J426" s="70">
        <v>2.8875783475783408</v>
      </c>
      <c r="K426" s="70">
        <v>3.1764254510921086</v>
      </c>
      <c r="L426" s="70">
        <v>-0.28884710351376786</v>
      </c>
      <c r="M426" s="70">
        <v>0.25087158615363564</v>
      </c>
      <c r="N426" s="70">
        <v>0.10236220472440734</v>
      </c>
      <c r="O426" s="70">
        <v>0</v>
      </c>
      <c r="P426" s="70">
        <v>0.27331673348085062</v>
      </c>
      <c r="Q426" s="70">
        <v>0.12322061136991913</v>
      </c>
      <c r="R426" s="70">
        <v>0.37851698978671899</v>
      </c>
      <c r="S426" s="70">
        <v>0.35317734314885052</v>
      </c>
      <c r="T426" s="70">
        <v>62.991098833640272</v>
      </c>
      <c r="U426" s="70"/>
      <c r="V426" s="70">
        <v>-62.289999999999907</v>
      </c>
      <c r="W426" s="70">
        <v>96.830000000000098</v>
      </c>
    </row>
    <row r="427" spans="1:23" x14ac:dyDescent="0.25">
      <c r="A427" s="68">
        <v>43587</v>
      </c>
      <c r="B427" s="70">
        <v>165.71</v>
      </c>
      <c r="C427" s="70">
        <v>163.66999999999999</v>
      </c>
      <c r="D427" s="70">
        <v>166.85</v>
      </c>
      <c r="E427" s="70">
        <v>163.66999999999999</v>
      </c>
      <c r="F427" s="70">
        <v>20.69</v>
      </c>
      <c r="G427" s="70">
        <v>1.0699999999999999E-2</v>
      </c>
      <c r="H427" s="70">
        <v>163.06365384615384</v>
      </c>
      <c r="I427" s="70">
        <v>159.91192307692307</v>
      </c>
      <c r="J427" s="70">
        <v>3.1517307692307668</v>
      </c>
      <c r="K427" s="70">
        <v>3.310042260208919</v>
      </c>
      <c r="L427" s="70">
        <v>-0.15831149097815223</v>
      </c>
      <c r="M427" s="70">
        <v>0.36454531792993322</v>
      </c>
      <c r="N427" s="70">
        <v>0.45597484276729106</v>
      </c>
      <c r="O427" s="70">
        <v>0</v>
      </c>
      <c r="P427" s="70">
        <v>0.31708366827437862</v>
      </c>
      <c r="Q427" s="70">
        <v>0.12941575850466364</v>
      </c>
      <c r="R427" s="70">
        <v>0.42030940806243317</v>
      </c>
      <c r="S427" s="70">
        <v>0.37231422149051491</v>
      </c>
      <c r="T427" s="70">
        <v>62.911126662001401</v>
      </c>
      <c r="U427" s="70"/>
      <c r="V427" s="70">
        <v>-62.289999999999907</v>
      </c>
      <c r="W427" s="70">
        <v>96.830000000000098</v>
      </c>
    </row>
    <row r="428" spans="1:23" x14ac:dyDescent="0.25">
      <c r="A428" s="68">
        <v>43585</v>
      </c>
      <c r="B428" s="70">
        <v>163.95</v>
      </c>
      <c r="C428" s="70">
        <v>164.1</v>
      </c>
      <c r="D428" s="70">
        <v>165.4</v>
      </c>
      <c r="E428" s="70">
        <v>163.01</v>
      </c>
      <c r="F428" s="70">
        <v>31.33</v>
      </c>
      <c r="G428" s="70">
        <v>1E-4</v>
      </c>
      <c r="H428" s="70">
        <v>162.27249999999998</v>
      </c>
      <c r="I428" s="70">
        <v>159.26196581196581</v>
      </c>
      <c r="J428" s="70">
        <v>3.0105341880341712</v>
      </c>
      <c r="K428" s="70">
        <v>3.3299112060778597</v>
      </c>
      <c r="L428" s="70">
        <v>-0.31937701804368857</v>
      </c>
      <c r="M428" s="70">
        <v>0.42946741387766918</v>
      </c>
      <c r="N428" s="70">
        <v>0.27615062761505965</v>
      </c>
      <c r="O428" s="70">
        <v>0</v>
      </c>
      <c r="P428" s="70">
        <v>0.26133021933390876</v>
      </c>
      <c r="Q428" s="70">
        <v>0.13302152773543252</v>
      </c>
      <c r="R428" s="70">
        <v>0.32536610412408024</v>
      </c>
      <c r="S428" s="70">
        <v>0.3603058398320701</v>
      </c>
      <c r="T428" s="70">
        <v>62.821352861823087</v>
      </c>
      <c r="U428" s="70"/>
      <c r="V428" s="70">
        <v>-62.289999999999907</v>
      </c>
      <c r="W428" s="70">
        <v>96.830000000000098</v>
      </c>
    </row>
    <row r="429" spans="1:23" x14ac:dyDescent="0.25">
      <c r="A429" s="68">
        <v>43584</v>
      </c>
      <c r="B429" s="70">
        <v>163.93</v>
      </c>
      <c r="C429" s="70">
        <v>161.19999999999999</v>
      </c>
      <c r="D429" s="70">
        <v>164.74</v>
      </c>
      <c r="E429" s="70">
        <v>160.68</v>
      </c>
      <c r="F429" s="70">
        <v>31.2</v>
      </c>
      <c r="G429" s="70">
        <v>1.8200000000000001E-2</v>
      </c>
      <c r="H429" s="70">
        <v>161.92884615384614</v>
      </c>
      <c r="I429" s="70">
        <v>158.84524216524215</v>
      </c>
      <c r="J429" s="70">
        <v>3.0836039886039828</v>
      </c>
      <c r="K429" s="70">
        <v>3.4051722063944183</v>
      </c>
      <c r="L429" s="70">
        <v>-0.32156821779043554</v>
      </c>
      <c r="M429" s="70">
        <v>0.51233929919399879</v>
      </c>
      <c r="N429" s="70">
        <v>0.92118226600985398</v>
      </c>
      <c r="O429" s="70">
        <v>0</v>
      </c>
      <c r="P429" s="70">
        <v>0.33526986255854574</v>
      </c>
      <c r="Q429" s="70">
        <v>0.18780991653604148</v>
      </c>
      <c r="R429" s="70">
        <v>0.28190718111441165</v>
      </c>
      <c r="S429" s="70">
        <v>0.34516470614788591</v>
      </c>
      <c r="T429" s="70">
        <v>50.26677682632095</v>
      </c>
      <c r="U429" s="70"/>
      <c r="V429" s="70">
        <v>-62.289999999999907</v>
      </c>
      <c r="W429" s="70">
        <v>96.830000000000098</v>
      </c>
    </row>
    <row r="430" spans="1:23" x14ac:dyDescent="0.25">
      <c r="A430" s="68">
        <v>43581</v>
      </c>
      <c r="B430" s="70">
        <v>161</v>
      </c>
      <c r="C430" s="70">
        <v>159.03</v>
      </c>
      <c r="D430" s="70">
        <v>161</v>
      </c>
      <c r="E430" s="70">
        <v>158.58000000000001</v>
      </c>
      <c r="F430" s="70">
        <v>17.63</v>
      </c>
      <c r="G430" s="70">
        <v>1.06E-2</v>
      </c>
      <c r="H430" s="70">
        <v>161.06275641025641</v>
      </c>
      <c r="I430" s="70">
        <v>158.21367521367523</v>
      </c>
      <c r="J430" s="70">
        <v>2.8490811965811815</v>
      </c>
      <c r="K430" s="70">
        <v>3.3797098765431981</v>
      </c>
      <c r="L430" s="70">
        <v>-0.53062867996201657</v>
      </c>
      <c r="M430" s="70">
        <v>0.58466781461652928</v>
      </c>
      <c r="N430" s="70">
        <v>0</v>
      </c>
      <c r="O430" s="70">
        <v>9.0909090909090912E-2</v>
      </c>
      <c r="P430" s="70">
        <v>0.18021231414341035</v>
      </c>
      <c r="Q430" s="70">
        <v>0.20079692952305447</v>
      </c>
      <c r="R430" s="70">
        <v>-5.4026551118701673E-2</v>
      </c>
      <c r="S430" s="70">
        <v>0.31833640527177648</v>
      </c>
      <c r="T430" s="70">
        <v>50.269464776552709</v>
      </c>
      <c r="U430" s="70"/>
      <c r="V430" s="70">
        <v>-62.289999999999907</v>
      </c>
      <c r="W430" s="70">
        <v>96.830000000000098</v>
      </c>
    </row>
    <row r="431" spans="1:23" x14ac:dyDescent="0.25">
      <c r="A431" s="68">
        <v>43580</v>
      </c>
      <c r="B431" s="70">
        <v>159.31</v>
      </c>
      <c r="C431" s="70">
        <v>160.25</v>
      </c>
      <c r="D431" s="70">
        <v>160.94999999999999</v>
      </c>
      <c r="E431" s="70">
        <v>158.80000000000001</v>
      </c>
      <c r="F431" s="70">
        <v>21.71</v>
      </c>
      <c r="G431" s="70">
        <v>-7.7999999999999996E-3</v>
      </c>
      <c r="H431" s="70">
        <v>160.93532051282051</v>
      </c>
      <c r="I431" s="70">
        <v>157.88656695156698</v>
      </c>
      <c r="J431" s="70">
        <v>3.0487535612535339</v>
      </c>
      <c r="K431" s="70">
        <v>3.3887269705602927</v>
      </c>
      <c r="L431" s="70">
        <v>-0.33997340930675879</v>
      </c>
      <c r="M431" s="70">
        <v>0.71853367145674552</v>
      </c>
      <c r="N431" s="70">
        <v>0</v>
      </c>
      <c r="O431" s="70">
        <v>0.17674418604651138</v>
      </c>
      <c r="P431" s="70">
        <v>0.22608756565246485</v>
      </c>
      <c r="Q431" s="70">
        <v>0.2070650799772514</v>
      </c>
      <c r="R431" s="70">
        <v>4.3916355740038493E-2</v>
      </c>
      <c r="S431" s="70">
        <v>0.36425645649212146</v>
      </c>
      <c r="T431" s="70">
        <v>50.317031780314728</v>
      </c>
      <c r="U431" s="70"/>
      <c r="V431" s="70">
        <v>-62.289999999999907</v>
      </c>
      <c r="W431" s="70">
        <v>96.830000000000098</v>
      </c>
    </row>
    <row r="432" spans="1:23" x14ac:dyDescent="0.25">
      <c r="A432" s="68">
        <v>43579</v>
      </c>
      <c r="B432" s="70">
        <v>160.57</v>
      </c>
      <c r="C432" s="70">
        <v>162.91</v>
      </c>
      <c r="D432" s="70">
        <v>163.07</v>
      </c>
      <c r="E432" s="70">
        <v>159.18</v>
      </c>
      <c r="F432" s="70">
        <v>25.76</v>
      </c>
      <c r="G432" s="70">
        <v>-1.14E-2</v>
      </c>
      <c r="H432" s="70">
        <v>161.36820512820515</v>
      </c>
      <c r="I432" s="70">
        <v>157.86522792022791</v>
      </c>
      <c r="J432" s="70">
        <v>3.5029772079772385</v>
      </c>
      <c r="K432" s="70">
        <v>3.4045257993035807</v>
      </c>
      <c r="L432" s="70">
        <v>9.845140867365787E-2</v>
      </c>
      <c r="M432" s="70">
        <v>0.85106554098007348</v>
      </c>
      <c r="N432" s="70">
        <v>0</v>
      </c>
      <c r="O432" s="70">
        <v>0.44473007712082158</v>
      </c>
      <c r="P432" s="70">
        <v>0.26599502661255725</v>
      </c>
      <c r="Q432" s="70">
        <v>0.23369531588589937</v>
      </c>
      <c r="R432" s="70">
        <v>6.4639453636744337E-2</v>
      </c>
      <c r="S432" s="70">
        <v>0.38964261928019922</v>
      </c>
      <c r="T432" s="70">
        <v>50.355097188556606</v>
      </c>
      <c r="U432" s="70"/>
      <c r="V432" s="70">
        <v>-62.289999999999907</v>
      </c>
      <c r="W432" s="70">
        <v>96.830000000000098</v>
      </c>
    </row>
    <row r="433" spans="1:23" x14ac:dyDescent="0.25">
      <c r="A433" s="68">
        <v>43578</v>
      </c>
      <c r="B433" s="70">
        <v>162.41999999999999</v>
      </c>
      <c r="C433" s="70">
        <v>163.5</v>
      </c>
      <c r="D433" s="70">
        <v>163.85</v>
      </c>
      <c r="E433" s="70">
        <v>160.91</v>
      </c>
      <c r="F433" s="70">
        <v>15.16</v>
      </c>
      <c r="G433" s="70">
        <v>-6.6E-3</v>
      </c>
      <c r="H433" s="70">
        <v>161.64788461538461</v>
      </c>
      <c r="I433" s="70">
        <v>157.8217094017094</v>
      </c>
      <c r="J433" s="70">
        <v>3.8261752136752136</v>
      </c>
      <c r="K433" s="70">
        <v>3.3013015194681778</v>
      </c>
      <c r="L433" s="70">
        <v>0.52487369420703578</v>
      </c>
      <c r="M433" s="70">
        <v>0.93688696868183852</v>
      </c>
      <c r="N433" s="70">
        <v>0</v>
      </c>
      <c r="O433" s="70">
        <v>0.6292517006802707</v>
      </c>
      <c r="P433" s="70">
        <v>0.29066973840383409</v>
      </c>
      <c r="Q433" s="70">
        <v>0.23073268559521704</v>
      </c>
      <c r="R433" s="70">
        <v>0.1149535369416045</v>
      </c>
      <c r="S433" s="70">
        <v>0.4078327330713542</v>
      </c>
      <c r="T433" s="70">
        <v>62.708563567934348</v>
      </c>
      <c r="U433" s="70"/>
      <c r="V433" s="70">
        <v>-62.289999999999907</v>
      </c>
      <c r="W433" s="70">
        <v>96.830000000000098</v>
      </c>
    </row>
    <row r="434" spans="1:23" x14ac:dyDescent="0.25">
      <c r="A434" s="68">
        <v>43577</v>
      </c>
      <c r="B434" s="70">
        <v>163.5</v>
      </c>
      <c r="C434" s="70">
        <v>163.21</v>
      </c>
      <c r="D434" s="70">
        <v>164.34</v>
      </c>
      <c r="E434" s="70">
        <v>162.76</v>
      </c>
      <c r="F434" s="70">
        <v>8.9499999999999993</v>
      </c>
      <c r="G434" s="70">
        <v>5.7000000000000002E-3</v>
      </c>
      <c r="H434" s="70">
        <v>161.54467948717951</v>
      </c>
      <c r="I434" s="70">
        <v>157.66737891737898</v>
      </c>
      <c r="J434" s="70">
        <v>3.877300569800525</v>
      </c>
      <c r="K434" s="70">
        <v>3.1212018043684528</v>
      </c>
      <c r="L434" s="70">
        <v>0.75609876543207211</v>
      </c>
      <c r="M434" s="70">
        <v>0.96909727309726645</v>
      </c>
      <c r="N434" s="70">
        <v>1</v>
      </c>
      <c r="O434" s="70">
        <v>0</v>
      </c>
      <c r="P434" s="70">
        <v>0.46821508462387867</v>
      </c>
      <c r="Q434" s="70">
        <v>9.9350462376259427E-2</v>
      </c>
      <c r="R434" s="70">
        <v>0.64990664813473875</v>
      </c>
      <c r="S434" s="70">
        <v>0.49161088826256916</v>
      </c>
      <c r="T434" s="70">
        <v>62.921548709279698</v>
      </c>
      <c r="U434" s="70"/>
      <c r="V434" s="70">
        <v>-62.289999999999907</v>
      </c>
      <c r="W434" s="70">
        <v>96.830000000000098</v>
      </c>
    </row>
    <row r="435" spans="1:23" x14ac:dyDescent="0.25">
      <c r="A435" s="68">
        <v>43574</v>
      </c>
      <c r="B435" s="70">
        <v>162.57</v>
      </c>
      <c r="C435" s="70">
        <v>161.94999999999999</v>
      </c>
      <c r="D435" s="70">
        <v>162.57</v>
      </c>
      <c r="E435" s="70">
        <v>161.5</v>
      </c>
      <c r="F435" s="70">
        <v>3.85</v>
      </c>
      <c r="G435" s="70">
        <v>4.7999999999999996E-3</v>
      </c>
      <c r="H435" s="70">
        <v>161.07653846153849</v>
      </c>
      <c r="I435" s="70">
        <v>157.28011396011399</v>
      </c>
      <c r="J435" s="70">
        <v>3.7964245014244966</v>
      </c>
      <c r="K435" s="70">
        <v>2.8693488445710642</v>
      </c>
      <c r="L435" s="70">
        <v>0.92707565685343241</v>
      </c>
      <c r="M435" s="70">
        <v>0.96922044463924395</v>
      </c>
      <c r="N435" s="70">
        <v>0</v>
      </c>
      <c r="O435" s="70">
        <v>0</v>
      </c>
      <c r="P435" s="70">
        <v>0.30491327015927333</v>
      </c>
      <c r="Q435" s="70">
        <v>9.9350462376259427E-2</v>
      </c>
      <c r="R435" s="70">
        <v>0.50848688922384577</v>
      </c>
      <c r="S435" s="70">
        <v>0.44688007619340897</v>
      </c>
      <c r="T435" s="70">
        <v>62.903713818009727</v>
      </c>
      <c r="U435" s="70"/>
      <c r="V435" s="70">
        <v>-62.289999999999907</v>
      </c>
      <c r="W435" s="70">
        <v>96.830000000000098</v>
      </c>
    </row>
    <row r="436" spans="1:23" x14ac:dyDescent="0.25">
      <c r="A436" s="68">
        <v>43573</v>
      </c>
      <c r="B436" s="70">
        <v>161.79</v>
      </c>
      <c r="C436" s="70">
        <v>163.75</v>
      </c>
      <c r="D436" s="70">
        <v>163.79</v>
      </c>
      <c r="E436" s="70">
        <v>160.85</v>
      </c>
      <c r="F436" s="70">
        <v>19.649999999999999</v>
      </c>
      <c r="G436" s="70">
        <v>-1.35E-2</v>
      </c>
      <c r="H436" s="70">
        <v>160.56307692307692</v>
      </c>
      <c r="I436" s="70">
        <v>156.87012820512822</v>
      </c>
      <c r="J436" s="70">
        <v>3.6929487179486955</v>
      </c>
      <c r="K436" s="70">
        <v>2.5582788857233218</v>
      </c>
      <c r="L436" s="70">
        <v>1.1346698322253737</v>
      </c>
      <c r="M436" s="70">
        <v>0.95898503838674276</v>
      </c>
      <c r="N436" s="70">
        <v>0</v>
      </c>
      <c r="O436" s="70">
        <v>0.52721088435374575</v>
      </c>
      <c r="P436" s="70">
        <v>0.33102316026916367</v>
      </c>
      <c r="Q436" s="70">
        <v>0.17466630299822311</v>
      </c>
      <c r="R436" s="70">
        <v>0.3091954027688843</v>
      </c>
      <c r="S436" s="70">
        <v>0.39089602060388862</v>
      </c>
      <c r="T436" s="70">
        <v>62.907454813435734</v>
      </c>
      <c r="U436" s="70"/>
      <c r="V436" s="70">
        <v>-62.289999999999907</v>
      </c>
      <c r="W436" s="70">
        <v>96.830000000000098</v>
      </c>
    </row>
    <row r="437" spans="1:23" x14ac:dyDescent="0.25">
      <c r="A437" s="68">
        <v>43572</v>
      </c>
      <c r="B437" s="70">
        <v>164</v>
      </c>
      <c r="C437" s="70">
        <v>163.4</v>
      </c>
      <c r="D437" s="70">
        <v>165.4</v>
      </c>
      <c r="E437" s="70">
        <v>162.4</v>
      </c>
      <c r="F437" s="70">
        <v>28.49</v>
      </c>
      <c r="G437" s="70">
        <v>1.0800000000000001E-2</v>
      </c>
      <c r="H437" s="70">
        <v>160.42429487179484</v>
      </c>
      <c r="I437" s="70">
        <v>156.73148148148147</v>
      </c>
      <c r="J437" s="70">
        <v>3.6928133903133755</v>
      </c>
      <c r="K437" s="70">
        <v>2.2359776828110114</v>
      </c>
      <c r="L437" s="70">
        <v>1.4568357075023641</v>
      </c>
      <c r="M437" s="70">
        <v>0.95320133997056866</v>
      </c>
      <c r="N437" s="70">
        <v>0.62658227848101911</v>
      </c>
      <c r="O437" s="70">
        <v>0</v>
      </c>
      <c r="P437" s="70">
        <v>0.46072933530153271</v>
      </c>
      <c r="Q437" s="70">
        <v>6.4589305166122338E-2</v>
      </c>
      <c r="R437" s="70">
        <v>0.75409475243968904</v>
      </c>
      <c r="S437" s="70">
        <v>0.44571925319310268</v>
      </c>
      <c r="T437" s="70">
        <v>75.433487859233892</v>
      </c>
      <c r="U437" s="70"/>
      <c r="V437" s="70">
        <v>-62.289999999999907</v>
      </c>
      <c r="W437" s="70">
        <v>96.830000000000098</v>
      </c>
    </row>
    <row r="438" spans="1:23" x14ac:dyDescent="0.25">
      <c r="A438" s="68">
        <v>43571</v>
      </c>
      <c r="B438" s="70">
        <v>162.24</v>
      </c>
      <c r="C438" s="70">
        <v>158.99</v>
      </c>
      <c r="D438" s="70">
        <v>163.41999999999999</v>
      </c>
      <c r="E438" s="70">
        <v>158.21</v>
      </c>
      <c r="F438" s="70">
        <v>27.28</v>
      </c>
      <c r="G438" s="70">
        <v>2.47E-2</v>
      </c>
      <c r="H438" s="70">
        <v>159.48576923076922</v>
      </c>
      <c r="I438" s="70">
        <v>156.16094017094017</v>
      </c>
      <c r="J438" s="70">
        <v>3.3248290598290566</v>
      </c>
      <c r="K438" s="70">
        <v>1.8334070908515359</v>
      </c>
      <c r="L438" s="70">
        <v>1.4914219689775208</v>
      </c>
      <c r="M438" s="70">
        <v>0.86493325541188759</v>
      </c>
      <c r="N438" s="70">
        <v>0.54126679462572058</v>
      </c>
      <c r="O438" s="70">
        <v>0</v>
      </c>
      <c r="P438" s="70">
        <v>0.43060730320082524</v>
      </c>
      <c r="Q438" s="70">
        <v>6.4589305166122338E-2</v>
      </c>
      <c r="R438" s="70">
        <v>0.73913672236518735</v>
      </c>
      <c r="S438" s="70">
        <v>0.39609003743620785</v>
      </c>
      <c r="T438" s="70">
        <v>62.962703035690609</v>
      </c>
      <c r="U438" s="70"/>
      <c r="V438" s="70">
        <v>-62.289999999999907</v>
      </c>
      <c r="W438" s="70">
        <v>96.830000000000098</v>
      </c>
    </row>
    <row r="439" spans="1:23" x14ac:dyDescent="0.25">
      <c r="A439" s="68">
        <v>43570</v>
      </c>
      <c r="B439" s="70">
        <v>158.33000000000001</v>
      </c>
      <c r="C439" s="70">
        <v>160</v>
      </c>
      <c r="D439" s="70">
        <v>160.6</v>
      </c>
      <c r="E439" s="70">
        <v>157.62</v>
      </c>
      <c r="F439" s="70">
        <v>18.39</v>
      </c>
      <c r="G439" s="70">
        <v>-5.0000000000000001E-3</v>
      </c>
      <c r="H439" s="70">
        <v>157.99365384615385</v>
      </c>
      <c r="I439" s="70">
        <v>155.49239316239314</v>
      </c>
      <c r="J439" s="70">
        <v>2.5012606837607052</v>
      </c>
      <c r="K439" s="70">
        <v>1.3488833491611274</v>
      </c>
      <c r="L439" s="70">
        <v>1.1523773345995778</v>
      </c>
      <c r="M439" s="70">
        <v>0.72917075580323731</v>
      </c>
      <c r="N439" s="70">
        <v>0</v>
      </c>
      <c r="O439" s="70">
        <v>9.3959731543624872E-2</v>
      </c>
      <c r="P439" s="70">
        <v>0.31759555487237806</v>
      </c>
      <c r="Q439" s="70">
        <v>8.4880255826200277E-2</v>
      </c>
      <c r="R439" s="70">
        <v>0.57820940503791574</v>
      </c>
      <c r="S439" s="70">
        <v>0.31282693710291537</v>
      </c>
      <c r="T439" s="70">
        <v>62.865698247150249</v>
      </c>
      <c r="U439" s="70"/>
      <c r="V439" s="70">
        <v>-62.289999999999907</v>
      </c>
      <c r="W439" s="70">
        <v>96.830000000000098</v>
      </c>
    </row>
    <row r="440" spans="1:23" x14ac:dyDescent="0.25">
      <c r="A440" s="68">
        <v>43567</v>
      </c>
      <c r="B440" s="70">
        <v>159.12</v>
      </c>
      <c r="C440" s="70">
        <v>158.51</v>
      </c>
      <c r="D440" s="70">
        <v>160.46</v>
      </c>
      <c r="E440" s="70">
        <v>157.9</v>
      </c>
      <c r="F440" s="70">
        <v>29.34</v>
      </c>
      <c r="G440" s="70">
        <v>6.7999999999999996E-3</v>
      </c>
      <c r="H440" s="70">
        <v>157.52641025641026</v>
      </c>
      <c r="I440" s="70">
        <v>155.32192307692307</v>
      </c>
      <c r="J440" s="70">
        <v>2.2044871794871881</v>
      </c>
      <c r="K440" s="70">
        <v>1.0291715732826821</v>
      </c>
      <c r="L440" s="70">
        <v>1.175315606204506</v>
      </c>
      <c r="M440" s="70">
        <v>0.66792255860632044</v>
      </c>
      <c r="N440" s="70">
        <v>0</v>
      </c>
      <c r="O440" s="70">
        <v>5.4687499999994622E-2</v>
      </c>
      <c r="P440" s="70">
        <v>0.31759555487237806</v>
      </c>
      <c r="Q440" s="70">
        <v>0.12232015034818895</v>
      </c>
      <c r="R440" s="70">
        <v>0.44389277810911759</v>
      </c>
      <c r="S440" s="70">
        <v>0.22991252705400422</v>
      </c>
      <c r="T440" s="70">
        <v>75.218357699652501</v>
      </c>
      <c r="U440" s="70">
        <v>1</v>
      </c>
      <c r="V440" s="70">
        <v>-62.289999999999907</v>
      </c>
      <c r="W440" s="70">
        <v>96.830000000000098</v>
      </c>
    </row>
    <row r="441" spans="1:23" x14ac:dyDescent="0.25">
      <c r="A441" s="68">
        <v>43566</v>
      </c>
      <c r="B441" s="70">
        <v>158.04</v>
      </c>
      <c r="C441" s="70">
        <v>162.38</v>
      </c>
      <c r="D441" s="70">
        <v>162.94999999999999</v>
      </c>
      <c r="E441" s="70">
        <v>158.04</v>
      </c>
      <c r="F441" s="70">
        <v>44.98</v>
      </c>
      <c r="G441" s="70">
        <v>-2.9700000000000001E-2</v>
      </c>
      <c r="H441" s="70">
        <v>156.68121794871792</v>
      </c>
      <c r="I441" s="70">
        <v>155.0667094017094</v>
      </c>
      <c r="J441" s="70">
        <v>1.6145085470085121</v>
      </c>
      <c r="K441" s="70">
        <v>0.67224770496991815</v>
      </c>
      <c r="L441" s="70">
        <v>0.94226084203859395</v>
      </c>
      <c r="M441" s="70">
        <v>0.57617015399920801</v>
      </c>
      <c r="N441" s="70">
        <v>0</v>
      </c>
      <c r="O441" s="70">
        <v>0.83095723014256928</v>
      </c>
      <c r="P441" s="70">
        <v>0.33724897837195572</v>
      </c>
      <c r="Q441" s="70">
        <v>0.22961005685207359</v>
      </c>
      <c r="R441" s="70">
        <v>0.18988657643490148</v>
      </c>
      <c r="S441" s="70">
        <v>0.16086705038753901</v>
      </c>
      <c r="T441" s="70">
        <v>75.138190954773876</v>
      </c>
      <c r="U441" s="70"/>
      <c r="V441" s="70">
        <v>-62.289999999999907</v>
      </c>
      <c r="W441" s="70">
        <v>95.750000000000085</v>
      </c>
    </row>
    <row r="442" spans="1:23" x14ac:dyDescent="0.25">
      <c r="A442" s="68">
        <v>43565</v>
      </c>
      <c r="B442" s="70">
        <v>162.88</v>
      </c>
      <c r="C442" s="70">
        <v>162.4</v>
      </c>
      <c r="D442" s="70">
        <v>164.95</v>
      </c>
      <c r="E442" s="70">
        <v>162.12</v>
      </c>
      <c r="F442" s="70">
        <v>38.96</v>
      </c>
      <c r="G442" s="70">
        <v>1.1000000000000001E-3</v>
      </c>
      <c r="H442" s="70">
        <v>156.9378846153846</v>
      </c>
      <c r="I442" s="70">
        <v>155.25286324786325</v>
      </c>
      <c r="J442" s="70">
        <v>1.6850213675213581</v>
      </c>
      <c r="K442" s="70">
        <v>0.4566427666983221</v>
      </c>
      <c r="L442" s="70">
        <v>1.228378600823036</v>
      </c>
      <c r="M442" s="70">
        <v>0.57432402102487079</v>
      </c>
      <c r="N442" s="70">
        <v>0.56537102473498346</v>
      </c>
      <c r="O442" s="70">
        <v>0</v>
      </c>
      <c r="P442" s="70">
        <v>0.41801626761981048</v>
      </c>
      <c r="Q442" s="70">
        <v>0.10356922130120329</v>
      </c>
      <c r="R442" s="70">
        <v>0.6028677043318309</v>
      </c>
      <c r="S442" s="70">
        <v>0.17886147206835779</v>
      </c>
      <c r="T442" s="70">
        <v>87.512695950680666</v>
      </c>
      <c r="U442" s="70"/>
      <c r="V442" s="70">
        <v>-62.289999999999907</v>
      </c>
      <c r="W442" s="70">
        <v>100.59000000000009</v>
      </c>
    </row>
    <row r="443" spans="1:23" x14ac:dyDescent="0.25">
      <c r="A443" s="68">
        <v>43564</v>
      </c>
      <c r="B443" s="70">
        <v>162.69999999999999</v>
      </c>
      <c r="C443" s="70">
        <v>160.41</v>
      </c>
      <c r="D443" s="70">
        <v>163.35</v>
      </c>
      <c r="E443" s="70">
        <v>159.80000000000001</v>
      </c>
      <c r="F443" s="70">
        <v>40.15</v>
      </c>
      <c r="G443" s="70">
        <v>1.37E-2</v>
      </c>
      <c r="H443" s="70">
        <v>156.16346153846158</v>
      </c>
      <c r="I443" s="70">
        <v>154.93753561253561</v>
      </c>
      <c r="J443" s="70">
        <v>1.2259259259259636</v>
      </c>
      <c r="K443" s="70">
        <v>0.13934219689776214</v>
      </c>
      <c r="L443" s="70">
        <v>1.0865837290282014</v>
      </c>
      <c r="M443" s="70">
        <v>0.50314488866625684</v>
      </c>
      <c r="N443" s="70">
        <v>0.69577464788732701</v>
      </c>
      <c r="O443" s="70">
        <v>0</v>
      </c>
      <c r="P443" s="70">
        <v>0.39936814621948702</v>
      </c>
      <c r="Q443" s="70">
        <v>0.15910359229298757</v>
      </c>
      <c r="R443" s="70">
        <v>0.43021792752925969</v>
      </c>
      <c r="S443" s="70">
        <v>8.3906046708467311E-2</v>
      </c>
      <c r="T443" s="70">
        <v>75.476997501631104</v>
      </c>
      <c r="U443" s="70"/>
      <c r="V443" s="70">
        <v>-62.289999999999907</v>
      </c>
      <c r="W443" s="70">
        <v>100.41000000000008</v>
      </c>
    </row>
    <row r="444" spans="1:23" x14ac:dyDescent="0.25">
      <c r="A444" s="68">
        <v>43563</v>
      </c>
      <c r="B444" s="70">
        <v>160.5</v>
      </c>
      <c r="C444" s="70">
        <v>158.81</v>
      </c>
      <c r="D444" s="70">
        <v>160.88</v>
      </c>
      <c r="E444" s="70">
        <v>158.81</v>
      </c>
      <c r="F444" s="70">
        <v>25.83</v>
      </c>
      <c r="G444" s="70">
        <v>1.2E-2</v>
      </c>
      <c r="H444" s="70">
        <v>155.0909615384615</v>
      </c>
      <c r="I444" s="70">
        <v>154.56125356125355</v>
      </c>
      <c r="J444" s="70">
        <v>0.52970797720794849</v>
      </c>
      <c r="K444" s="70">
        <v>-0.19046486229820009</v>
      </c>
      <c r="L444" s="70">
        <v>0.72017283950614863</v>
      </c>
      <c r="M444" s="70">
        <v>0.4231044530018796</v>
      </c>
      <c r="N444" s="70">
        <v>0.6052631578947345</v>
      </c>
      <c r="O444" s="70">
        <v>0</v>
      </c>
      <c r="P444" s="70">
        <v>0.35749987310346598</v>
      </c>
      <c r="Q444" s="70">
        <v>0.15910359229298757</v>
      </c>
      <c r="R444" s="70">
        <v>0.38403977924968913</v>
      </c>
      <c r="S444" s="70">
        <v>3.9457486908756952E-2</v>
      </c>
      <c r="T444" s="70">
        <v>75.226267984888679</v>
      </c>
      <c r="U444" s="70"/>
      <c r="V444" s="70">
        <v>-62.289999999999907</v>
      </c>
      <c r="W444" s="70">
        <v>98.210000000000093</v>
      </c>
    </row>
    <row r="445" spans="1:23" x14ac:dyDescent="0.25">
      <c r="A445" s="68">
        <v>43560</v>
      </c>
      <c r="B445" s="70">
        <v>158.6</v>
      </c>
      <c r="C445" s="70">
        <v>158.33000000000001</v>
      </c>
      <c r="D445" s="70">
        <v>159.5</v>
      </c>
      <c r="E445" s="70">
        <v>157.87</v>
      </c>
      <c r="F445" s="70">
        <v>22.89</v>
      </c>
      <c r="G445" s="70">
        <v>-1.8E-3</v>
      </c>
      <c r="H445" s="70">
        <v>154.43410256410255</v>
      </c>
      <c r="I445" s="70">
        <v>154.36673789173787</v>
      </c>
      <c r="J445" s="70">
        <v>6.7364672364675471E-2</v>
      </c>
      <c r="K445" s="70">
        <v>-0.40879677113010071</v>
      </c>
      <c r="L445" s="70">
        <v>0.47616144349477618</v>
      </c>
      <c r="M445" s="70">
        <v>0.38094793525562198</v>
      </c>
      <c r="N445" s="70">
        <v>0.37423312883436527</v>
      </c>
      <c r="O445" s="70">
        <v>0</v>
      </c>
      <c r="P445" s="70">
        <v>0.28458812227760655</v>
      </c>
      <c r="Q445" s="70">
        <v>0.17758977900347328</v>
      </c>
      <c r="R445" s="70">
        <v>0.23150899897539834</v>
      </c>
      <c r="S445" s="70">
        <v>-3.3086472552846143E-2</v>
      </c>
      <c r="T445" s="70">
        <v>62.881865881646917</v>
      </c>
      <c r="U445" s="70"/>
      <c r="V445" s="70">
        <v>-62.289999999999907</v>
      </c>
      <c r="W445" s="70">
        <v>96.310000000000088</v>
      </c>
    </row>
    <row r="446" spans="1:23" x14ac:dyDescent="0.25">
      <c r="A446" s="68">
        <v>43559</v>
      </c>
      <c r="B446" s="70">
        <v>158.88999999999999</v>
      </c>
      <c r="C446" s="70">
        <v>156.75</v>
      </c>
      <c r="D446" s="70">
        <v>158.88999999999999</v>
      </c>
      <c r="E446" s="70">
        <v>156.4</v>
      </c>
      <c r="F446" s="70">
        <v>23</v>
      </c>
      <c r="G446" s="70">
        <v>1.21E-2</v>
      </c>
      <c r="H446" s="70">
        <v>154.30173076923077</v>
      </c>
      <c r="I446" s="70">
        <v>154.30987179487178</v>
      </c>
      <c r="J446" s="70">
        <v>-8.1410256410094917E-3</v>
      </c>
      <c r="K446" s="70">
        <v>-0.52055001582779148</v>
      </c>
      <c r="L446" s="70">
        <v>0.51240899018678199</v>
      </c>
      <c r="M446" s="70">
        <v>0.3962484024364345</v>
      </c>
      <c r="N446" s="70">
        <v>0.52610441767067628</v>
      </c>
      <c r="O446" s="70">
        <v>0</v>
      </c>
      <c r="P446" s="70">
        <v>0.28160930889151692</v>
      </c>
      <c r="Q446" s="70">
        <v>0.17758977900347328</v>
      </c>
      <c r="R446" s="70">
        <v>0.22652381642323918</v>
      </c>
      <c r="S446" s="70">
        <v>-5.6576814395289207E-2</v>
      </c>
      <c r="T446" s="70">
        <v>63.265639151116588</v>
      </c>
      <c r="U446" s="70"/>
      <c r="V446" s="70">
        <v>-62.289999999999907</v>
      </c>
      <c r="W446" s="70">
        <v>96.60000000000008</v>
      </c>
    </row>
    <row r="447" spans="1:23" x14ac:dyDescent="0.25">
      <c r="A447" s="68">
        <v>43558</v>
      </c>
      <c r="B447" s="70">
        <v>156.99</v>
      </c>
      <c r="C447" s="70">
        <v>155.30000000000001</v>
      </c>
      <c r="D447" s="70">
        <v>157.58000000000001</v>
      </c>
      <c r="E447" s="70">
        <v>155.30000000000001</v>
      </c>
      <c r="F447" s="70">
        <v>33.85</v>
      </c>
      <c r="G447" s="70">
        <v>1.2800000000000001E-2</v>
      </c>
      <c r="H447" s="70">
        <v>153.77038461538459</v>
      </c>
      <c r="I447" s="70">
        <v>154.04341880341883</v>
      </c>
      <c r="J447" s="70">
        <v>-0.27303418803424506</v>
      </c>
      <c r="K447" s="70">
        <v>-0.66055112377335889</v>
      </c>
      <c r="L447" s="70">
        <v>0.38751693573911383</v>
      </c>
      <c r="M447" s="70">
        <v>0.4040159808535782</v>
      </c>
      <c r="N447" s="70">
        <v>0.68992248062015216</v>
      </c>
      <c r="O447" s="70">
        <v>0</v>
      </c>
      <c r="P447" s="70">
        <v>0.31427972990601272</v>
      </c>
      <c r="Q447" s="70">
        <v>0.17758977900347328</v>
      </c>
      <c r="R447" s="70">
        <v>0.27789880939274314</v>
      </c>
      <c r="S447" s="70">
        <v>-5.0117562186878094E-2</v>
      </c>
      <c r="T447" s="70">
        <v>50.573826301671033</v>
      </c>
      <c r="U447" s="70"/>
      <c r="V447" s="70">
        <v>-62.289999999999907</v>
      </c>
      <c r="W447" s="70">
        <v>94.700000000000102</v>
      </c>
    </row>
    <row r="448" spans="1:23" x14ac:dyDescent="0.25">
      <c r="A448" s="68">
        <v>43557</v>
      </c>
      <c r="B448" s="70">
        <v>155</v>
      </c>
      <c r="C448" s="70">
        <v>154.85</v>
      </c>
      <c r="D448" s="70">
        <v>155.80000000000001</v>
      </c>
      <c r="E448" s="70">
        <v>153.30000000000001</v>
      </c>
      <c r="F448" s="70">
        <v>30.99</v>
      </c>
      <c r="G448" s="70">
        <v>3.0000000000000001E-3</v>
      </c>
      <c r="H448" s="70">
        <v>153.38314102564101</v>
      </c>
      <c r="I448" s="70">
        <v>153.8108974358974</v>
      </c>
      <c r="J448" s="70">
        <v>-0.42775641025639288</v>
      </c>
      <c r="K448" s="70">
        <v>-0.74980769230768507</v>
      </c>
      <c r="L448" s="70">
        <v>0.32205128205129219</v>
      </c>
      <c r="M448" s="70">
        <v>0.42746622418417413</v>
      </c>
      <c r="N448" s="70">
        <v>0.39600000000000363</v>
      </c>
      <c r="O448" s="70">
        <v>0</v>
      </c>
      <c r="P448" s="70">
        <v>0.22680140977653085</v>
      </c>
      <c r="Q448" s="70">
        <v>0.18889276173502714</v>
      </c>
      <c r="R448" s="70">
        <v>9.1193600101871275E-2</v>
      </c>
      <c r="S448" s="70">
        <v>-0.10776251744253738</v>
      </c>
      <c r="T448" s="70">
        <v>37.841243175136498</v>
      </c>
      <c r="U448" s="70"/>
      <c r="V448" s="70">
        <v>-62.289999999999907</v>
      </c>
      <c r="W448" s="70">
        <v>92.710000000000093</v>
      </c>
    </row>
    <row r="449" spans="1:23" x14ac:dyDescent="0.25">
      <c r="A449" s="68">
        <v>43556</v>
      </c>
      <c r="B449" s="70">
        <v>154.53</v>
      </c>
      <c r="C449" s="70">
        <v>150.28</v>
      </c>
      <c r="D449" s="70">
        <v>154.81</v>
      </c>
      <c r="E449" s="70">
        <v>149.91999999999999</v>
      </c>
      <c r="F449" s="70">
        <v>37.03</v>
      </c>
      <c r="G449" s="70">
        <v>3.2899999999999999E-2</v>
      </c>
      <c r="H449" s="70">
        <v>153.27980769230768</v>
      </c>
      <c r="I449" s="70">
        <v>153.76326210826207</v>
      </c>
      <c r="J449" s="70">
        <v>-0.48345441595438388</v>
      </c>
      <c r="K449" s="70">
        <v>-0.83237875910097303</v>
      </c>
      <c r="L449" s="70">
        <v>0.34892434314658916</v>
      </c>
      <c r="M449" s="70">
        <v>0.45709974988607938</v>
      </c>
      <c r="N449" s="70">
        <v>0.609615384615389</v>
      </c>
      <c r="O449" s="70">
        <v>0</v>
      </c>
      <c r="P449" s="70">
        <v>0.26999274785022148</v>
      </c>
      <c r="Q449" s="70">
        <v>0.18889276173502714</v>
      </c>
      <c r="R449" s="70">
        <v>0.17673250608522023</v>
      </c>
      <c r="S449" s="70">
        <v>-9.5272479509929231E-2</v>
      </c>
      <c r="T449" s="70">
        <v>25.06997958242772</v>
      </c>
      <c r="U449" s="70"/>
      <c r="V449" s="70">
        <v>-62.289999999999907</v>
      </c>
      <c r="W449" s="70">
        <v>92.240000000000094</v>
      </c>
    </row>
    <row r="450" spans="1:23" x14ac:dyDescent="0.25">
      <c r="A450" s="68">
        <v>43553</v>
      </c>
      <c r="B450" s="70">
        <v>149.61000000000001</v>
      </c>
      <c r="C450" s="70">
        <v>150.16999999999999</v>
      </c>
      <c r="D450" s="70">
        <v>151.63999999999999</v>
      </c>
      <c r="E450" s="70">
        <v>149.13</v>
      </c>
      <c r="F450" s="70">
        <v>26.45</v>
      </c>
      <c r="G450" s="70">
        <v>-2.5000000000000001E-3</v>
      </c>
      <c r="H450" s="70">
        <v>152.39243589743589</v>
      </c>
      <c r="I450" s="70">
        <v>153.36213675213673</v>
      </c>
      <c r="J450" s="70">
        <v>-0.96970085470084655</v>
      </c>
      <c r="K450" s="70">
        <v>-1.0128670465337091</v>
      </c>
      <c r="L450" s="70">
        <v>4.3166191832862522E-2</v>
      </c>
      <c r="M450" s="70">
        <v>0.43171512058691641</v>
      </c>
      <c r="N450" s="70">
        <v>0.35458167330676876</v>
      </c>
      <c r="O450" s="70">
        <v>0</v>
      </c>
      <c r="P450" s="70">
        <v>0.20210619829802579</v>
      </c>
      <c r="Q450" s="70">
        <v>0.18889276173502714</v>
      </c>
      <c r="R450" s="70">
        <v>3.3794045288206523E-2</v>
      </c>
      <c r="S450" s="70">
        <v>-0.13737879125122088</v>
      </c>
      <c r="T450" s="70">
        <v>25.166091103436926</v>
      </c>
      <c r="U450" s="70"/>
      <c r="V450" s="70">
        <v>-62.289999999999907</v>
      </c>
      <c r="W450" s="70">
        <v>87.320000000000107</v>
      </c>
    </row>
    <row r="451" spans="1:23" x14ac:dyDescent="0.25">
      <c r="A451" s="68">
        <v>43552</v>
      </c>
      <c r="B451" s="70">
        <v>149.97999999999999</v>
      </c>
      <c r="C451" s="70">
        <v>149.79</v>
      </c>
      <c r="D451" s="70">
        <v>150.75</v>
      </c>
      <c r="E451" s="70">
        <v>148.83000000000001</v>
      </c>
      <c r="F451" s="70">
        <v>16.39</v>
      </c>
      <c r="G451" s="70">
        <v>3.3E-3</v>
      </c>
      <c r="H451" s="70">
        <v>152.70955128205125</v>
      </c>
      <c r="I451" s="70">
        <v>153.56119658119655</v>
      </c>
      <c r="J451" s="70">
        <v>-0.85164529914530362</v>
      </c>
      <c r="K451" s="70">
        <v>-1.0185993985438377</v>
      </c>
      <c r="L451" s="70">
        <v>0.16695409939853412</v>
      </c>
      <c r="M451" s="70">
        <v>0.47164374593434305</v>
      </c>
      <c r="N451" s="70">
        <v>0</v>
      </c>
      <c r="O451" s="70">
        <v>0.10416666666666143</v>
      </c>
      <c r="P451" s="70">
        <v>0.14307188090378381</v>
      </c>
      <c r="Q451" s="70">
        <v>0.20377371411597878</v>
      </c>
      <c r="R451" s="70">
        <v>-0.17501111181399404</v>
      </c>
      <c r="S451" s="70">
        <v>-0.18119275316966652</v>
      </c>
      <c r="T451" s="70">
        <v>25.044800301123487</v>
      </c>
      <c r="U451" s="70"/>
      <c r="V451" s="70">
        <v>-62.289999999999907</v>
      </c>
      <c r="W451" s="70">
        <v>87.690000000000083</v>
      </c>
    </row>
    <row r="452" spans="1:23" x14ac:dyDescent="0.25">
      <c r="A452" s="68">
        <v>43551</v>
      </c>
      <c r="B452" s="70">
        <v>149.49</v>
      </c>
      <c r="C452" s="70">
        <v>150.88</v>
      </c>
      <c r="D452" s="70">
        <v>151.44</v>
      </c>
      <c r="E452" s="70">
        <v>149.03</v>
      </c>
      <c r="F452" s="70">
        <v>23.94</v>
      </c>
      <c r="G452" s="70">
        <v>-1.0800000000000001E-2</v>
      </c>
      <c r="H452" s="70">
        <v>152.75121794871797</v>
      </c>
      <c r="I452" s="70">
        <v>153.66913105413104</v>
      </c>
      <c r="J452" s="70">
        <v>-0.9179131054130778</v>
      </c>
      <c r="K452" s="70">
        <v>-1.0916598607154033</v>
      </c>
      <c r="L452" s="70">
        <v>0.17374675530232553</v>
      </c>
      <c r="M452" s="70">
        <v>0.47248981281460067</v>
      </c>
      <c r="N452" s="70">
        <v>0</v>
      </c>
      <c r="O452" s="70">
        <v>0.74688796680498504</v>
      </c>
      <c r="P452" s="70">
        <v>0.14307188090378381</v>
      </c>
      <c r="Q452" s="70">
        <v>0.32471752846630764</v>
      </c>
      <c r="R452" s="70">
        <v>-0.3883064556915074</v>
      </c>
      <c r="S452" s="70">
        <v>-0.23135655471335309</v>
      </c>
      <c r="T452" s="70">
        <v>25.402500101795667</v>
      </c>
      <c r="U452" s="70"/>
      <c r="V452" s="70">
        <v>-62.289999999999907</v>
      </c>
      <c r="W452" s="70">
        <v>87.200000000000102</v>
      </c>
    </row>
    <row r="453" spans="1:23" x14ac:dyDescent="0.25">
      <c r="A453" s="68">
        <v>43550</v>
      </c>
      <c r="B453" s="70">
        <v>151.12</v>
      </c>
      <c r="C453" s="70">
        <v>151.99</v>
      </c>
      <c r="D453" s="70">
        <v>152.91</v>
      </c>
      <c r="E453" s="70">
        <v>150.83000000000001</v>
      </c>
      <c r="F453" s="70">
        <v>21.64</v>
      </c>
      <c r="G453" s="70">
        <v>-7.7000000000000002E-3</v>
      </c>
      <c r="H453" s="70">
        <v>153.15076923076921</v>
      </c>
      <c r="I453" s="70">
        <v>154.03702279202278</v>
      </c>
      <c r="J453" s="70">
        <v>-0.88625356125356802</v>
      </c>
      <c r="K453" s="70">
        <v>-1.174943019943012</v>
      </c>
      <c r="L453" s="70">
        <v>0.28868945868944396</v>
      </c>
      <c r="M453" s="70">
        <v>0.47749632134247216</v>
      </c>
      <c r="N453" s="70">
        <v>0.29807692307692757</v>
      </c>
      <c r="O453" s="70">
        <v>0</v>
      </c>
      <c r="P453" s="70">
        <v>0.18565429848620202</v>
      </c>
      <c r="Q453" s="70">
        <v>0.20641440744462741</v>
      </c>
      <c r="R453" s="70">
        <v>-5.2950181038136687E-2</v>
      </c>
      <c r="S453" s="70">
        <v>-0.19039748156120051</v>
      </c>
      <c r="T453" s="70">
        <v>37.833125172341077</v>
      </c>
      <c r="U453" s="70"/>
      <c r="V453" s="70">
        <v>-62.289999999999907</v>
      </c>
      <c r="W453" s="70">
        <v>88.830000000000098</v>
      </c>
    </row>
    <row r="454" spans="1:23" x14ac:dyDescent="0.25">
      <c r="A454" s="68">
        <v>43549</v>
      </c>
      <c r="B454" s="70">
        <v>152.29</v>
      </c>
      <c r="C454" s="70">
        <v>151.21</v>
      </c>
      <c r="D454" s="70">
        <v>152.29</v>
      </c>
      <c r="E454" s="70">
        <v>150.72</v>
      </c>
      <c r="F454" s="70">
        <v>22.54</v>
      </c>
      <c r="G454" s="70">
        <v>0</v>
      </c>
      <c r="H454" s="70">
        <v>153.38576923076923</v>
      </c>
      <c r="I454" s="70">
        <v>154.40574074074078</v>
      </c>
      <c r="J454" s="70">
        <v>-1.0199715099715547</v>
      </c>
      <c r="K454" s="70">
        <v>-1.3143108578664111</v>
      </c>
      <c r="L454" s="70">
        <v>0.29433934789485638</v>
      </c>
      <c r="M454" s="70">
        <v>0.44751489030120695</v>
      </c>
      <c r="N454" s="70">
        <v>0</v>
      </c>
      <c r="O454" s="70">
        <v>0.71974522292993659</v>
      </c>
      <c r="P454" s="70">
        <v>0.12341845740420618</v>
      </c>
      <c r="Q454" s="70">
        <v>0.31114628592339144</v>
      </c>
      <c r="R454" s="70">
        <v>-0.43199047184936079</v>
      </c>
      <c r="S454" s="70">
        <v>-0.25709211025404799</v>
      </c>
      <c r="T454" s="70">
        <v>37.785319703866911</v>
      </c>
      <c r="U454" s="70"/>
      <c r="V454" s="70">
        <v>-62.289999999999907</v>
      </c>
      <c r="W454" s="70">
        <v>90.000000000000085</v>
      </c>
    </row>
    <row r="455" spans="1:23" x14ac:dyDescent="0.25">
      <c r="A455" s="68">
        <v>43546</v>
      </c>
      <c r="B455" s="70">
        <v>152.29</v>
      </c>
      <c r="C455" s="70">
        <v>155.02000000000001</v>
      </c>
      <c r="D455" s="70">
        <v>155.02000000000001</v>
      </c>
      <c r="E455" s="70">
        <v>151.85</v>
      </c>
      <c r="F455" s="70">
        <v>23.21</v>
      </c>
      <c r="G455" s="70">
        <v>-1.9599999999999999E-2</v>
      </c>
      <c r="H455" s="70">
        <v>153.52044871794871</v>
      </c>
      <c r="I455" s="70">
        <v>154.50759259259257</v>
      </c>
      <c r="J455" s="70">
        <v>-0.98714387464386277</v>
      </c>
      <c r="K455" s="70">
        <v>-1.4431945235833945</v>
      </c>
      <c r="L455" s="70">
        <v>0.45605064893953173</v>
      </c>
      <c r="M455" s="70">
        <v>0.41971106449739087</v>
      </c>
      <c r="N455" s="70">
        <v>0</v>
      </c>
      <c r="O455" s="70">
        <v>0.84227129337539508</v>
      </c>
      <c r="P455" s="70">
        <v>0.12341845740420618</v>
      </c>
      <c r="Q455" s="70">
        <v>0.33642476509026353</v>
      </c>
      <c r="R455" s="70">
        <v>-0.4632150638876037</v>
      </c>
      <c r="S455" s="70">
        <v>-0.26101118880286572</v>
      </c>
      <c r="T455" s="70">
        <v>50.16146132616808</v>
      </c>
      <c r="U455" s="70">
        <v>-1</v>
      </c>
      <c r="V455" s="70">
        <v>-62.289999999999907</v>
      </c>
      <c r="W455" s="70">
        <v>90.000000000000085</v>
      </c>
    </row>
    <row r="456" spans="1:23" x14ac:dyDescent="0.25">
      <c r="A456" s="68">
        <v>43545</v>
      </c>
      <c r="B456" s="70">
        <v>155.33000000000001</v>
      </c>
      <c r="C456" s="70">
        <v>156.4</v>
      </c>
      <c r="D456" s="70">
        <v>156.69999999999999</v>
      </c>
      <c r="E456" s="70">
        <v>154.52000000000001</v>
      </c>
      <c r="F456" s="70">
        <v>28.16</v>
      </c>
      <c r="G456" s="70">
        <v>-4.8999999999999998E-3</v>
      </c>
      <c r="H456" s="70">
        <v>154.05230769230772</v>
      </c>
      <c r="I456" s="70">
        <v>154.9813532763533</v>
      </c>
      <c r="J456" s="70">
        <v>-0.92904558404558202</v>
      </c>
      <c r="K456" s="70">
        <v>-1.5955729661285092</v>
      </c>
      <c r="L456" s="70">
        <v>0.66652738208292717</v>
      </c>
      <c r="M456" s="70">
        <v>0.38822213177768883</v>
      </c>
      <c r="N456" s="70">
        <v>0.2568807339449577</v>
      </c>
      <c r="O456" s="70">
        <v>0</v>
      </c>
      <c r="P456" s="70">
        <v>0.1601157051106287</v>
      </c>
      <c r="Q456" s="70">
        <v>0.21392781596122337</v>
      </c>
      <c r="R456" s="70">
        <v>-0.14386590816061109</v>
      </c>
      <c r="S456" s="70">
        <v>-0.21415026119352984</v>
      </c>
      <c r="T456" s="70">
        <v>62.467002445462938</v>
      </c>
      <c r="U456" s="70"/>
      <c r="V456" s="70">
        <v>-64.029999999999916</v>
      </c>
      <c r="W456" s="70">
        <v>90.000000000000085</v>
      </c>
    </row>
    <row r="457" spans="1:23" x14ac:dyDescent="0.25">
      <c r="A457" s="68">
        <v>43544</v>
      </c>
      <c r="B457" s="70">
        <v>156.09</v>
      </c>
      <c r="C457" s="70">
        <v>155.51</v>
      </c>
      <c r="D457" s="70">
        <v>156.13999999999999</v>
      </c>
      <c r="E457" s="70">
        <v>154</v>
      </c>
      <c r="F457" s="70">
        <v>20.100000000000001</v>
      </c>
      <c r="G457" s="70">
        <v>3.8E-3</v>
      </c>
      <c r="H457" s="70">
        <v>154.10365384615386</v>
      </c>
      <c r="I457" s="70">
        <v>155.33501424501426</v>
      </c>
      <c r="J457" s="70">
        <v>-1.2313603988604029</v>
      </c>
      <c r="K457" s="70">
        <v>-1.8408507439062867</v>
      </c>
      <c r="L457" s="70">
        <v>0.60949034504588373</v>
      </c>
      <c r="M457" s="70">
        <v>0.2871754102181478</v>
      </c>
      <c r="N457" s="70">
        <v>0</v>
      </c>
      <c r="O457" s="70">
        <v>0.28037383177570008</v>
      </c>
      <c r="P457" s="70">
        <v>0.11258627226009442</v>
      </c>
      <c r="Q457" s="70">
        <v>0.25398122050060912</v>
      </c>
      <c r="R457" s="70">
        <v>-0.38572691532366121</v>
      </c>
      <c r="S457" s="70">
        <v>-0.24755392799120834</v>
      </c>
      <c r="T457" s="70">
        <v>62.656248730923245</v>
      </c>
      <c r="U457" s="70"/>
      <c r="V457" s="70">
        <v>-64.029999999999916</v>
      </c>
      <c r="W457" s="70">
        <v>90.000000000000085</v>
      </c>
    </row>
    <row r="458" spans="1:23" x14ac:dyDescent="0.25">
      <c r="A458" s="68">
        <v>43543</v>
      </c>
      <c r="B458" s="70">
        <v>155.5</v>
      </c>
      <c r="C458" s="70">
        <v>155.84</v>
      </c>
      <c r="D458" s="70">
        <v>156.44999999999999</v>
      </c>
      <c r="E458" s="70">
        <v>154.6</v>
      </c>
      <c r="F458" s="70">
        <v>17.54</v>
      </c>
      <c r="G458" s="70">
        <v>-2.2000000000000001E-3</v>
      </c>
      <c r="H458" s="70">
        <v>154.0566025641026</v>
      </c>
      <c r="I458" s="70">
        <v>155.47649572649573</v>
      </c>
      <c r="J458" s="70">
        <v>-1.419893162393123</v>
      </c>
      <c r="K458" s="70">
        <v>-2.0495753402975425</v>
      </c>
      <c r="L458" s="70">
        <v>0.62968217790441949</v>
      </c>
      <c r="M458" s="70">
        <v>0.19402318163002785</v>
      </c>
      <c r="N458" s="70">
        <v>0</v>
      </c>
      <c r="O458" s="70">
        <v>0</v>
      </c>
      <c r="P458" s="70">
        <v>0.15545362162899182</v>
      </c>
      <c r="Q458" s="70">
        <v>0.19544162925073766</v>
      </c>
      <c r="R458" s="70">
        <v>-0.11395995677197655</v>
      </c>
      <c r="S458" s="70">
        <v>-0.17339514077541934</v>
      </c>
      <c r="T458" s="70">
        <v>50.149141823279166</v>
      </c>
      <c r="U458" s="70"/>
      <c r="V458" s="70">
        <v>-64.029999999999916</v>
      </c>
      <c r="W458" s="70">
        <v>90.000000000000085</v>
      </c>
    </row>
    <row r="459" spans="1:23" x14ac:dyDescent="0.25">
      <c r="A459" s="68">
        <v>43542</v>
      </c>
      <c r="B459" s="70">
        <v>155.84</v>
      </c>
      <c r="C459" s="70">
        <v>154.19999999999999</v>
      </c>
      <c r="D459" s="70">
        <v>156.47999999999999</v>
      </c>
      <c r="E459" s="70">
        <v>153.6</v>
      </c>
      <c r="F459" s="70">
        <v>22.07</v>
      </c>
      <c r="G459" s="70">
        <v>8.3000000000000001E-3</v>
      </c>
      <c r="H459" s="70">
        <v>154.35500000000002</v>
      </c>
      <c r="I459" s="70">
        <v>155.65481481481478</v>
      </c>
      <c r="J459" s="70">
        <v>-1.2998148148147664</v>
      </c>
      <c r="K459" s="70">
        <v>-2.2006315289648426</v>
      </c>
      <c r="L459" s="70">
        <v>0.90081671415007625</v>
      </c>
      <c r="M459" s="70">
        <v>0.12042373960323753</v>
      </c>
      <c r="N459" s="70">
        <v>0.66666666666666341</v>
      </c>
      <c r="O459" s="70">
        <v>0</v>
      </c>
      <c r="P459" s="70">
        <v>0.30134492631857879</v>
      </c>
      <c r="Q459" s="70">
        <v>0.19544162925073766</v>
      </c>
      <c r="R459" s="70">
        <v>0.21317665681688217</v>
      </c>
      <c r="S459" s="70">
        <v>-0.10940431010656129</v>
      </c>
      <c r="T459" s="70">
        <v>62.7826909897856</v>
      </c>
      <c r="U459" s="70"/>
      <c r="V459" s="70">
        <v>-64.029999999999916</v>
      </c>
      <c r="W459" s="70">
        <v>90.000000000000085</v>
      </c>
    </row>
    <row r="460" spans="1:23" x14ac:dyDescent="0.25">
      <c r="A460" s="68">
        <v>43539</v>
      </c>
      <c r="B460" s="70">
        <v>154.56</v>
      </c>
      <c r="C460" s="70">
        <v>152.97999999999999</v>
      </c>
      <c r="D460" s="70">
        <v>154.56</v>
      </c>
      <c r="E460" s="70">
        <v>152.11000000000001</v>
      </c>
      <c r="F460" s="70">
        <v>33.33</v>
      </c>
      <c r="G460" s="70">
        <v>1.23E-2</v>
      </c>
      <c r="H460" s="70">
        <v>154.19756410256412</v>
      </c>
      <c r="I460" s="70">
        <v>155.72203703703704</v>
      </c>
      <c r="J460" s="70">
        <v>-1.5244729344729251</v>
      </c>
      <c r="K460" s="70">
        <v>-2.4094941437163575</v>
      </c>
      <c r="L460" s="70">
        <v>0.88502120924343242</v>
      </c>
      <c r="M460" s="70">
        <v>-2.2007207733699602E-2</v>
      </c>
      <c r="N460" s="70">
        <v>0</v>
      </c>
      <c r="O460" s="70">
        <v>0.17142857142856713</v>
      </c>
      <c r="P460" s="70">
        <v>0.16215078712444028</v>
      </c>
      <c r="Q460" s="70">
        <v>0.23914056248847798</v>
      </c>
      <c r="R460" s="70">
        <v>-0.19185505852119986</v>
      </c>
      <c r="S460" s="70">
        <v>-0.21354751247086709</v>
      </c>
      <c r="T460" s="70">
        <v>50.176603329299802</v>
      </c>
      <c r="U460" s="70"/>
      <c r="V460" s="70">
        <v>-64.029999999999916</v>
      </c>
      <c r="W460" s="70">
        <v>90.000000000000085</v>
      </c>
    </row>
    <row r="461" spans="1:23" x14ac:dyDescent="0.25">
      <c r="A461" s="68">
        <v>43538</v>
      </c>
      <c r="B461" s="70">
        <v>152.68</v>
      </c>
      <c r="C461" s="70">
        <v>153.38999999999999</v>
      </c>
      <c r="D461" s="70">
        <v>154.4</v>
      </c>
      <c r="E461" s="70">
        <v>152.53</v>
      </c>
      <c r="F461" s="70">
        <v>19.96</v>
      </c>
      <c r="G461" s="70">
        <v>-4.0000000000000001E-3</v>
      </c>
      <c r="H461" s="70">
        <v>153.96474358974362</v>
      </c>
      <c r="I461" s="70">
        <v>155.89082621082619</v>
      </c>
      <c r="J461" s="70">
        <v>-1.9260826210825712</v>
      </c>
      <c r="K461" s="70">
        <v>-2.6393507439062827</v>
      </c>
      <c r="L461" s="70">
        <v>0.71326812282371144</v>
      </c>
      <c r="M461" s="70">
        <v>-0.20070526561123814</v>
      </c>
      <c r="N461" s="70">
        <v>0.58823529411764264</v>
      </c>
      <c r="O461" s="70">
        <v>0</v>
      </c>
      <c r="P461" s="70">
        <v>0.2461844005698178</v>
      </c>
      <c r="Q461" s="70">
        <v>0.20334778383855742</v>
      </c>
      <c r="R461" s="70">
        <v>9.5291545782505468E-2</v>
      </c>
      <c r="S461" s="70">
        <v>-0.19204927698866067</v>
      </c>
      <c r="T461" s="70">
        <v>37.544565466261076</v>
      </c>
      <c r="U461" s="70"/>
      <c r="V461" s="70">
        <v>-64.029999999999916</v>
      </c>
      <c r="W461" s="70">
        <v>90.000000000000085</v>
      </c>
    </row>
    <row r="462" spans="1:23" x14ac:dyDescent="0.25">
      <c r="A462" s="68">
        <v>43537</v>
      </c>
      <c r="B462" s="70">
        <v>153.30000000000001</v>
      </c>
      <c r="C462" s="70">
        <v>151.1</v>
      </c>
      <c r="D462" s="70">
        <v>153.30000000000001</v>
      </c>
      <c r="E462" s="70">
        <v>150.66</v>
      </c>
      <c r="F462" s="70">
        <v>18.55</v>
      </c>
      <c r="G462" s="70">
        <v>1.09E-2</v>
      </c>
      <c r="H462" s="70">
        <v>154.19551282051282</v>
      </c>
      <c r="I462" s="70">
        <v>156.34878917378916</v>
      </c>
      <c r="J462" s="70">
        <v>-2.1532763532763397</v>
      </c>
      <c r="K462" s="70">
        <v>-2.7796764798986979</v>
      </c>
      <c r="L462" s="70">
        <v>0.62640012662235822</v>
      </c>
      <c r="M462" s="70">
        <v>-0.36765211553245175</v>
      </c>
      <c r="N462" s="70">
        <v>0.13257575757576545</v>
      </c>
      <c r="O462" s="70">
        <v>0</v>
      </c>
      <c r="P462" s="70">
        <v>0.14963144372274562</v>
      </c>
      <c r="Q462" s="70">
        <v>0.20334778383855742</v>
      </c>
      <c r="R462" s="70">
        <v>-0.15217989026417345</v>
      </c>
      <c r="S462" s="70">
        <v>-0.2612961163311423</v>
      </c>
      <c r="T462" s="70">
        <v>37.421247809609191</v>
      </c>
      <c r="U462" s="70"/>
      <c r="V462" s="70">
        <v>-64.029999999999916</v>
      </c>
      <c r="W462" s="70">
        <v>90.000000000000085</v>
      </c>
    </row>
    <row r="463" spans="1:23" x14ac:dyDescent="0.25">
      <c r="A463" s="68">
        <v>43536</v>
      </c>
      <c r="B463" s="70">
        <v>151.63999999999999</v>
      </c>
      <c r="C463" s="70">
        <v>152.24</v>
      </c>
      <c r="D463" s="70">
        <v>152.94999999999999</v>
      </c>
      <c r="E463" s="70">
        <v>150.84</v>
      </c>
      <c r="F463" s="70">
        <v>15.49</v>
      </c>
      <c r="G463" s="70">
        <v>2.9999999999999997E-4</v>
      </c>
      <c r="H463" s="70">
        <v>154.03461538461539</v>
      </c>
      <c r="I463" s="70">
        <v>156.57839031339032</v>
      </c>
      <c r="J463" s="70">
        <v>-2.5437749287749227</v>
      </c>
      <c r="K463" s="70">
        <v>-2.9243181386514681</v>
      </c>
      <c r="L463" s="70">
        <v>0.38054320987654533</v>
      </c>
      <c r="M463" s="70">
        <v>-0.55191045991045651</v>
      </c>
      <c r="N463" s="70">
        <v>0.22748815165876451</v>
      </c>
      <c r="O463" s="70">
        <v>0</v>
      </c>
      <c r="P463" s="70">
        <v>0.15444909842191482</v>
      </c>
      <c r="Q463" s="70">
        <v>0.22147965197042535</v>
      </c>
      <c r="R463" s="70">
        <v>-0.17830653675345051</v>
      </c>
      <c r="S463" s="70">
        <v>-0.29011488869659918</v>
      </c>
      <c r="T463" s="70">
        <v>37.710118120456904</v>
      </c>
      <c r="U463" s="70"/>
      <c r="V463" s="70">
        <v>-64.029999999999916</v>
      </c>
      <c r="W463" s="70">
        <v>90.000000000000085</v>
      </c>
    </row>
    <row r="464" spans="1:23" x14ac:dyDescent="0.25">
      <c r="A464" s="68">
        <v>43535</v>
      </c>
      <c r="B464" s="70">
        <v>151.6</v>
      </c>
      <c r="C464" s="70">
        <v>151.9</v>
      </c>
      <c r="D464" s="70">
        <v>152.47</v>
      </c>
      <c r="E464" s="70">
        <v>150.51</v>
      </c>
      <c r="F464" s="70">
        <v>19.52</v>
      </c>
      <c r="G464" s="70">
        <v>-2E-3</v>
      </c>
      <c r="H464" s="70">
        <v>154.15961538461536</v>
      </c>
      <c r="I464" s="70">
        <v>156.9917378917379</v>
      </c>
      <c r="J464" s="70">
        <v>-2.8321225071225342</v>
      </c>
      <c r="K464" s="70">
        <v>-2.9971911997467608</v>
      </c>
      <c r="L464" s="70">
        <v>0.16506869262422663</v>
      </c>
      <c r="M464" s="70">
        <v>-0.69858462651625053</v>
      </c>
      <c r="N464" s="70">
        <v>0</v>
      </c>
      <c r="O464" s="70">
        <v>0.54591836734694754</v>
      </c>
      <c r="P464" s="70">
        <v>0.10695157225140352</v>
      </c>
      <c r="Q464" s="70">
        <v>0.29946799016284642</v>
      </c>
      <c r="R464" s="70">
        <v>-0.4736888568252956</v>
      </c>
      <c r="S464" s="70">
        <v>-0.34446648094295995</v>
      </c>
      <c r="T464" s="70">
        <v>37.949733311782765</v>
      </c>
      <c r="U464" s="70"/>
      <c r="V464" s="70">
        <v>-64.029999999999916</v>
      </c>
      <c r="W464" s="70">
        <v>90.000000000000085</v>
      </c>
    </row>
    <row r="465" spans="1:23" x14ac:dyDescent="0.25">
      <c r="A465" s="68">
        <v>43531</v>
      </c>
      <c r="B465" s="70">
        <v>151.9</v>
      </c>
      <c r="C465" s="70">
        <v>154.01</v>
      </c>
      <c r="D465" s="70">
        <v>154.19</v>
      </c>
      <c r="E465" s="70">
        <v>151.58000000000001</v>
      </c>
      <c r="F465" s="70">
        <v>19.670000000000002</v>
      </c>
      <c r="G465" s="70">
        <v>-1.49E-2</v>
      </c>
      <c r="H465" s="70">
        <v>154.40532051282051</v>
      </c>
      <c r="I465" s="70">
        <v>157.41353276353274</v>
      </c>
      <c r="J465" s="70">
        <v>-3.0082122507122335</v>
      </c>
      <c r="K465" s="70">
        <v>-3.0088485280151862</v>
      </c>
      <c r="L465" s="70">
        <v>6.3627730295268137E-4</v>
      </c>
      <c r="M465" s="70">
        <v>-0.81775258549617102</v>
      </c>
      <c r="N465" s="70">
        <v>0</v>
      </c>
      <c r="O465" s="70">
        <v>0.57088122605363567</v>
      </c>
      <c r="P465" s="70">
        <v>0.10695157225140352</v>
      </c>
      <c r="Q465" s="70">
        <v>0.31553068655629329</v>
      </c>
      <c r="R465" s="70">
        <v>-0.49369910796616362</v>
      </c>
      <c r="S465" s="70">
        <v>-0.35159150099246717</v>
      </c>
      <c r="T465" s="70">
        <v>50.35208998034097</v>
      </c>
      <c r="U465" s="70"/>
      <c r="V465" s="70">
        <v>-64.029999999999916</v>
      </c>
      <c r="W465" s="70">
        <v>90.000000000000085</v>
      </c>
    </row>
    <row r="466" spans="1:23" x14ac:dyDescent="0.25">
      <c r="A466" s="68">
        <v>43530</v>
      </c>
      <c r="B466" s="70">
        <v>154.19999999999999</v>
      </c>
      <c r="C466" s="70">
        <v>153.31</v>
      </c>
      <c r="D466" s="70">
        <v>154.44999999999999</v>
      </c>
      <c r="E466" s="70">
        <v>153.07</v>
      </c>
      <c r="F466" s="70">
        <v>17.14</v>
      </c>
      <c r="G466" s="70">
        <v>6.4999999999999997E-3</v>
      </c>
      <c r="H466" s="70">
        <v>154.90935897435895</v>
      </c>
      <c r="I466" s="70">
        <v>158.06467236467236</v>
      </c>
      <c r="J466" s="70">
        <v>-3.1553133903134096</v>
      </c>
      <c r="K466" s="70">
        <v>-2.9770430515986068</v>
      </c>
      <c r="L466" s="70">
        <v>-0.1782703387148028</v>
      </c>
      <c r="M466" s="70">
        <v>-0.91293337368551142</v>
      </c>
      <c r="N466" s="70">
        <v>0</v>
      </c>
      <c r="O466" s="70">
        <v>2.8985507246391738E-2</v>
      </c>
      <c r="P466" s="70">
        <v>0.12203223626823792</v>
      </c>
      <c r="Q466" s="70">
        <v>0.20047649204183191</v>
      </c>
      <c r="R466" s="70">
        <v>-0.24323141945533722</v>
      </c>
      <c r="S466" s="70">
        <v>-0.29233097863327806</v>
      </c>
      <c r="T466" s="70">
        <v>50.242792597237624</v>
      </c>
      <c r="U466" s="70"/>
      <c r="V466" s="70">
        <v>-64.029999999999916</v>
      </c>
      <c r="W466" s="70">
        <v>90.000000000000085</v>
      </c>
    </row>
    <row r="467" spans="1:23" x14ac:dyDescent="0.25">
      <c r="A467" s="68">
        <v>43529</v>
      </c>
      <c r="B467" s="70">
        <v>153.19999999999999</v>
      </c>
      <c r="C467" s="70">
        <v>154.05000000000001</v>
      </c>
      <c r="D467" s="70">
        <v>154.65</v>
      </c>
      <c r="E467" s="70">
        <v>153.11000000000001</v>
      </c>
      <c r="F467" s="70">
        <v>20.13</v>
      </c>
      <c r="G467" s="70">
        <v>-7.7999999999999996E-3</v>
      </c>
      <c r="H467" s="70">
        <v>154.91275641025641</v>
      </c>
      <c r="I467" s="70">
        <v>158.30220797720796</v>
      </c>
      <c r="J467" s="70">
        <v>-3.3894515669515499</v>
      </c>
      <c r="K467" s="70">
        <v>-2.9117250712250646</v>
      </c>
      <c r="L467" s="70">
        <v>-0.47772649572648529</v>
      </c>
      <c r="M467" s="70">
        <v>-1.0021876376235281</v>
      </c>
      <c r="N467" s="70">
        <v>0</v>
      </c>
      <c r="O467" s="70">
        <v>0.83766233766233678</v>
      </c>
      <c r="P467" s="70">
        <v>0.12711712567189312</v>
      </c>
      <c r="Q467" s="70">
        <v>0.31409062118390818</v>
      </c>
      <c r="R467" s="70">
        <v>-0.42377654709023743</v>
      </c>
      <c r="S467" s="70">
        <v>-0.30783747246199772</v>
      </c>
      <c r="T467" s="70">
        <v>50.260387366390738</v>
      </c>
      <c r="U467" s="70"/>
      <c r="V467" s="70">
        <v>-64.029999999999916</v>
      </c>
      <c r="W467" s="70">
        <v>90.000000000000085</v>
      </c>
    </row>
    <row r="468" spans="1:23" x14ac:dyDescent="0.25">
      <c r="A468" s="68">
        <v>43528</v>
      </c>
      <c r="B468" s="70">
        <v>154.4</v>
      </c>
      <c r="C468" s="70">
        <v>156.75</v>
      </c>
      <c r="D468" s="70">
        <v>156.76</v>
      </c>
      <c r="E468" s="70">
        <v>154.4</v>
      </c>
      <c r="F468" s="70">
        <v>17.2</v>
      </c>
      <c r="G468" s="70">
        <v>-1.47E-2</v>
      </c>
      <c r="H468" s="70">
        <v>155.50916666666666</v>
      </c>
      <c r="I468" s="70">
        <v>158.65320512820512</v>
      </c>
      <c r="J468" s="70">
        <v>-3.1440384615384573</v>
      </c>
      <c r="K468" s="70">
        <v>-2.6664740424184856</v>
      </c>
      <c r="L468" s="70">
        <v>-0.47756441911997172</v>
      </c>
      <c r="M468" s="70">
        <v>-1.036420601873588</v>
      </c>
      <c r="N468" s="70">
        <v>0</v>
      </c>
      <c r="O468" s="70">
        <v>0.8093220338983087</v>
      </c>
      <c r="P468" s="70">
        <v>0.12711712567189312</v>
      </c>
      <c r="Q468" s="70">
        <v>0.33047958708456648</v>
      </c>
      <c r="R468" s="70">
        <v>-0.44441416588782656</v>
      </c>
      <c r="S468" s="70">
        <v>-0.3113021804930669</v>
      </c>
      <c r="T468" s="70">
        <v>50.248272537361395</v>
      </c>
      <c r="U468" s="70"/>
      <c r="V468" s="70">
        <v>-64.029999999999916</v>
      </c>
      <c r="W468" s="70">
        <v>90.000000000000085</v>
      </c>
    </row>
    <row r="469" spans="1:23" x14ac:dyDescent="0.25">
      <c r="A469" s="68">
        <v>43525</v>
      </c>
      <c r="B469" s="70">
        <v>156.71</v>
      </c>
      <c r="C469" s="70">
        <v>158.91999999999999</v>
      </c>
      <c r="D469" s="70">
        <v>159.55000000000001</v>
      </c>
      <c r="E469" s="70">
        <v>156.31</v>
      </c>
      <c r="F469" s="70">
        <v>21.89</v>
      </c>
      <c r="G469" s="70">
        <v>-1.43E-2</v>
      </c>
      <c r="H469" s="70">
        <v>155.91743589743592</v>
      </c>
      <c r="I469" s="70">
        <v>159.1241737891738</v>
      </c>
      <c r="J469" s="70">
        <v>-3.2067378917378733</v>
      </c>
      <c r="K469" s="70">
        <v>-2.4643035770813553</v>
      </c>
      <c r="L469" s="70">
        <v>-0.74243431465651799</v>
      </c>
      <c r="M469" s="70">
        <v>-1.0847254556143355</v>
      </c>
      <c r="N469" s="70">
        <v>9.2592592592595835E-2</v>
      </c>
      <c r="O469" s="70">
        <v>0</v>
      </c>
      <c r="P469" s="70">
        <v>0.14034463889940682</v>
      </c>
      <c r="Q469" s="70">
        <v>0.18097778978514326</v>
      </c>
      <c r="R469" s="70">
        <v>-0.1264560057387932</v>
      </c>
      <c r="S469" s="70">
        <v>-0.23937135689281319</v>
      </c>
      <c r="T469" s="70">
        <v>62.654764869881006</v>
      </c>
      <c r="U469" s="70"/>
      <c r="V469" s="70">
        <v>-64.029999999999916</v>
      </c>
      <c r="W469" s="70">
        <v>90.000000000000085</v>
      </c>
    </row>
    <row r="470" spans="1:23" x14ac:dyDescent="0.25">
      <c r="A470" s="68">
        <v>43524</v>
      </c>
      <c r="B470" s="70">
        <v>158.99</v>
      </c>
      <c r="C470" s="70">
        <v>156.22</v>
      </c>
      <c r="D470" s="70">
        <v>159.25</v>
      </c>
      <c r="E470" s="70">
        <v>156.02000000000001</v>
      </c>
      <c r="F470" s="70">
        <v>34.68</v>
      </c>
      <c r="G470" s="70">
        <v>1.66E-2</v>
      </c>
      <c r="H470" s="70">
        <v>156.44871794871796</v>
      </c>
      <c r="I470" s="70">
        <v>159.44227920227922</v>
      </c>
      <c r="J470" s="70">
        <v>-2.9935612535612677</v>
      </c>
      <c r="K470" s="70">
        <v>-2.1464938271605041</v>
      </c>
      <c r="L470" s="70">
        <v>-0.8470674264007636</v>
      </c>
      <c r="M470" s="70">
        <v>-1.076264592008177</v>
      </c>
      <c r="N470" s="70">
        <v>0.6501547987616102</v>
      </c>
      <c r="O470" s="70">
        <v>0</v>
      </c>
      <c r="P470" s="70">
        <v>0.24494564649495076</v>
      </c>
      <c r="Q470" s="70">
        <v>0.18097778978514326</v>
      </c>
      <c r="R470" s="70">
        <v>0.15018628058715519</v>
      </c>
      <c r="S470" s="70">
        <v>-0.16933641989717313</v>
      </c>
      <c r="T470" s="70">
        <v>62.789967389991553</v>
      </c>
      <c r="U470" s="70"/>
      <c r="V470" s="70">
        <v>-64.029999999999916</v>
      </c>
      <c r="W470" s="70">
        <v>90.000000000000085</v>
      </c>
    </row>
    <row r="471" spans="1:23" x14ac:dyDescent="0.25">
      <c r="A471" s="68">
        <v>43523</v>
      </c>
      <c r="B471" s="70">
        <v>156.4</v>
      </c>
      <c r="C471" s="70">
        <v>155.69999999999999</v>
      </c>
      <c r="D471" s="70">
        <v>157.15</v>
      </c>
      <c r="E471" s="70">
        <v>154.82</v>
      </c>
      <c r="F471" s="70">
        <v>19.72</v>
      </c>
      <c r="G471" s="70">
        <v>6.7000000000000002E-3</v>
      </c>
      <c r="H471" s="70">
        <v>156.38096153846158</v>
      </c>
      <c r="I471" s="70">
        <v>159.28283475783476</v>
      </c>
      <c r="J471" s="70">
        <v>-2.9018732193731864</v>
      </c>
      <c r="K471" s="70">
        <v>-1.8278390313390289</v>
      </c>
      <c r="L471" s="70">
        <v>-1.0740341880341575</v>
      </c>
      <c r="M471" s="70">
        <v>-1.0908800392390041</v>
      </c>
      <c r="N471" s="70">
        <v>0.76824034334763192</v>
      </c>
      <c r="O471" s="70">
        <v>0</v>
      </c>
      <c r="P471" s="70">
        <v>0.24373886942955092</v>
      </c>
      <c r="Q471" s="70">
        <v>0.18097778978514326</v>
      </c>
      <c r="R471" s="70">
        <v>0.1477716455965104</v>
      </c>
      <c r="S471" s="70">
        <v>-0.15692655496442259</v>
      </c>
      <c r="T471" s="70">
        <v>50.09157730819193</v>
      </c>
      <c r="U471" s="70"/>
      <c r="V471" s="70">
        <v>-64.029999999999916</v>
      </c>
      <c r="W471" s="70">
        <v>90.000000000000085</v>
      </c>
    </row>
    <row r="472" spans="1:23" x14ac:dyDescent="0.25">
      <c r="A472" s="68">
        <v>43522</v>
      </c>
      <c r="B472" s="70">
        <v>155.36000000000001</v>
      </c>
      <c r="C472" s="70">
        <v>153.94999999999999</v>
      </c>
      <c r="D472" s="70">
        <v>155.36000000000001</v>
      </c>
      <c r="E472" s="70">
        <v>152.82</v>
      </c>
      <c r="F472" s="70">
        <v>18.3</v>
      </c>
      <c r="G472" s="70">
        <v>4.8999999999999998E-3</v>
      </c>
      <c r="H472" s="70">
        <v>156.56576923076921</v>
      </c>
      <c r="I472" s="70">
        <v>159.28058404558405</v>
      </c>
      <c r="J472" s="70">
        <v>-2.7148148148148437</v>
      </c>
      <c r="K472" s="70">
        <v>-1.4896524216524356</v>
      </c>
      <c r="L472" s="70">
        <v>-1.225162393162408</v>
      </c>
      <c r="M472" s="70">
        <v>-1.0858478653350474</v>
      </c>
      <c r="N472" s="70">
        <v>0</v>
      </c>
      <c r="O472" s="70">
        <v>0.29133858267716661</v>
      </c>
      <c r="P472" s="70">
        <v>8.3337039499825558E-2</v>
      </c>
      <c r="Q472" s="70">
        <v>0.24268211816421398</v>
      </c>
      <c r="R472" s="70">
        <v>-0.4887598624759113</v>
      </c>
      <c r="S472" s="70">
        <v>-0.2491174844974165</v>
      </c>
      <c r="T472" s="70">
        <v>50.197660281957766</v>
      </c>
      <c r="U472" s="70"/>
      <c r="V472" s="70">
        <v>-64.029999999999916</v>
      </c>
      <c r="W472" s="70">
        <v>90.000000000000085</v>
      </c>
    </row>
    <row r="473" spans="1:23" x14ac:dyDescent="0.25">
      <c r="A473" s="68">
        <v>43521</v>
      </c>
      <c r="B473" s="70">
        <v>154.6</v>
      </c>
      <c r="C473" s="70">
        <v>155.01</v>
      </c>
      <c r="D473" s="70">
        <v>155.37</v>
      </c>
      <c r="E473" s="70">
        <v>153.56</v>
      </c>
      <c r="F473" s="70">
        <v>14.81</v>
      </c>
      <c r="G473" s="70">
        <v>-2.9999999999999997E-4</v>
      </c>
      <c r="H473" s="70">
        <v>156.7619230769231</v>
      </c>
      <c r="I473" s="70">
        <v>159.32898860398859</v>
      </c>
      <c r="J473" s="70">
        <v>-2.5670655270654947</v>
      </c>
      <c r="K473" s="70">
        <v>-1.1139645457423222</v>
      </c>
      <c r="L473" s="70">
        <v>-1.4531009813231726</v>
      </c>
      <c r="M473" s="70">
        <v>-1.074947343887511</v>
      </c>
      <c r="N473" s="70">
        <v>0</v>
      </c>
      <c r="O473" s="70">
        <v>0</v>
      </c>
      <c r="P473" s="70">
        <v>8.3337039499825558E-2</v>
      </c>
      <c r="Q473" s="70">
        <v>0.24216614225000124</v>
      </c>
      <c r="R473" s="70">
        <v>-0.48794946303243075</v>
      </c>
      <c r="S473" s="70">
        <v>-0.22638893015543898</v>
      </c>
      <c r="T473" s="70">
        <v>37.69547921598943</v>
      </c>
      <c r="U473" s="70"/>
      <c r="V473" s="70">
        <v>-64.029999999999916</v>
      </c>
      <c r="W473" s="70">
        <v>90.000000000000085</v>
      </c>
    </row>
    <row r="474" spans="1:23" x14ac:dyDescent="0.25">
      <c r="A474" s="68">
        <v>43518</v>
      </c>
      <c r="B474" s="70">
        <v>154.63999999999999</v>
      </c>
      <c r="C474" s="70">
        <v>153.51</v>
      </c>
      <c r="D474" s="70">
        <v>155.65</v>
      </c>
      <c r="E474" s="70">
        <v>153.49</v>
      </c>
      <c r="F474" s="70">
        <v>13.2</v>
      </c>
      <c r="G474" s="70">
        <v>7.4000000000000003E-3</v>
      </c>
      <c r="H474" s="70">
        <v>157.17634615384617</v>
      </c>
      <c r="I474" s="70">
        <v>159.49576923076924</v>
      </c>
      <c r="J474" s="70">
        <v>-2.3194230769230728</v>
      </c>
      <c r="K474" s="70">
        <v>-0.68887796771130894</v>
      </c>
      <c r="L474" s="70">
        <v>-1.6305451092117638</v>
      </c>
      <c r="M474" s="70">
        <v>-1.0319836782400895</v>
      </c>
      <c r="N474" s="70">
        <v>0.11111111111111549</v>
      </c>
      <c r="O474" s="70">
        <v>0</v>
      </c>
      <c r="P474" s="70">
        <v>9.9210055372842054E-2</v>
      </c>
      <c r="Q474" s="70">
        <v>0.24216614225000124</v>
      </c>
      <c r="R474" s="70">
        <v>-0.41876407281066169</v>
      </c>
      <c r="S474" s="70">
        <v>-0.15311297321057615</v>
      </c>
      <c r="T474" s="70">
        <v>37.554252340572326</v>
      </c>
      <c r="U474" s="70"/>
      <c r="V474" s="70">
        <v>-64.029999999999916</v>
      </c>
      <c r="W474" s="70">
        <v>90.000000000000085</v>
      </c>
    </row>
    <row r="475" spans="1:23" x14ac:dyDescent="0.25">
      <c r="A475" s="68">
        <v>43517</v>
      </c>
      <c r="B475" s="70">
        <v>153.5</v>
      </c>
      <c r="C475" s="70">
        <v>154.84</v>
      </c>
      <c r="D475" s="70">
        <v>155.41</v>
      </c>
      <c r="E475" s="70">
        <v>153.01</v>
      </c>
      <c r="F475" s="70">
        <v>15.22</v>
      </c>
      <c r="G475" s="70">
        <v>-6.0000000000000001E-3</v>
      </c>
      <c r="H475" s="70">
        <v>157.60525641025643</v>
      </c>
      <c r="I475" s="70">
        <v>159.49893162393167</v>
      </c>
      <c r="J475" s="70">
        <v>-1.8936752136752375</v>
      </c>
      <c r="K475" s="70">
        <v>-0.25818043684711889</v>
      </c>
      <c r="L475" s="70">
        <v>-1.6354947768281187</v>
      </c>
      <c r="M475" s="70">
        <v>-0.94981989710195469</v>
      </c>
      <c r="N475" s="70">
        <v>0</v>
      </c>
      <c r="O475" s="70">
        <v>0.27499999999999791</v>
      </c>
      <c r="P475" s="70">
        <v>8.5821291119025103E-2</v>
      </c>
      <c r="Q475" s="70">
        <v>0.28145185653571525</v>
      </c>
      <c r="R475" s="70">
        <v>-0.5326568704135024</v>
      </c>
      <c r="S475" s="70">
        <v>-0.10367830986590526</v>
      </c>
      <c r="T475" s="70">
        <v>38.003870875247898</v>
      </c>
      <c r="U475" s="70"/>
      <c r="V475" s="70">
        <v>-64.029999999999916</v>
      </c>
      <c r="W475" s="70">
        <v>90.000000000000085</v>
      </c>
    </row>
    <row r="476" spans="1:23" x14ac:dyDescent="0.25">
      <c r="A476" s="68">
        <v>43516</v>
      </c>
      <c r="B476" s="70">
        <v>154.43</v>
      </c>
      <c r="C476" s="70">
        <v>154.65</v>
      </c>
      <c r="D476" s="70">
        <v>155.66</v>
      </c>
      <c r="E476" s="70">
        <v>153.66999999999999</v>
      </c>
      <c r="F476" s="70">
        <v>21.15</v>
      </c>
      <c r="G476" s="70">
        <v>2.5999999999999999E-3</v>
      </c>
      <c r="H476" s="70">
        <v>158.50634615384612</v>
      </c>
      <c r="I476" s="70">
        <v>159.68890313390312</v>
      </c>
      <c r="J476" s="70">
        <v>-1.1825569800570008</v>
      </c>
      <c r="K476" s="70">
        <v>0.19459654954097419</v>
      </c>
      <c r="L476" s="70">
        <v>-1.3771535295979751</v>
      </c>
      <c r="M476" s="70">
        <v>-0.82847260748115992</v>
      </c>
      <c r="N476" s="70">
        <v>0</v>
      </c>
      <c r="O476" s="70">
        <v>0</v>
      </c>
      <c r="P476" s="70">
        <v>0.10478862515485217</v>
      </c>
      <c r="Q476" s="70">
        <v>0.22403427411813329</v>
      </c>
      <c r="R476" s="70">
        <v>-0.36264399233425826</v>
      </c>
      <c r="S476" s="70">
        <v>-7.3537970848007797E-3</v>
      </c>
      <c r="T476" s="70">
        <v>50.536681125922172</v>
      </c>
      <c r="U476" s="70"/>
      <c r="V476" s="70">
        <v>-64.029999999999916</v>
      </c>
      <c r="W476" s="70">
        <v>90.000000000000085</v>
      </c>
    </row>
    <row r="477" spans="1:23" x14ac:dyDescent="0.25">
      <c r="A477" s="68">
        <v>43515</v>
      </c>
      <c r="B477" s="70">
        <v>154.03</v>
      </c>
      <c r="C477" s="70">
        <v>156.41</v>
      </c>
      <c r="D477" s="70">
        <v>157.13999999999999</v>
      </c>
      <c r="E477" s="70">
        <v>153.36000000000001</v>
      </c>
      <c r="F477" s="70">
        <v>20.05</v>
      </c>
      <c r="G477" s="70">
        <v>-1.5299999999999999E-2</v>
      </c>
      <c r="H477" s="70">
        <v>159.06320512820511</v>
      </c>
      <c r="I477" s="70">
        <v>159.79175213675217</v>
      </c>
      <c r="J477" s="70">
        <v>-0.72854700854705357</v>
      </c>
      <c r="K477" s="70">
        <v>0.55749477682808546</v>
      </c>
      <c r="L477" s="70">
        <v>-1.2860417853751391</v>
      </c>
      <c r="M477" s="70">
        <v>-0.74410630015759205</v>
      </c>
      <c r="N477" s="70">
        <v>0</v>
      </c>
      <c r="O477" s="70">
        <v>0.73544973544973358</v>
      </c>
      <c r="P477" s="70">
        <v>0.10478862515485217</v>
      </c>
      <c r="Q477" s="70">
        <v>0.3492310612560327</v>
      </c>
      <c r="R477" s="70">
        <v>-0.53839611677094046</v>
      </c>
      <c r="S477" s="70">
        <v>5.5016758121411019E-3</v>
      </c>
      <c r="T477" s="70">
        <v>38.150375584264083</v>
      </c>
      <c r="U477" s="70">
        <v>1</v>
      </c>
      <c r="V477" s="70">
        <v>-64.029999999999916</v>
      </c>
      <c r="W477" s="70">
        <v>90.000000000000085</v>
      </c>
    </row>
    <row r="478" spans="1:23" x14ac:dyDescent="0.25">
      <c r="A478" s="68">
        <v>43514</v>
      </c>
      <c r="B478" s="70">
        <v>156.43</v>
      </c>
      <c r="C478" s="70">
        <v>159.25</v>
      </c>
      <c r="D478" s="70">
        <v>159.9</v>
      </c>
      <c r="E478" s="70">
        <v>156.13999999999999</v>
      </c>
      <c r="F478" s="70">
        <v>17.78</v>
      </c>
      <c r="G478" s="70">
        <v>-1.6400000000000001E-2</v>
      </c>
      <c r="H478" s="70">
        <v>160.08820512820509</v>
      </c>
      <c r="I478" s="70">
        <v>160.19923076923075</v>
      </c>
      <c r="J478" s="70">
        <v>-0.11102564102566248</v>
      </c>
      <c r="K478" s="70">
        <v>0.94428236783790764</v>
      </c>
      <c r="L478" s="70">
        <v>-1.05530800886357</v>
      </c>
      <c r="M478" s="70">
        <v>-0.64928014498955267</v>
      </c>
      <c r="N478" s="70">
        <v>0.22872340425532159</v>
      </c>
      <c r="O478" s="70">
        <v>0</v>
      </c>
      <c r="P478" s="70">
        <v>0.14834084461699759</v>
      </c>
      <c r="Q478" s="70">
        <v>0.19567562198630811</v>
      </c>
      <c r="R478" s="70">
        <v>-0.13759451062525294</v>
      </c>
      <c r="S478" s="70">
        <v>0.12182199843400052</v>
      </c>
      <c r="T478" s="70">
        <v>37.960079996862873</v>
      </c>
      <c r="U478" s="70"/>
      <c r="V478" s="70">
        <v>-64.029999999999916</v>
      </c>
      <c r="W478" s="70">
        <v>92.400000000000091</v>
      </c>
    </row>
    <row r="479" spans="1:23" x14ac:dyDescent="0.25">
      <c r="A479" s="68">
        <v>43511</v>
      </c>
      <c r="B479" s="70">
        <v>159.04</v>
      </c>
      <c r="C479" s="70">
        <v>155.99</v>
      </c>
      <c r="D479" s="70">
        <v>159.04</v>
      </c>
      <c r="E479" s="70">
        <v>155.88999999999999</v>
      </c>
      <c r="F479" s="70">
        <v>24.57</v>
      </c>
      <c r="G479" s="70">
        <v>2.5100000000000001E-2</v>
      </c>
      <c r="H479" s="70">
        <v>160.94032051282051</v>
      </c>
      <c r="I479" s="70">
        <v>160.55531339031336</v>
      </c>
      <c r="J479" s="70">
        <v>0.38500712250714741</v>
      </c>
      <c r="K479" s="70">
        <v>1.2681454574232285</v>
      </c>
      <c r="L479" s="70">
        <v>-0.88313833491608107</v>
      </c>
      <c r="M479" s="70">
        <v>-0.56396498405045326</v>
      </c>
      <c r="N479" s="70">
        <v>7.712082262210386E-2</v>
      </c>
      <c r="O479" s="70">
        <v>0</v>
      </c>
      <c r="P479" s="70">
        <v>0.16427625233811538</v>
      </c>
      <c r="Q479" s="70">
        <v>0.19567562198630811</v>
      </c>
      <c r="R479" s="70">
        <v>-8.7232132648634525E-2</v>
      </c>
      <c r="S479" s="70">
        <v>0.16374190725057203</v>
      </c>
      <c r="T479" s="70">
        <v>37.759297254706162</v>
      </c>
      <c r="U479" s="70"/>
      <c r="V479" s="70">
        <v>-64.029999999999916</v>
      </c>
      <c r="W479" s="70">
        <v>95.010000000000076</v>
      </c>
    </row>
    <row r="480" spans="1:23" x14ac:dyDescent="0.25">
      <c r="A480" s="68">
        <v>43510</v>
      </c>
      <c r="B480" s="70">
        <v>155.15</v>
      </c>
      <c r="C480" s="70">
        <v>157.35</v>
      </c>
      <c r="D480" s="70">
        <v>158.74</v>
      </c>
      <c r="E480" s="70">
        <v>155.15</v>
      </c>
      <c r="F480" s="70">
        <v>38.380000000000003</v>
      </c>
      <c r="G480" s="70">
        <v>-2.5899999999999999E-2</v>
      </c>
      <c r="H480" s="70">
        <v>160.7903205128205</v>
      </c>
      <c r="I480" s="70">
        <v>160.30847578347579</v>
      </c>
      <c r="J480" s="70">
        <v>0.48184472934471501</v>
      </c>
      <c r="K480" s="70">
        <v>1.4791223488445533</v>
      </c>
      <c r="L480" s="70">
        <v>-0.99727761949983829</v>
      </c>
      <c r="M480" s="70">
        <v>-0.5306050669811414</v>
      </c>
      <c r="N480" s="70">
        <v>0</v>
      </c>
      <c r="O480" s="70">
        <v>1.1476323119777161</v>
      </c>
      <c r="P480" s="70">
        <v>0.1481741025598739</v>
      </c>
      <c r="Q480" s="70">
        <v>0.37320750067018627</v>
      </c>
      <c r="R480" s="70">
        <v>-0.43160977816667639</v>
      </c>
      <c r="S480" s="70">
        <v>0.12843263336213534</v>
      </c>
      <c r="T480" s="70">
        <v>38.011250621581297</v>
      </c>
      <c r="U480" s="70"/>
      <c r="V480" s="70">
        <v>-64.029999999999916</v>
      </c>
      <c r="W480" s="70">
        <v>91.12000000000009</v>
      </c>
    </row>
    <row r="481" spans="1:23" x14ac:dyDescent="0.25">
      <c r="A481" s="68">
        <v>43509</v>
      </c>
      <c r="B481" s="70">
        <v>159.27000000000001</v>
      </c>
      <c r="C481" s="70">
        <v>164</v>
      </c>
      <c r="D481" s="70">
        <v>164.28</v>
      </c>
      <c r="E481" s="70">
        <v>159.27000000000001</v>
      </c>
      <c r="F481" s="70">
        <v>22.01</v>
      </c>
      <c r="G481" s="70">
        <v>-2.69E-2</v>
      </c>
      <c r="H481" s="70">
        <v>161.97416666666666</v>
      </c>
      <c r="I481" s="70">
        <v>160.79492877492876</v>
      </c>
      <c r="J481" s="70">
        <v>1.1792378917378983</v>
      </c>
      <c r="K481" s="70">
        <v>1.8155411522633611</v>
      </c>
      <c r="L481" s="70">
        <v>-0.63630326052546282</v>
      </c>
      <c r="M481" s="70">
        <v>-0.41264534958552423</v>
      </c>
      <c r="N481" s="70">
        <v>0</v>
      </c>
      <c r="O481" s="70">
        <v>0.29540918163672503</v>
      </c>
      <c r="P481" s="70">
        <v>0.1615012009933556</v>
      </c>
      <c r="Q481" s="70">
        <v>0.17579327466689859</v>
      </c>
      <c r="R481" s="70">
        <v>-4.2372688273551604E-2</v>
      </c>
      <c r="S481" s="70">
        <v>0.22816436792235731</v>
      </c>
      <c r="T481" s="70">
        <v>37.774980889359036</v>
      </c>
      <c r="U481" s="70"/>
      <c r="V481" s="70">
        <v>-64.029999999999916</v>
      </c>
      <c r="W481" s="70">
        <v>95.240000000000094</v>
      </c>
    </row>
    <row r="482" spans="1:23" x14ac:dyDescent="0.25">
      <c r="A482" s="68">
        <v>43508</v>
      </c>
      <c r="B482" s="70">
        <v>163.68</v>
      </c>
      <c r="C482" s="70">
        <v>161.5</v>
      </c>
      <c r="D482" s="70">
        <v>163.68</v>
      </c>
      <c r="E482" s="70">
        <v>160.75</v>
      </c>
      <c r="F482" s="70">
        <v>14.99</v>
      </c>
      <c r="G482" s="70">
        <v>1.4800000000000001E-2</v>
      </c>
      <c r="H482" s="70">
        <v>162.74358974358975</v>
      </c>
      <c r="I482" s="70">
        <v>161.0856267806268</v>
      </c>
      <c r="J482" s="70">
        <v>1.6579629629629551</v>
      </c>
      <c r="K482" s="70">
        <v>2.0453691041468671</v>
      </c>
      <c r="L482" s="70">
        <v>-0.38740614118391203</v>
      </c>
      <c r="M482" s="70">
        <v>-0.29840028663960927</v>
      </c>
      <c r="N482" s="70">
        <v>0.47098976109214752</v>
      </c>
      <c r="O482" s="70">
        <v>0</v>
      </c>
      <c r="P482" s="70">
        <v>0.22978445357694888</v>
      </c>
      <c r="Q482" s="70">
        <v>0.11411443454494501</v>
      </c>
      <c r="R482" s="70">
        <v>0.33634891832219299</v>
      </c>
      <c r="S482" s="70">
        <v>0.30129073787980698</v>
      </c>
      <c r="T482" s="70">
        <v>50.228995881922792</v>
      </c>
      <c r="U482" s="70"/>
      <c r="V482" s="70">
        <v>-64.029999999999916</v>
      </c>
      <c r="W482" s="70">
        <v>99.650000000000091</v>
      </c>
    </row>
    <row r="483" spans="1:23" x14ac:dyDescent="0.25">
      <c r="A483" s="68">
        <v>43507</v>
      </c>
      <c r="B483" s="70">
        <v>161.29</v>
      </c>
      <c r="C483" s="70">
        <v>160.4</v>
      </c>
      <c r="D483" s="70">
        <v>162.30000000000001</v>
      </c>
      <c r="E483" s="70">
        <v>160.18</v>
      </c>
      <c r="F483" s="70">
        <v>19.13</v>
      </c>
      <c r="G483" s="70">
        <v>9.2999999999999992E-3</v>
      </c>
      <c r="H483" s="70">
        <v>162.31525641025641</v>
      </c>
      <c r="I483" s="70">
        <v>160.74726495726497</v>
      </c>
      <c r="J483" s="70">
        <v>1.5679914529914356</v>
      </c>
      <c r="K483" s="70">
        <v>2.1449651788540547</v>
      </c>
      <c r="L483" s="70">
        <v>-0.57697372586261908</v>
      </c>
      <c r="M483" s="70">
        <v>-0.24421591197660339</v>
      </c>
      <c r="N483" s="70">
        <v>0.37599999999999911</v>
      </c>
      <c r="O483" s="70">
        <v>0</v>
      </c>
      <c r="P483" s="70">
        <v>0.23360157230832596</v>
      </c>
      <c r="Q483" s="70">
        <v>0.11411443454494501</v>
      </c>
      <c r="R483" s="70">
        <v>0.34363427454693529</v>
      </c>
      <c r="S483" s="70">
        <v>0.30493299941819918</v>
      </c>
      <c r="T483" s="70">
        <v>37.654915311679211</v>
      </c>
      <c r="U483" s="70"/>
      <c r="V483" s="70">
        <v>-64.029999999999916</v>
      </c>
      <c r="W483" s="70">
        <v>97.260000000000076</v>
      </c>
    </row>
    <row r="484" spans="1:23" x14ac:dyDescent="0.25">
      <c r="A484" s="68">
        <v>43504</v>
      </c>
      <c r="B484" s="70">
        <v>159.80000000000001</v>
      </c>
      <c r="C484" s="70">
        <v>159.16</v>
      </c>
      <c r="D484" s="70">
        <v>161.36000000000001</v>
      </c>
      <c r="E484" s="70">
        <v>158.11000000000001</v>
      </c>
      <c r="F484" s="70">
        <v>19.420000000000002</v>
      </c>
      <c r="G484" s="70">
        <v>-3.7000000000000002E-3</v>
      </c>
      <c r="H484" s="70">
        <v>162.05852564102562</v>
      </c>
      <c r="I484" s="70">
        <v>160.45847578347585</v>
      </c>
      <c r="J484" s="70">
        <v>1.6000498575497772</v>
      </c>
      <c r="K484" s="70">
        <v>2.2703182969293834</v>
      </c>
      <c r="L484" s="70">
        <v>-0.67026843937960612</v>
      </c>
      <c r="M484" s="70">
        <v>-0.14331177970495806</v>
      </c>
      <c r="N484" s="70">
        <v>0</v>
      </c>
      <c r="O484" s="70">
        <v>0.30461538461537868</v>
      </c>
      <c r="P484" s="70">
        <v>0.2041959141367109</v>
      </c>
      <c r="Q484" s="70">
        <v>0.15763091806142768</v>
      </c>
      <c r="R484" s="70">
        <v>0.12869414850301633</v>
      </c>
      <c r="S484" s="70">
        <v>0.27600750602245161</v>
      </c>
      <c r="T484" s="70">
        <v>37.851658476658471</v>
      </c>
      <c r="U484" s="70"/>
      <c r="V484" s="70">
        <v>-64.029999999999916</v>
      </c>
      <c r="W484" s="70">
        <v>95.770000000000095</v>
      </c>
    </row>
    <row r="485" spans="1:23" x14ac:dyDescent="0.25">
      <c r="A485" s="68">
        <v>43503</v>
      </c>
      <c r="B485" s="70">
        <v>160.38999999999999</v>
      </c>
      <c r="C485" s="70">
        <v>162.88999999999999</v>
      </c>
      <c r="D485" s="70">
        <v>163.44</v>
      </c>
      <c r="E485" s="70">
        <v>159.1</v>
      </c>
      <c r="F485" s="70">
        <v>23.54</v>
      </c>
      <c r="G485" s="70">
        <v>-1.7299999999999999E-2</v>
      </c>
      <c r="H485" s="70">
        <v>162.15634615384616</v>
      </c>
      <c r="I485" s="70">
        <v>160.27782051282054</v>
      </c>
      <c r="J485" s="70">
        <v>1.8785256410256181</v>
      </c>
      <c r="K485" s="70">
        <v>2.4444965178854021</v>
      </c>
      <c r="L485" s="70">
        <v>-0.56597087685978398</v>
      </c>
      <c r="M485" s="70">
        <v>1.8823963627377094E-2</v>
      </c>
      <c r="N485" s="70">
        <v>0</v>
      </c>
      <c r="O485" s="70">
        <v>0.91474654377880082</v>
      </c>
      <c r="P485" s="70">
        <v>0.2041959141367109</v>
      </c>
      <c r="Q485" s="70">
        <v>0.27390231036094448</v>
      </c>
      <c r="R485" s="70">
        <v>-0.14579932041679319</v>
      </c>
      <c r="S485" s="70">
        <v>0.22852543392974148</v>
      </c>
      <c r="T485" s="70">
        <v>50.241660602811081</v>
      </c>
      <c r="U485" s="70"/>
      <c r="V485" s="70">
        <v>-64.029999999999916</v>
      </c>
      <c r="W485" s="70">
        <v>96.36000000000007</v>
      </c>
    </row>
    <row r="486" spans="1:23" x14ac:dyDescent="0.25">
      <c r="A486" s="68">
        <v>43502</v>
      </c>
      <c r="B486" s="70">
        <v>163.21</v>
      </c>
      <c r="C486" s="70">
        <v>164.41</v>
      </c>
      <c r="D486" s="70">
        <v>164.67</v>
      </c>
      <c r="E486" s="70">
        <v>163.07</v>
      </c>
      <c r="F486" s="70">
        <v>9.5500000000000007</v>
      </c>
      <c r="G486" s="70">
        <v>-6.3E-3</v>
      </c>
      <c r="H486" s="70">
        <v>162.45692307692309</v>
      </c>
      <c r="I486" s="70">
        <v>160.22353276353277</v>
      </c>
      <c r="J486" s="70">
        <v>2.2333903133903164</v>
      </c>
      <c r="K486" s="70">
        <v>2.6504134219689819</v>
      </c>
      <c r="L486" s="70">
        <v>-0.41702310857866554</v>
      </c>
      <c r="M486" s="70">
        <v>0.20881452956666391</v>
      </c>
      <c r="N486" s="70">
        <v>0</v>
      </c>
      <c r="O486" s="70">
        <v>0</v>
      </c>
      <c r="P486" s="70">
        <v>0.23204185460401069</v>
      </c>
      <c r="Q486" s="70">
        <v>8.2911273747788256E-2</v>
      </c>
      <c r="R486" s="70">
        <v>0.4735008718174894</v>
      </c>
      <c r="S486" s="70">
        <v>0.35768052142704143</v>
      </c>
      <c r="T486" s="70">
        <v>50.235119321140836</v>
      </c>
      <c r="U486" s="70"/>
      <c r="V486" s="70">
        <v>-64.029999999999916</v>
      </c>
      <c r="W486" s="70">
        <v>99.180000000000092</v>
      </c>
    </row>
    <row r="487" spans="1:23" x14ac:dyDescent="0.25">
      <c r="A487" s="68">
        <v>43501</v>
      </c>
      <c r="B487" s="70">
        <v>164.25</v>
      </c>
      <c r="C487" s="70">
        <v>163.44999999999999</v>
      </c>
      <c r="D487" s="70">
        <v>165.43</v>
      </c>
      <c r="E487" s="70">
        <v>162.54</v>
      </c>
      <c r="F487" s="70">
        <v>13.71</v>
      </c>
      <c r="G487" s="70">
        <v>6.4000000000000003E-3</v>
      </c>
      <c r="H487" s="70">
        <v>162.27070512820512</v>
      </c>
      <c r="I487" s="70">
        <v>159.85434472934475</v>
      </c>
      <c r="J487" s="70">
        <v>2.4163603988603768</v>
      </c>
      <c r="K487" s="70">
        <v>2.7900305476416598</v>
      </c>
      <c r="L487" s="70">
        <v>-0.37367014878128302</v>
      </c>
      <c r="M487" s="70">
        <v>0.39610287022252366</v>
      </c>
      <c r="N487" s="70">
        <v>0.14878892733564172</v>
      </c>
      <c r="O487" s="70">
        <v>0</v>
      </c>
      <c r="P487" s="70">
        <v>0.30981232930972991</v>
      </c>
      <c r="Q487" s="70">
        <v>8.2911273747788256E-2</v>
      </c>
      <c r="R487" s="70">
        <v>0.57776271605633489</v>
      </c>
      <c r="S487" s="70">
        <v>0.37665524598082667</v>
      </c>
      <c r="T487" s="70">
        <v>62.723602460680439</v>
      </c>
      <c r="U487" s="70"/>
      <c r="V487" s="70">
        <v>-64.029999999999916</v>
      </c>
      <c r="W487" s="70">
        <v>100.22000000000008</v>
      </c>
    </row>
    <row r="488" spans="1:23" x14ac:dyDescent="0.25">
      <c r="A488" s="68">
        <v>43500</v>
      </c>
      <c r="B488" s="70">
        <v>163.19999999999999</v>
      </c>
      <c r="C488" s="70">
        <v>163.49</v>
      </c>
      <c r="D488" s="70">
        <v>165</v>
      </c>
      <c r="E488" s="70">
        <v>162.81</v>
      </c>
      <c r="F488" s="70">
        <v>11.46</v>
      </c>
      <c r="G488" s="70">
        <v>-8.0000000000000004E-4</v>
      </c>
      <c r="H488" s="70">
        <v>161.75307692307692</v>
      </c>
      <c r="I488" s="70">
        <v>159.21246438746439</v>
      </c>
      <c r="J488" s="70">
        <v>2.5406125356125244</v>
      </c>
      <c r="K488" s="70">
        <v>2.8954127888572367</v>
      </c>
      <c r="L488" s="70">
        <v>-0.35480025324471232</v>
      </c>
      <c r="M488" s="70">
        <v>0.580709300828957</v>
      </c>
      <c r="N488" s="70">
        <v>0.28767123287671054</v>
      </c>
      <c r="O488" s="70">
        <v>0</v>
      </c>
      <c r="P488" s="70">
        <v>0.31984239972753259</v>
      </c>
      <c r="Q488" s="70">
        <v>9.0237281073796152E-2</v>
      </c>
      <c r="R488" s="70">
        <v>0.55990367092821947</v>
      </c>
      <c r="S488" s="70">
        <v>0.35735234806297989</v>
      </c>
      <c r="T488" s="70">
        <v>62.627690133488997</v>
      </c>
      <c r="U488" s="70"/>
      <c r="V488" s="70">
        <v>-64.029999999999916</v>
      </c>
      <c r="W488" s="70">
        <v>99.170000000000073</v>
      </c>
    </row>
    <row r="489" spans="1:23" x14ac:dyDescent="0.25">
      <c r="A489" s="68">
        <v>43497</v>
      </c>
      <c r="B489" s="70">
        <v>163.33000000000001</v>
      </c>
      <c r="C489" s="70">
        <v>162.49</v>
      </c>
      <c r="D489" s="70">
        <v>164.37</v>
      </c>
      <c r="E489" s="70">
        <v>161.75</v>
      </c>
      <c r="F489" s="70">
        <v>23.09</v>
      </c>
      <c r="G489" s="70">
        <v>3.0999999999999999E-3</v>
      </c>
      <c r="H489" s="70">
        <v>161.3429487179487</v>
      </c>
      <c r="I489" s="70">
        <v>158.64552706552706</v>
      </c>
      <c r="J489" s="70">
        <v>2.6974216524216388</v>
      </c>
      <c r="K489" s="70">
        <v>2.9924283000949745</v>
      </c>
      <c r="L489" s="70">
        <v>-0.29500664767333573</v>
      </c>
      <c r="M489" s="70">
        <v>0.77169466620748484</v>
      </c>
      <c r="N489" s="70">
        <v>0</v>
      </c>
      <c r="O489" s="70">
        <v>0.30534351145038546</v>
      </c>
      <c r="P489" s="70">
        <v>0.2597791752807469</v>
      </c>
      <c r="Q489" s="70">
        <v>0.16850110548848127</v>
      </c>
      <c r="R489" s="70">
        <v>0.21312694954883837</v>
      </c>
      <c r="S489" s="70">
        <v>0.28564403507613084</v>
      </c>
      <c r="T489" s="70">
        <v>75.099331629038716</v>
      </c>
      <c r="U489" s="70"/>
      <c r="V489" s="70">
        <v>-64.029999999999916</v>
      </c>
      <c r="W489" s="70">
        <v>99.300000000000097</v>
      </c>
    </row>
    <row r="490" spans="1:23" x14ac:dyDescent="0.25">
      <c r="A490" s="68">
        <v>43496</v>
      </c>
      <c r="B490" s="70">
        <v>162.82</v>
      </c>
      <c r="C490" s="70">
        <v>166</v>
      </c>
      <c r="D490" s="70">
        <v>166.49</v>
      </c>
      <c r="E490" s="70">
        <v>162.55000000000001</v>
      </c>
      <c r="F490" s="70">
        <v>30.7</v>
      </c>
      <c r="G490" s="70">
        <v>-1.5599999999999999E-2</v>
      </c>
      <c r="H490" s="70">
        <v>160.81108974358975</v>
      </c>
      <c r="I490" s="70">
        <v>158.12341880341879</v>
      </c>
      <c r="J490" s="70">
        <v>2.6876709401709604</v>
      </c>
      <c r="K490" s="70">
        <v>3.0354392212725698</v>
      </c>
      <c r="L490" s="70">
        <v>-0.3477682811016094</v>
      </c>
      <c r="M490" s="70">
        <v>0.94320883295242619</v>
      </c>
      <c r="N490" s="70">
        <v>0.16497461928934165</v>
      </c>
      <c r="O490" s="70">
        <v>0</v>
      </c>
      <c r="P490" s="70">
        <v>0.28334697803636716</v>
      </c>
      <c r="Q490" s="70">
        <v>0.13414035908873825</v>
      </c>
      <c r="R490" s="70">
        <v>0.35739196301160442</v>
      </c>
      <c r="S490" s="70">
        <v>0.30254330049828626</v>
      </c>
      <c r="T490" s="70">
        <v>75.006376318738646</v>
      </c>
      <c r="U490" s="70"/>
      <c r="V490" s="70">
        <v>-64.029999999999916</v>
      </c>
      <c r="W490" s="70">
        <v>98.790000000000077</v>
      </c>
    </row>
    <row r="491" spans="1:23" x14ac:dyDescent="0.25">
      <c r="A491" s="68">
        <v>43495</v>
      </c>
      <c r="B491" s="70">
        <v>165.4</v>
      </c>
      <c r="C491" s="70">
        <v>162.51</v>
      </c>
      <c r="D491" s="70">
        <v>165.84</v>
      </c>
      <c r="E491" s="70">
        <v>162.26</v>
      </c>
      <c r="F491" s="70">
        <v>25.11</v>
      </c>
      <c r="G491" s="70">
        <v>1.4999999999999999E-2</v>
      </c>
      <c r="H491" s="70">
        <v>160.87871794871796</v>
      </c>
      <c r="I491" s="70">
        <v>157.89786324786323</v>
      </c>
      <c r="J491" s="70">
        <v>2.980854700854735</v>
      </c>
      <c r="K491" s="70">
        <v>3.1152503956948583</v>
      </c>
      <c r="L491" s="70">
        <v>-0.13439569484012326</v>
      </c>
      <c r="M491" s="70">
        <v>1.1413283380121022</v>
      </c>
      <c r="N491" s="70">
        <v>0.7988826815642468</v>
      </c>
      <c r="O491" s="70">
        <v>0</v>
      </c>
      <c r="P491" s="70">
        <v>0.36302782522139698</v>
      </c>
      <c r="Q491" s="70">
        <v>0.15966322332128069</v>
      </c>
      <c r="R491" s="70">
        <v>0.38907228747674183</v>
      </c>
      <c r="S491" s="70">
        <v>0.29333391925150043</v>
      </c>
      <c r="T491" s="70">
        <v>75.269325928970858</v>
      </c>
      <c r="U491" s="70"/>
      <c r="V491" s="70">
        <v>-64.029999999999916</v>
      </c>
      <c r="W491" s="70">
        <v>101.37000000000009</v>
      </c>
    </row>
    <row r="492" spans="1:23" x14ac:dyDescent="0.25">
      <c r="A492" s="68">
        <v>43494</v>
      </c>
      <c r="B492" s="70">
        <v>162.94999999999999</v>
      </c>
      <c r="C492" s="70">
        <v>160.1</v>
      </c>
      <c r="D492" s="70">
        <v>162.97999999999999</v>
      </c>
      <c r="E492" s="70">
        <v>159</v>
      </c>
      <c r="F492" s="70">
        <v>22.82</v>
      </c>
      <c r="G492" s="70">
        <v>1.49E-2</v>
      </c>
      <c r="H492" s="70">
        <v>160.15487179487178</v>
      </c>
      <c r="I492" s="70">
        <v>157.24878917378916</v>
      </c>
      <c r="J492" s="70">
        <v>2.9060826210826178</v>
      </c>
      <c r="K492" s="70">
        <v>3.0359604305159937</v>
      </c>
      <c r="L492" s="70">
        <v>-0.1298778094333759</v>
      </c>
      <c r="M492" s="70">
        <v>1.2748239010119351</v>
      </c>
      <c r="N492" s="70">
        <v>0</v>
      </c>
      <c r="O492" s="70">
        <v>0.20603015075376765</v>
      </c>
      <c r="P492" s="70">
        <v>0.24233241612341788</v>
      </c>
      <c r="Q492" s="70">
        <v>0.18909610200039034</v>
      </c>
      <c r="R492" s="70">
        <v>0.12339544533249924</v>
      </c>
      <c r="S492" s="70">
        <v>0.26125949288951661</v>
      </c>
      <c r="T492" s="70">
        <v>75.149828933934984</v>
      </c>
      <c r="U492" s="70"/>
      <c r="V492" s="70">
        <v>-64.029999999999916</v>
      </c>
      <c r="W492" s="70">
        <v>98.920000000000073</v>
      </c>
    </row>
    <row r="493" spans="1:23" x14ac:dyDescent="0.25">
      <c r="A493" s="68">
        <v>43493</v>
      </c>
      <c r="B493" s="70">
        <v>160.56</v>
      </c>
      <c r="C493" s="70">
        <v>162.4</v>
      </c>
      <c r="D493" s="70">
        <v>163.58000000000001</v>
      </c>
      <c r="E493" s="70">
        <v>159.82</v>
      </c>
      <c r="F493" s="70">
        <v>23.9</v>
      </c>
      <c r="G493" s="70">
        <v>-1.3899999999999999E-2</v>
      </c>
      <c r="H493" s="70">
        <v>159.6496794871795</v>
      </c>
      <c r="I493" s="70">
        <v>156.71669515669515</v>
      </c>
      <c r="J493" s="70">
        <v>2.932984330484345</v>
      </c>
      <c r="K493" s="70">
        <v>2.9233173472618037</v>
      </c>
      <c r="L493" s="70">
        <v>9.6669832225413366E-3</v>
      </c>
      <c r="M493" s="70">
        <v>1.3961677189540476</v>
      </c>
      <c r="N493" s="70">
        <v>0.20212765957447218</v>
      </c>
      <c r="O493" s="70">
        <v>0</v>
      </c>
      <c r="P493" s="70">
        <v>0.27120779606262818</v>
      </c>
      <c r="Q493" s="70">
        <v>0.16705783875609739</v>
      </c>
      <c r="R493" s="70">
        <v>0.23764116789492074</v>
      </c>
      <c r="S493" s="70">
        <v>0.27542204854626057</v>
      </c>
      <c r="T493" s="70">
        <v>75.036014029813344</v>
      </c>
      <c r="U493" s="70"/>
      <c r="V493" s="70">
        <v>-64.029999999999916</v>
      </c>
      <c r="W493" s="70">
        <v>96.530000000000086</v>
      </c>
    </row>
    <row r="494" spans="1:23" x14ac:dyDescent="0.25">
      <c r="A494" s="68">
        <v>43490</v>
      </c>
      <c r="B494" s="70">
        <v>162.82</v>
      </c>
      <c r="C494" s="70">
        <v>161.61000000000001</v>
      </c>
      <c r="D494" s="70">
        <v>162.82</v>
      </c>
      <c r="E494" s="70">
        <v>160.18</v>
      </c>
      <c r="F494" s="70">
        <v>19.77</v>
      </c>
      <c r="G494" s="70">
        <v>1.1900000000000001E-2</v>
      </c>
      <c r="H494" s="70">
        <v>159.9719871794872</v>
      </c>
      <c r="I494" s="70">
        <v>156.57534188034188</v>
      </c>
      <c r="J494" s="70">
        <v>3.3966452991453195</v>
      </c>
      <c r="K494" s="70">
        <v>2.8395088635644314</v>
      </c>
      <c r="L494" s="70">
        <v>0.5571364355808881</v>
      </c>
      <c r="M494" s="70">
        <v>1.5431704775123625</v>
      </c>
      <c r="N494" s="70">
        <v>1.5151515151512215E-2</v>
      </c>
      <c r="O494" s="70">
        <v>0</v>
      </c>
      <c r="P494" s="70">
        <v>0.27615287418328666</v>
      </c>
      <c r="Q494" s="70">
        <v>0.16705783875609739</v>
      </c>
      <c r="R494" s="70">
        <v>0.24614710845698737</v>
      </c>
      <c r="S494" s="70">
        <v>0.29052436143127602</v>
      </c>
      <c r="T494" s="70">
        <v>75.251644917636341</v>
      </c>
      <c r="U494" s="70"/>
      <c r="V494" s="70">
        <v>-64.029999999999916</v>
      </c>
      <c r="W494" s="70">
        <v>98.790000000000077</v>
      </c>
    </row>
    <row r="495" spans="1:23" x14ac:dyDescent="0.25">
      <c r="A495" s="68">
        <v>43489</v>
      </c>
      <c r="B495" s="70">
        <v>160.9</v>
      </c>
      <c r="C495" s="70">
        <v>159.78</v>
      </c>
      <c r="D495" s="70">
        <v>162.78</v>
      </c>
      <c r="E495" s="70">
        <v>158.86000000000001</v>
      </c>
      <c r="F495" s="70">
        <v>35.659999999999997</v>
      </c>
      <c r="G495" s="70">
        <v>6.3E-3</v>
      </c>
      <c r="H495" s="70">
        <v>159.4946794871795</v>
      </c>
      <c r="I495" s="70">
        <v>156.10227920227919</v>
      </c>
      <c r="J495" s="70">
        <v>3.3924002849003045</v>
      </c>
      <c r="K495" s="70">
        <v>2.547280310224763</v>
      </c>
      <c r="L495" s="70">
        <v>0.84511997467554156</v>
      </c>
      <c r="M495" s="70">
        <v>1.5708229061220564</v>
      </c>
      <c r="N495" s="70">
        <v>0.73469387755102156</v>
      </c>
      <c r="O495" s="70">
        <v>0</v>
      </c>
      <c r="P495" s="70">
        <v>0.37794563924135854</v>
      </c>
      <c r="Q495" s="70">
        <v>0.17147183480189251</v>
      </c>
      <c r="R495" s="70">
        <v>0.3758049465008681</v>
      </c>
      <c r="S495" s="70">
        <v>0.29326705267749448</v>
      </c>
      <c r="T495" s="70">
        <v>62.697505811891716</v>
      </c>
      <c r="U495" s="70"/>
      <c r="V495" s="70">
        <v>-64.029999999999916</v>
      </c>
      <c r="W495" s="70">
        <v>96.87000000000009</v>
      </c>
    </row>
    <row r="496" spans="1:23" x14ac:dyDescent="0.25">
      <c r="A496" s="68">
        <v>43488</v>
      </c>
      <c r="B496" s="70">
        <v>159.9</v>
      </c>
      <c r="C496" s="70">
        <v>158.24</v>
      </c>
      <c r="D496" s="70">
        <v>159.9</v>
      </c>
      <c r="E496" s="70">
        <v>158.02000000000001</v>
      </c>
      <c r="F496" s="70">
        <v>14.57</v>
      </c>
      <c r="G496" s="70">
        <v>8.8000000000000005E-3</v>
      </c>
      <c r="H496" s="70">
        <v>159.15467948717949</v>
      </c>
      <c r="I496" s="70">
        <v>155.83233618233621</v>
      </c>
      <c r="J496" s="70">
        <v>3.3223433048432867</v>
      </c>
      <c r="K496" s="70">
        <v>2.1667991452991462</v>
      </c>
      <c r="L496" s="70">
        <v>1.1555441595441405</v>
      </c>
      <c r="M496" s="70">
        <v>1.5377162476649664</v>
      </c>
      <c r="N496" s="70">
        <v>0.74468085106383464</v>
      </c>
      <c r="O496" s="70">
        <v>0</v>
      </c>
      <c r="P496" s="70">
        <v>0.3734320481333997</v>
      </c>
      <c r="Q496" s="70">
        <v>0.17147183480189251</v>
      </c>
      <c r="R496" s="70">
        <v>0.37063456447325427</v>
      </c>
      <c r="S496" s="70">
        <v>0.27929501839645687</v>
      </c>
      <c r="T496" s="70">
        <v>50.034291660425843</v>
      </c>
      <c r="U496" s="70"/>
      <c r="V496" s="70">
        <v>-64.029999999999916</v>
      </c>
      <c r="W496" s="70">
        <v>95.87000000000009</v>
      </c>
    </row>
    <row r="497" spans="1:23" x14ac:dyDescent="0.25">
      <c r="A497" s="68">
        <v>43487</v>
      </c>
      <c r="B497" s="70">
        <v>158.5</v>
      </c>
      <c r="C497" s="70">
        <v>157.86000000000001</v>
      </c>
      <c r="D497" s="70">
        <v>158.5</v>
      </c>
      <c r="E497" s="70">
        <v>156.57</v>
      </c>
      <c r="F497" s="70">
        <v>18.84</v>
      </c>
      <c r="G497" s="70">
        <v>1.2999999999999999E-3</v>
      </c>
      <c r="H497" s="70">
        <v>158.88641025641027</v>
      </c>
      <c r="I497" s="70">
        <v>155.60719373219371</v>
      </c>
      <c r="J497" s="70">
        <v>3.2792165242165652</v>
      </c>
      <c r="K497" s="70">
        <v>1.7164042418487031</v>
      </c>
      <c r="L497" s="70">
        <v>1.5628122823678621</v>
      </c>
      <c r="M497" s="70">
        <v>1.454558522832035</v>
      </c>
      <c r="N497" s="70">
        <v>0</v>
      </c>
      <c r="O497" s="70">
        <v>0.74611398963730191</v>
      </c>
      <c r="P497" s="70">
        <v>0.27989255291417253</v>
      </c>
      <c r="Q497" s="70">
        <v>0.27805954760722135</v>
      </c>
      <c r="R497" s="70">
        <v>3.2852377564996753E-3</v>
      </c>
      <c r="S497" s="70">
        <v>0.21388757172606682</v>
      </c>
      <c r="T497" s="70">
        <v>50.077581657648288</v>
      </c>
      <c r="U497" s="70"/>
      <c r="V497" s="70">
        <v>-64.029999999999916</v>
      </c>
      <c r="W497" s="70">
        <v>94.470000000000084</v>
      </c>
    </row>
    <row r="498" spans="1:23" x14ac:dyDescent="0.25">
      <c r="A498" s="68">
        <v>43486</v>
      </c>
      <c r="B498" s="70">
        <v>158.30000000000001</v>
      </c>
      <c r="C498" s="70">
        <v>159.02000000000001</v>
      </c>
      <c r="D498" s="70">
        <v>160.07</v>
      </c>
      <c r="E498" s="70">
        <v>158.01</v>
      </c>
      <c r="F498" s="70">
        <v>11.92</v>
      </c>
      <c r="G498" s="70">
        <v>-5.7000000000000002E-3</v>
      </c>
      <c r="H498" s="70">
        <v>158.69910256410256</v>
      </c>
      <c r="I498" s="70">
        <v>155.49586894586895</v>
      </c>
      <c r="J498" s="70">
        <v>3.203233618233611</v>
      </c>
      <c r="K498" s="70">
        <v>1.210401076289968</v>
      </c>
      <c r="L498" s="70">
        <v>1.992832541943643</v>
      </c>
      <c r="M498" s="70">
        <v>1.3171206564881783</v>
      </c>
      <c r="N498" s="70">
        <v>0.4223300970873804</v>
      </c>
      <c r="O498" s="70">
        <v>0</v>
      </c>
      <c r="P498" s="70">
        <v>0.34022542392665545</v>
      </c>
      <c r="Q498" s="70">
        <v>0.12227750581481768</v>
      </c>
      <c r="R498" s="70">
        <v>0.4712357567846433</v>
      </c>
      <c r="S498" s="70">
        <v>0.26083325814425984</v>
      </c>
      <c r="T498" s="70">
        <v>37.543360103199014</v>
      </c>
      <c r="U498" s="70"/>
      <c r="V498" s="70">
        <v>-64.029999999999916</v>
      </c>
      <c r="W498" s="70">
        <v>94.270000000000095</v>
      </c>
    </row>
    <row r="499" spans="1:23" x14ac:dyDescent="0.25">
      <c r="A499" s="68">
        <v>43483</v>
      </c>
      <c r="B499" s="70">
        <v>159.19999999999999</v>
      </c>
      <c r="C499" s="70">
        <v>158.16</v>
      </c>
      <c r="D499" s="70">
        <v>159.19999999999999</v>
      </c>
      <c r="E499" s="70">
        <v>157.43</v>
      </c>
      <c r="F499" s="70">
        <v>18.27</v>
      </c>
      <c r="G499" s="70">
        <v>1.34E-2</v>
      </c>
      <c r="H499" s="70">
        <v>158.49910256410257</v>
      </c>
      <c r="I499" s="70">
        <v>155.57321937321936</v>
      </c>
      <c r="J499" s="70">
        <v>2.9258831908832121</v>
      </c>
      <c r="K499" s="70">
        <v>0.59629787907566656</v>
      </c>
      <c r="L499" s="70">
        <v>2.3295853118075458</v>
      </c>
      <c r="M499" s="70">
        <v>1.1161045817114243</v>
      </c>
      <c r="N499" s="70">
        <v>0.85714285714285132</v>
      </c>
      <c r="O499" s="70">
        <v>0</v>
      </c>
      <c r="P499" s="70">
        <v>0.40408139085527672</v>
      </c>
      <c r="Q499" s="70">
        <v>0.12227750581481768</v>
      </c>
      <c r="R499" s="70">
        <v>0.53538353169906627</v>
      </c>
      <c r="S499" s="70">
        <v>0.22467401350667476</v>
      </c>
      <c r="T499" s="70">
        <v>50.071076833664499</v>
      </c>
      <c r="U499" s="70"/>
      <c r="V499" s="70">
        <v>-64.029999999999916</v>
      </c>
      <c r="W499" s="70">
        <v>95.170000000000073</v>
      </c>
    </row>
    <row r="500" spans="1:23" x14ac:dyDescent="0.25">
      <c r="A500" s="68">
        <v>43482</v>
      </c>
      <c r="B500" s="70">
        <v>157.1</v>
      </c>
      <c r="C500" s="70">
        <v>157.4</v>
      </c>
      <c r="D500" s="70">
        <v>157.4</v>
      </c>
      <c r="E500" s="70">
        <v>155.6</v>
      </c>
      <c r="F500" s="70">
        <v>16.239999999999998</v>
      </c>
      <c r="G500" s="70">
        <v>1.2999999999999999E-3</v>
      </c>
      <c r="H500" s="70">
        <v>157.73884615384614</v>
      </c>
      <c r="I500" s="70">
        <v>155.48176638176636</v>
      </c>
      <c r="J500" s="70">
        <v>2.2570797720797771</v>
      </c>
      <c r="K500" s="70">
        <v>-0.12822950300727537</v>
      </c>
      <c r="L500" s="70">
        <v>2.3853092750870526</v>
      </c>
      <c r="M500" s="70">
        <v>0.81401186214861676</v>
      </c>
      <c r="N500" s="70">
        <v>0</v>
      </c>
      <c r="O500" s="70">
        <v>0.11111111111111989</v>
      </c>
      <c r="P500" s="70">
        <v>0.27039552784610671</v>
      </c>
      <c r="Q500" s="70">
        <v>0.13815052168783482</v>
      </c>
      <c r="R500" s="70">
        <v>0.32369669541324286</v>
      </c>
      <c r="S500" s="70">
        <v>0.14045530879288531</v>
      </c>
      <c r="T500" s="70">
        <v>37.595592338465657</v>
      </c>
      <c r="U500" s="70">
        <v>-1</v>
      </c>
      <c r="V500" s="70">
        <v>-64.029999999999916</v>
      </c>
      <c r="W500" s="70">
        <v>93.070000000000078</v>
      </c>
    </row>
    <row r="501" spans="1:23" x14ac:dyDescent="0.25">
      <c r="A501" s="68">
        <v>43481</v>
      </c>
      <c r="B501" s="70">
        <v>156.9</v>
      </c>
      <c r="C501" s="70">
        <v>158.5</v>
      </c>
      <c r="D501" s="70">
        <v>158.75</v>
      </c>
      <c r="E501" s="70">
        <v>155.80000000000001</v>
      </c>
      <c r="F501" s="70">
        <v>20.87</v>
      </c>
      <c r="G501" s="70">
        <v>-7.9000000000000008E-3</v>
      </c>
      <c r="H501" s="70">
        <v>157.25538461538463</v>
      </c>
      <c r="I501" s="70">
        <v>155.67706552706554</v>
      </c>
      <c r="J501" s="70">
        <v>1.5783190883190912</v>
      </c>
      <c r="K501" s="70">
        <v>-0.83393922127255116</v>
      </c>
      <c r="L501" s="70">
        <v>2.4122583095916426</v>
      </c>
      <c r="M501" s="70">
        <v>0.47737445081035024</v>
      </c>
      <c r="N501" s="70">
        <v>0</v>
      </c>
      <c r="O501" s="70">
        <v>0.52542372881355559</v>
      </c>
      <c r="P501" s="70">
        <v>0.29950603997548642</v>
      </c>
      <c r="Q501" s="70">
        <v>0.19001203117646059</v>
      </c>
      <c r="R501" s="70">
        <v>0.22367715361633453</v>
      </c>
      <c r="S501" s="70">
        <v>7.2074233487210801E-2</v>
      </c>
      <c r="T501" s="70">
        <v>37.695977651877776</v>
      </c>
      <c r="U501" s="70"/>
      <c r="V501" s="70">
        <v>-59.199999999999932</v>
      </c>
      <c r="W501" s="70">
        <v>93.070000000000078</v>
      </c>
    </row>
    <row r="502" spans="1:23" x14ac:dyDescent="0.25">
      <c r="A502" s="68">
        <v>43480</v>
      </c>
      <c r="B502" s="70">
        <v>158.15</v>
      </c>
      <c r="C502" s="70">
        <v>160.97</v>
      </c>
      <c r="D502" s="70">
        <v>161.5</v>
      </c>
      <c r="E502" s="70">
        <v>157.35</v>
      </c>
      <c r="F502" s="70">
        <v>20.87</v>
      </c>
      <c r="G502" s="70">
        <v>-1.4500000000000001E-2</v>
      </c>
      <c r="H502" s="70">
        <v>156.84903846153847</v>
      </c>
      <c r="I502" s="70">
        <v>155.90213675213676</v>
      </c>
      <c r="J502" s="70">
        <v>0.9469017094017147</v>
      </c>
      <c r="K502" s="70">
        <v>-1.4737067109844872</v>
      </c>
      <c r="L502" s="70">
        <v>2.4206084203862019</v>
      </c>
      <c r="M502" s="70">
        <v>0.1255577123098503</v>
      </c>
      <c r="N502" s="70">
        <v>0</v>
      </c>
      <c r="O502" s="70">
        <v>0.44578313253011848</v>
      </c>
      <c r="P502" s="70">
        <v>0.29950603997548642</v>
      </c>
      <c r="Q502" s="70">
        <v>0.21828606185624627</v>
      </c>
      <c r="R502" s="70">
        <v>0.1568582792822017</v>
      </c>
      <c r="S502" s="70">
        <v>-1.0502814106286989E-2</v>
      </c>
      <c r="T502" s="70">
        <v>49.983513377716378</v>
      </c>
      <c r="U502" s="70"/>
      <c r="V502" s="70">
        <v>-59.199999999999932</v>
      </c>
      <c r="W502" s="70">
        <v>93.070000000000078</v>
      </c>
    </row>
    <row r="503" spans="1:23" x14ac:dyDescent="0.25">
      <c r="A503" s="68">
        <v>43479</v>
      </c>
      <c r="B503" s="70">
        <v>160.47999999999999</v>
      </c>
      <c r="C503" s="70">
        <v>159.69999999999999</v>
      </c>
      <c r="D503" s="70">
        <v>160.75</v>
      </c>
      <c r="E503" s="70">
        <v>159.19999999999999</v>
      </c>
      <c r="F503" s="70">
        <v>12.59</v>
      </c>
      <c r="G503" s="70">
        <v>-3.2000000000000002E-3</v>
      </c>
      <c r="H503" s="70">
        <v>156.42198717948719</v>
      </c>
      <c r="I503" s="70">
        <v>156.30336182336185</v>
      </c>
      <c r="J503" s="70">
        <v>0.1186253561253352</v>
      </c>
      <c r="K503" s="70">
        <v>-2.076111585944922</v>
      </c>
      <c r="L503" s="70">
        <v>2.1947369420702572</v>
      </c>
      <c r="M503" s="70">
        <v>-0.24290437577617358</v>
      </c>
      <c r="N503" s="70">
        <v>0</v>
      </c>
      <c r="O503" s="70">
        <v>0.3870967741935602</v>
      </c>
      <c r="P503" s="70">
        <v>0.29950603997548642</v>
      </c>
      <c r="Q503" s="70">
        <v>0.22179304321010065</v>
      </c>
      <c r="R503" s="70">
        <v>0.14907564442755647</v>
      </c>
      <c r="S503" s="70">
        <v>-7.8031633649537774E-2</v>
      </c>
      <c r="T503" s="70">
        <v>62.26174248095122</v>
      </c>
      <c r="U503" s="70"/>
      <c r="V503" s="70">
        <v>-59.199999999999932</v>
      </c>
      <c r="W503" s="70">
        <v>93.070000000000078</v>
      </c>
    </row>
    <row r="504" spans="1:23" x14ac:dyDescent="0.25">
      <c r="A504" s="68">
        <v>43476</v>
      </c>
      <c r="B504" s="70">
        <v>161</v>
      </c>
      <c r="C504" s="70">
        <v>160.19999999999999</v>
      </c>
      <c r="D504" s="70">
        <v>161.13</v>
      </c>
      <c r="E504" s="70">
        <v>159.80000000000001</v>
      </c>
      <c r="F504" s="70">
        <v>17.61</v>
      </c>
      <c r="G504" s="70">
        <v>5.0000000000000001E-3</v>
      </c>
      <c r="H504" s="70">
        <v>155.74397435897438</v>
      </c>
      <c r="I504" s="70">
        <v>156.47435897435898</v>
      </c>
      <c r="J504" s="70">
        <v>-0.73038461538459387</v>
      </c>
      <c r="K504" s="70">
        <v>-2.610882874327312</v>
      </c>
      <c r="L504" s="70">
        <v>1.8804982589427182</v>
      </c>
      <c r="M504" s="70">
        <v>-0.60170513690171679</v>
      </c>
      <c r="N504" s="70">
        <v>0.69924812030076533</v>
      </c>
      <c r="O504" s="70">
        <v>0</v>
      </c>
      <c r="P504" s="70">
        <v>0.39939862858988145</v>
      </c>
      <c r="Q504" s="70">
        <v>0.14097063980704963</v>
      </c>
      <c r="R504" s="70">
        <v>0.47824331229917788</v>
      </c>
      <c r="S504" s="70">
        <v>-9.3929045018997459E-2</v>
      </c>
      <c r="T504" s="70">
        <v>74.758051092634133</v>
      </c>
      <c r="U504" s="70"/>
      <c r="V504" s="70">
        <v>-59.199999999999932</v>
      </c>
      <c r="W504" s="70">
        <v>93.070000000000078</v>
      </c>
    </row>
    <row r="505" spans="1:23" x14ac:dyDescent="0.25">
      <c r="A505" s="68">
        <v>43475</v>
      </c>
      <c r="B505" s="70">
        <v>160.19999999999999</v>
      </c>
      <c r="C505" s="70">
        <v>159.75</v>
      </c>
      <c r="D505" s="70">
        <v>160.19999999999999</v>
      </c>
      <c r="E505" s="70">
        <v>157.56</v>
      </c>
      <c r="F505" s="70">
        <v>19.95</v>
      </c>
      <c r="G505" s="70">
        <v>-2.0000000000000001E-4</v>
      </c>
      <c r="H505" s="70">
        <v>154.9242307692308</v>
      </c>
      <c r="I505" s="70">
        <v>156.57179487179488</v>
      </c>
      <c r="J505" s="70">
        <v>-1.6475641025640755</v>
      </c>
      <c r="K505" s="70">
        <v>-3.0557204811649208</v>
      </c>
      <c r="L505" s="70">
        <v>1.4081563786008453</v>
      </c>
      <c r="M505" s="70">
        <v>-0.94059258563531911</v>
      </c>
      <c r="N505" s="70">
        <v>0</v>
      </c>
      <c r="O505" s="70">
        <v>0.31818181818182112</v>
      </c>
      <c r="P505" s="70">
        <v>0.25340176830730404</v>
      </c>
      <c r="Q505" s="70">
        <v>0.21127347130391183</v>
      </c>
      <c r="R505" s="70">
        <v>9.0661807241203735E-2</v>
      </c>
      <c r="S505" s="70">
        <v>-0.23668923637867498</v>
      </c>
      <c r="T505" s="70">
        <v>74.549871734422325</v>
      </c>
      <c r="U505" s="70"/>
      <c r="V505" s="70">
        <v>-59.199999999999932</v>
      </c>
      <c r="W505" s="70">
        <v>93.070000000000078</v>
      </c>
    </row>
    <row r="506" spans="1:23" x14ac:dyDescent="0.25">
      <c r="A506" s="68">
        <v>43474</v>
      </c>
      <c r="B506" s="70">
        <v>160.24</v>
      </c>
      <c r="C506" s="70">
        <v>158.88</v>
      </c>
      <c r="D506" s="70">
        <v>160.4</v>
      </c>
      <c r="E506" s="70">
        <v>158.4</v>
      </c>
      <c r="F506" s="70">
        <v>19.149999999999999</v>
      </c>
      <c r="G506" s="70">
        <v>1.2500000000000001E-2</v>
      </c>
      <c r="H506" s="70">
        <v>154.37121794871794</v>
      </c>
      <c r="I506" s="70">
        <v>156.6135754985755</v>
      </c>
      <c r="J506" s="70">
        <v>-2.2423575498575588</v>
      </c>
      <c r="K506" s="70">
        <v>-3.2953825577714539</v>
      </c>
      <c r="L506" s="70">
        <v>1.0530250079138952</v>
      </c>
      <c r="M506" s="70">
        <v>-1.2049594425833778</v>
      </c>
      <c r="N506" s="70">
        <v>0.68224299065420457</v>
      </c>
      <c r="O506" s="70">
        <v>0</v>
      </c>
      <c r="P506" s="70">
        <v>0.38019286772857713</v>
      </c>
      <c r="Q506" s="70">
        <v>0.14483990487034479</v>
      </c>
      <c r="R506" s="70">
        <v>0.44826337543317696</v>
      </c>
      <c r="S506" s="70">
        <v>-0.22066164876806449</v>
      </c>
      <c r="T506" s="70">
        <v>87.232154382341548</v>
      </c>
      <c r="U506" s="70"/>
      <c r="V506" s="70">
        <v>-59.199999999999932</v>
      </c>
      <c r="W506" s="70">
        <v>93.070000000000078</v>
      </c>
    </row>
    <row r="507" spans="1:23" x14ac:dyDescent="0.25">
      <c r="A507" s="68">
        <v>43473</v>
      </c>
      <c r="B507" s="70">
        <v>158.26</v>
      </c>
      <c r="C507" s="70">
        <v>158.75</v>
      </c>
      <c r="D507" s="70">
        <v>158.94</v>
      </c>
      <c r="E507" s="70">
        <v>156.55000000000001</v>
      </c>
      <c r="F507" s="70">
        <v>17.04</v>
      </c>
      <c r="G507" s="70">
        <v>-5.5999999999999999E-3</v>
      </c>
      <c r="H507" s="70">
        <v>153.55467948717947</v>
      </c>
      <c r="I507" s="70">
        <v>156.63606837606835</v>
      </c>
      <c r="J507" s="70">
        <v>-3.0813888888888812</v>
      </c>
      <c r="K507" s="70">
        <v>-3.4339561570117154</v>
      </c>
      <c r="L507" s="70">
        <v>0.35256726812283423</v>
      </c>
      <c r="M507" s="70">
        <v>-1.4580839116565627</v>
      </c>
      <c r="N507" s="70">
        <v>0</v>
      </c>
      <c r="O507" s="70">
        <v>6.6945606694559623E-2</v>
      </c>
      <c r="P507" s="70">
        <v>0.23774652902055643</v>
      </c>
      <c r="Q507" s="70">
        <v>0.23452597220590152</v>
      </c>
      <c r="R507" s="70">
        <v>6.819276596226451E-3</v>
      </c>
      <c r="S507" s="70">
        <v>-0.37276899714145872</v>
      </c>
      <c r="T507" s="70">
        <v>75.10621468005121</v>
      </c>
      <c r="U507" s="70"/>
      <c r="V507" s="70">
        <v>-59.199999999999932</v>
      </c>
      <c r="W507" s="70">
        <v>93.070000000000078</v>
      </c>
    </row>
    <row r="508" spans="1:23" x14ac:dyDescent="0.25">
      <c r="A508" s="68">
        <v>43469</v>
      </c>
      <c r="B508" s="70">
        <v>159.15</v>
      </c>
      <c r="C508" s="70">
        <v>156.71</v>
      </c>
      <c r="D508" s="70">
        <v>159.15</v>
      </c>
      <c r="E508" s="70">
        <v>156.71</v>
      </c>
      <c r="F508" s="70">
        <v>14.56</v>
      </c>
      <c r="G508" s="70">
        <v>1.84E-2</v>
      </c>
      <c r="H508" s="70">
        <v>153.24243589743588</v>
      </c>
      <c r="I508" s="70">
        <v>156.96267806267804</v>
      </c>
      <c r="J508" s="70">
        <v>-3.7202421652421549</v>
      </c>
      <c r="K508" s="70">
        <v>-3.3906587527698688</v>
      </c>
      <c r="L508" s="70">
        <v>-0.32958341247228606</v>
      </c>
      <c r="M508" s="70">
        <v>-1.6254499163388088</v>
      </c>
      <c r="N508" s="70">
        <v>0.64459930313588554</v>
      </c>
      <c r="O508" s="70">
        <v>0</v>
      </c>
      <c r="P508" s="70">
        <v>0.32983214375425435</v>
      </c>
      <c r="Q508" s="70">
        <v>0.2315373290498943</v>
      </c>
      <c r="R508" s="70">
        <v>0.17509825429829401</v>
      </c>
      <c r="S508" s="70">
        <v>-0.39663929537261783</v>
      </c>
      <c r="T508" s="70">
        <v>75.632308500854023</v>
      </c>
      <c r="U508" s="70"/>
      <c r="V508" s="70">
        <v>-59.199999999999932</v>
      </c>
      <c r="W508" s="70">
        <v>93.070000000000078</v>
      </c>
    </row>
    <row r="509" spans="1:23" x14ac:dyDescent="0.25">
      <c r="A509" s="68">
        <v>43468</v>
      </c>
      <c r="B509" s="70">
        <v>156.28</v>
      </c>
      <c r="C509" s="70">
        <v>154.13</v>
      </c>
      <c r="D509" s="70">
        <v>157.30000000000001</v>
      </c>
      <c r="E509" s="70">
        <v>154.11000000000001</v>
      </c>
      <c r="F509" s="70">
        <v>14.18</v>
      </c>
      <c r="G509" s="70">
        <v>1.8100000000000002E-2</v>
      </c>
      <c r="H509" s="70">
        <v>152.4046153846154</v>
      </c>
      <c r="I509" s="70">
        <v>156.55955840455843</v>
      </c>
      <c r="J509" s="70">
        <v>-4.1549430199430333</v>
      </c>
      <c r="K509" s="70">
        <v>-3.1668474200696508</v>
      </c>
      <c r="L509" s="70">
        <v>-0.98809559987338247</v>
      </c>
      <c r="M509" s="70">
        <v>-1.6932680949945988</v>
      </c>
      <c r="N509" s="70">
        <v>0.93947368421052924</v>
      </c>
      <c r="O509" s="70">
        <v>0</v>
      </c>
      <c r="P509" s="70">
        <v>0.32945600238233191</v>
      </c>
      <c r="Q509" s="70">
        <v>0.2315373290498943</v>
      </c>
      <c r="R509" s="70">
        <v>0.17454516452530633</v>
      </c>
      <c r="S509" s="70">
        <v>-0.43522937814832779</v>
      </c>
      <c r="T509" s="70">
        <v>62.978515867176974</v>
      </c>
      <c r="U509" s="70"/>
      <c r="V509" s="70">
        <v>-59.199999999999932</v>
      </c>
      <c r="W509" s="70">
        <v>93.070000000000078</v>
      </c>
    </row>
    <row r="510" spans="1:23" x14ac:dyDescent="0.25">
      <c r="A510" s="68">
        <v>43463</v>
      </c>
      <c r="B510" s="70">
        <v>153.5</v>
      </c>
      <c r="C510" s="70">
        <v>153.69</v>
      </c>
      <c r="D510" s="70">
        <v>153.72999999999999</v>
      </c>
      <c r="E510" s="70">
        <v>152.82</v>
      </c>
      <c r="F510" s="70">
        <v>2.9</v>
      </c>
      <c r="G510" s="70">
        <v>3.3E-3</v>
      </c>
      <c r="H510" s="70">
        <v>151.9148717948718</v>
      </c>
      <c r="I510" s="70">
        <v>156.11324786324789</v>
      </c>
      <c r="J510" s="70">
        <v>-4.198376068376092</v>
      </c>
      <c r="K510" s="70">
        <v>-2.7450034821146021</v>
      </c>
      <c r="L510" s="70">
        <v>-1.4533725862614899</v>
      </c>
      <c r="M510" s="70">
        <v>-1.6442733929571649</v>
      </c>
      <c r="N510" s="70">
        <v>0</v>
      </c>
      <c r="O510" s="70">
        <v>0</v>
      </c>
      <c r="P510" s="70">
        <v>0.13330215622848512</v>
      </c>
      <c r="Q510" s="70">
        <v>0.24679984431240953</v>
      </c>
      <c r="R510" s="70">
        <v>-0.29859797612855066</v>
      </c>
      <c r="S510" s="70">
        <v>-0.53703584263767645</v>
      </c>
      <c r="T510" s="70">
        <v>50.226420727863847</v>
      </c>
      <c r="U510" s="70"/>
      <c r="V510" s="70">
        <v>-59.199999999999932</v>
      </c>
      <c r="W510" s="70">
        <v>93.070000000000078</v>
      </c>
    </row>
    <row r="511" spans="1:23" x14ac:dyDescent="0.25">
      <c r="A511" s="68">
        <v>43462</v>
      </c>
      <c r="B511" s="70">
        <v>153</v>
      </c>
      <c r="C511" s="70">
        <v>151.68</v>
      </c>
      <c r="D511" s="70">
        <v>153.80000000000001</v>
      </c>
      <c r="E511" s="70">
        <v>151.16</v>
      </c>
      <c r="F511" s="70">
        <v>14.22</v>
      </c>
      <c r="G511" s="70">
        <v>1.54E-2</v>
      </c>
      <c r="H511" s="70">
        <v>152.04878205128207</v>
      </c>
      <c r="I511" s="70">
        <v>156.01531339031339</v>
      </c>
      <c r="J511" s="70">
        <v>-3.9665313390313202</v>
      </c>
      <c r="K511" s="70">
        <v>-2.1809890788224084</v>
      </c>
      <c r="L511" s="70">
        <v>-1.7855422602089117</v>
      </c>
      <c r="M511" s="70">
        <v>-1.5449713743047109</v>
      </c>
      <c r="N511" s="70">
        <v>0.4487179487179499</v>
      </c>
      <c r="O511" s="70">
        <v>0</v>
      </c>
      <c r="P511" s="70">
        <v>0.19740472033104939</v>
      </c>
      <c r="Q511" s="70">
        <v>0.30628559083972079</v>
      </c>
      <c r="R511" s="70">
        <v>-0.21616629919997932</v>
      </c>
      <c r="S511" s="70">
        <v>-0.53788900537709117</v>
      </c>
      <c r="T511" s="70">
        <v>50.204945237305012</v>
      </c>
      <c r="U511" s="70"/>
      <c r="V511" s="70">
        <v>-59.199999999999932</v>
      </c>
      <c r="W511" s="70">
        <v>93.070000000000078</v>
      </c>
    </row>
    <row r="512" spans="1:23" x14ac:dyDescent="0.25">
      <c r="A512" s="68">
        <v>43461</v>
      </c>
      <c r="B512" s="70">
        <v>150.68</v>
      </c>
      <c r="C512" s="70">
        <v>151</v>
      </c>
      <c r="D512" s="70">
        <v>152.4</v>
      </c>
      <c r="E512" s="70">
        <v>150.06</v>
      </c>
      <c r="F512" s="70">
        <v>16.36</v>
      </c>
      <c r="G512" s="70">
        <v>1.5299999999999999E-2</v>
      </c>
      <c r="H512" s="70">
        <v>151.88858974358973</v>
      </c>
      <c r="I512" s="70">
        <v>155.87586894586894</v>
      </c>
      <c r="J512" s="70">
        <v>-3.9872792022792112</v>
      </c>
      <c r="K512" s="70">
        <v>-1.6143896802785731</v>
      </c>
      <c r="L512" s="70">
        <v>-2.3728895220006381</v>
      </c>
      <c r="M512" s="70">
        <v>-1.4568831769686532</v>
      </c>
      <c r="N512" s="70">
        <v>0.68671679197995061</v>
      </c>
      <c r="O512" s="70">
        <v>0</v>
      </c>
      <c r="P512" s="70">
        <v>0.20181875626619566</v>
      </c>
      <c r="Q512" s="70">
        <v>0.361353428030463</v>
      </c>
      <c r="R512" s="70">
        <v>-0.2832786778407903</v>
      </c>
      <c r="S512" s="70">
        <v>-0.56334863223975273</v>
      </c>
      <c r="T512" s="70">
        <v>37.54453570746373</v>
      </c>
      <c r="U512" s="70"/>
      <c r="V512" s="70">
        <v>-59.199999999999932</v>
      </c>
      <c r="W512" s="70">
        <v>93.070000000000078</v>
      </c>
    </row>
    <row r="513" spans="1:23" x14ac:dyDescent="0.25">
      <c r="A513" s="68">
        <v>43460</v>
      </c>
      <c r="B513" s="70">
        <v>148.41</v>
      </c>
      <c r="C513" s="70">
        <v>147.47</v>
      </c>
      <c r="D513" s="70">
        <v>149.66</v>
      </c>
      <c r="E513" s="70">
        <v>147.36000000000001</v>
      </c>
      <c r="F513" s="70">
        <v>8.59</v>
      </c>
      <c r="G513" s="70">
        <v>9.4999999999999998E-3</v>
      </c>
      <c r="H513" s="70">
        <v>152.0978205128205</v>
      </c>
      <c r="I513" s="70">
        <v>155.76897435897436</v>
      </c>
      <c r="J513" s="70">
        <v>-3.6711538461538566</v>
      </c>
      <c r="K513" s="70">
        <v>-0.89240614118392236</v>
      </c>
      <c r="L513" s="70">
        <v>-2.7787477049699341</v>
      </c>
      <c r="M513" s="70">
        <v>-1.2922834531723486</v>
      </c>
      <c r="N513" s="70">
        <v>0.4415094339622585</v>
      </c>
      <c r="O513" s="70">
        <v>0</v>
      </c>
      <c r="P513" s="70">
        <v>0.12151110345180333</v>
      </c>
      <c r="Q513" s="70">
        <v>0.361353428030463</v>
      </c>
      <c r="R513" s="70">
        <v>-0.49670727282951849</v>
      </c>
      <c r="S513" s="70">
        <v>-0.57961614421963459</v>
      </c>
      <c r="T513" s="70">
        <v>24.97141531476295</v>
      </c>
      <c r="U513" s="70"/>
      <c r="V513" s="70">
        <v>-59.199999999999932</v>
      </c>
      <c r="W513" s="70">
        <v>93.070000000000078</v>
      </c>
    </row>
    <row r="514" spans="1:23" x14ac:dyDescent="0.25">
      <c r="A514" s="68">
        <v>43459</v>
      </c>
      <c r="B514" s="70">
        <v>147.01</v>
      </c>
      <c r="C514" s="70">
        <v>148.36000000000001</v>
      </c>
      <c r="D514" s="70">
        <v>148.49</v>
      </c>
      <c r="E514" s="70">
        <v>145.02000000000001</v>
      </c>
      <c r="F514" s="70">
        <v>13.18</v>
      </c>
      <c r="G514" s="70">
        <v>-1.8200000000000001E-2</v>
      </c>
      <c r="H514" s="70">
        <v>152.7701923076923</v>
      </c>
      <c r="I514" s="70">
        <v>155.77566951566953</v>
      </c>
      <c r="J514" s="70">
        <v>-3.0054772079772363</v>
      </c>
      <c r="K514" s="70">
        <v>-6.3756410256417539E-2</v>
      </c>
      <c r="L514" s="70">
        <v>-2.9417207977208188</v>
      </c>
      <c r="M514" s="70">
        <v>-1.0433448337038178</v>
      </c>
      <c r="N514" s="70">
        <v>0</v>
      </c>
      <c r="O514" s="70">
        <v>1.1268011527377515</v>
      </c>
      <c r="P514" s="70">
        <v>3.2169800642707393E-2</v>
      </c>
      <c r="Q514" s="70">
        <v>0.52232502127871316</v>
      </c>
      <c r="R514" s="70">
        <v>-0.88396717382776102</v>
      </c>
      <c r="S514" s="70">
        <v>-0.60561367509905861</v>
      </c>
      <c r="T514" s="70">
        <v>12.602044598947217</v>
      </c>
      <c r="U514" s="70"/>
      <c r="V514" s="70">
        <v>-59.199999999999932</v>
      </c>
      <c r="W514" s="70">
        <v>93.070000000000078</v>
      </c>
    </row>
    <row r="515" spans="1:23" x14ac:dyDescent="0.25">
      <c r="A515" s="68">
        <v>43458</v>
      </c>
      <c r="B515" s="70">
        <v>149.72999999999999</v>
      </c>
      <c r="C515" s="70">
        <v>150.66</v>
      </c>
      <c r="D515" s="70">
        <v>151.15</v>
      </c>
      <c r="E515" s="70">
        <v>148.93</v>
      </c>
      <c r="F515" s="70">
        <v>10.71</v>
      </c>
      <c r="G515" s="70">
        <v>-9.1999999999999998E-3</v>
      </c>
      <c r="H515" s="70">
        <v>154.31615384615384</v>
      </c>
      <c r="I515" s="70">
        <v>156.22964387464387</v>
      </c>
      <c r="J515" s="70">
        <v>-1.9134900284900311</v>
      </c>
      <c r="K515" s="70">
        <v>0.76485501741058015</v>
      </c>
      <c r="L515" s="70">
        <v>-2.6783450459006115</v>
      </c>
      <c r="M515" s="70">
        <v>-0.7279127697247405</v>
      </c>
      <c r="N515" s="70">
        <v>0</v>
      </c>
      <c r="O515" s="70">
        <v>0.62612612612612029</v>
      </c>
      <c r="P515" s="70">
        <v>3.2169800642707393E-2</v>
      </c>
      <c r="Q515" s="70">
        <v>0.39809884257126582</v>
      </c>
      <c r="R515" s="70">
        <v>-0.8504664416053701</v>
      </c>
      <c r="S515" s="70">
        <v>-0.55963829871556625</v>
      </c>
      <c r="T515" s="70">
        <v>25.295689915890833</v>
      </c>
      <c r="U515" s="70"/>
      <c r="V515" s="70">
        <v>-59.199999999999932</v>
      </c>
      <c r="W515" s="70">
        <v>93.070000000000078</v>
      </c>
    </row>
    <row r="516" spans="1:23" x14ac:dyDescent="0.25">
      <c r="A516" s="68">
        <v>43455</v>
      </c>
      <c r="B516" s="70">
        <v>151.12</v>
      </c>
      <c r="C516" s="70">
        <v>151.44999999999999</v>
      </c>
      <c r="D516" s="70">
        <v>152.27000000000001</v>
      </c>
      <c r="E516" s="70">
        <v>150.32</v>
      </c>
      <c r="F516" s="70">
        <v>24.62</v>
      </c>
      <c r="G516" s="70">
        <v>-7.6E-3</v>
      </c>
      <c r="H516" s="70">
        <v>155.29788461538459</v>
      </c>
      <c r="I516" s="70">
        <v>156.45475783475783</v>
      </c>
      <c r="J516" s="70">
        <v>-1.1568732193732387</v>
      </c>
      <c r="K516" s="70">
        <v>1.4093509021842434</v>
      </c>
      <c r="L516" s="70">
        <v>-2.5662241215574824</v>
      </c>
      <c r="M516" s="70">
        <v>-0.42712682758837206</v>
      </c>
      <c r="N516" s="70">
        <v>0</v>
      </c>
      <c r="O516" s="70">
        <v>0</v>
      </c>
      <c r="P516" s="70">
        <v>3.2169800642707393E-2</v>
      </c>
      <c r="Q516" s="70">
        <v>0.29816939757139965</v>
      </c>
      <c r="R516" s="70">
        <v>-0.80523170839776159</v>
      </c>
      <c r="S516" s="70">
        <v>-0.51267016179819513</v>
      </c>
      <c r="T516" s="70">
        <v>25.171008646001937</v>
      </c>
      <c r="U516" s="70"/>
      <c r="V516" s="70">
        <v>-59.199999999999932</v>
      </c>
      <c r="W516" s="70">
        <v>93.070000000000078</v>
      </c>
    </row>
    <row r="517" spans="1:23" x14ac:dyDescent="0.25">
      <c r="A517" s="68">
        <v>43454</v>
      </c>
      <c r="B517" s="70">
        <v>152.27000000000001</v>
      </c>
      <c r="C517" s="70">
        <v>150.22</v>
      </c>
      <c r="D517" s="70">
        <v>152.38</v>
      </c>
      <c r="E517" s="70">
        <v>149.69999999999999</v>
      </c>
      <c r="F517" s="70">
        <v>27.35</v>
      </c>
      <c r="G517" s="70">
        <v>-4.5999999999999999E-3</v>
      </c>
      <c r="H517" s="70">
        <v>156.42320512820513</v>
      </c>
      <c r="I517" s="70">
        <v>156.64749287749285</v>
      </c>
      <c r="J517" s="70">
        <v>-0.22428774928772555</v>
      </c>
      <c r="K517" s="70">
        <v>2.0115995568217979</v>
      </c>
      <c r="L517" s="70">
        <v>-2.2358873061095235</v>
      </c>
      <c r="M517" s="70">
        <v>-9.7143288493714786E-2</v>
      </c>
      <c r="N517" s="70">
        <v>0</v>
      </c>
      <c r="O517" s="70">
        <v>0.3768656716417973</v>
      </c>
      <c r="P517" s="70">
        <v>3.2169800642707393E-2</v>
      </c>
      <c r="Q517" s="70">
        <v>0.38888158753732177</v>
      </c>
      <c r="R517" s="70">
        <v>-0.84719299569698814</v>
      </c>
      <c r="S517" s="70">
        <v>-0.48153119348600032</v>
      </c>
      <c r="T517" s="70">
        <v>25.018796232669075</v>
      </c>
      <c r="U517" s="70">
        <v>1</v>
      </c>
      <c r="V517" s="70">
        <v>-59.199999999999932</v>
      </c>
      <c r="W517" s="70">
        <v>93.070000000000078</v>
      </c>
    </row>
    <row r="518" spans="1:23" x14ac:dyDescent="0.25">
      <c r="A518" s="68">
        <v>43453</v>
      </c>
      <c r="B518" s="70">
        <v>152.97999999999999</v>
      </c>
      <c r="C518" s="70">
        <v>151.01</v>
      </c>
      <c r="D518" s="70">
        <v>153.79</v>
      </c>
      <c r="E518" s="70">
        <v>150.71</v>
      </c>
      <c r="F518" s="70">
        <v>19.87</v>
      </c>
      <c r="G518" s="70">
        <v>7.1999999999999998E-3</v>
      </c>
      <c r="H518" s="70">
        <v>157.37365384615384</v>
      </c>
      <c r="I518" s="70">
        <v>156.68512820512819</v>
      </c>
      <c r="J518" s="70">
        <v>0.68852564102564884</v>
      </c>
      <c r="K518" s="70">
        <v>2.5204819563153023</v>
      </c>
      <c r="L518" s="70">
        <v>-1.8319563152896534</v>
      </c>
      <c r="M518" s="70">
        <v>0.23119720735105403</v>
      </c>
      <c r="N518" s="70">
        <v>0.44480519480519859</v>
      </c>
      <c r="O518" s="70">
        <v>0</v>
      </c>
      <c r="P518" s="70">
        <v>0.1203156633088264</v>
      </c>
      <c r="Q518" s="70">
        <v>0.31019534840332019</v>
      </c>
      <c r="R518" s="70">
        <v>-0.44105651174714533</v>
      </c>
      <c r="S518" s="70">
        <v>-0.35467954636016946</v>
      </c>
      <c r="T518" s="70">
        <v>24.843458994284248</v>
      </c>
      <c r="U518" s="70"/>
      <c r="V518" s="70">
        <v>-59.199999999999932</v>
      </c>
      <c r="W518" s="70">
        <v>93.780000000000058</v>
      </c>
    </row>
    <row r="519" spans="1:23" x14ac:dyDescent="0.25">
      <c r="A519" s="68">
        <v>43452</v>
      </c>
      <c r="B519" s="70">
        <v>151.88999999999999</v>
      </c>
      <c r="C519" s="70">
        <v>152.4</v>
      </c>
      <c r="D519" s="70">
        <v>152.41999999999999</v>
      </c>
      <c r="E519" s="70">
        <v>150.05000000000001</v>
      </c>
      <c r="F519" s="70">
        <v>30.1</v>
      </c>
      <c r="G519" s="70">
        <v>-1.0699999999999999E-2</v>
      </c>
      <c r="H519" s="70">
        <v>158.08173076923075</v>
      </c>
      <c r="I519" s="70">
        <v>156.4565954415954</v>
      </c>
      <c r="J519" s="70">
        <v>1.6251353276353484</v>
      </c>
      <c r="K519" s="70">
        <v>2.8935063311174618</v>
      </c>
      <c r="L519" s="70">
        <v>-1.2683710034821134</v>
      </c>
      <c r="M519" s="70">
        <v>0.53924862854777589</v>
      </c>
      <c r="N519" s="70">
        <v>0</v>
      </c>
      <c r="O519" s="70">
        <v>1.2151898734177318</v>
      </c>
      <c r="P519" s="70">
        <v>2.7444249008839881E-2</v>
      </c>
      <c r="Q519" s="70">
        <v>0.53399370194851048</v>
      </c>
      <c r="R519" s="70">
        <v>-0.90223586074990958</v>
      </c>
      <c r="S519" s="70">
        <v>-0.40328831644424795</v>
      </c>
      <c r="T519" s="70">
        <v>25.443179103289012</v>
      </c>
      <c r="U519" s="70"/>
      <c r="V519" s="70">
        <v>-59.199999999999932</v>
      </c>
      <c r="W519" s="70">
        <v>92.690000000000055</v>
      </c>
    </row>
    <row r="520" spans="1:23" x14ac:dyDescent="0.25">
      <c r="A520" s="68">
        <v>43451</v>
      </c>
      <c r="B520" s="70">
        <v>153.53</v>
      </c>
      <c r="C520" s="70">
        <v>155.4</v>
      </c>
      <c r="D520" s="70">
        <v>156.41</v>
      </c>
      <c r="E520" s="70">
        <v>152.93</v>
      </c>
      <c r="F520" s="70">
        <v>18.36</v>
      </c>
      <c r="G520" s="70">
        <v>-1.2E-2</v>
      </c>
      <c r="H520" s="70">
        <v>158.99685897435896</v>
      </c>
      <c r="I520" s="70">
        <v>156.54246438746438</v>
      </c>
      <c r="J520" s="70">
        <v>2.4543945868945798</v>
      </c>
      <c r="K520" s="70">
        <v>3.1622185818297073</v>
      </c>
      <c r="L520" s="70">
        <v>-0.70782399493512749</v>
      </c>
      <c r="M520" s="70">
        <v>0.82359827320511025</v>
      </c>
      <c r="N520" s="70">
        <v>0</v>
      </c>
      <c r="O520" s="70">
        <v>0.16666666666666258</v>
      </c>
      <c r="P520" s="70">
        <v>4.9539175359085606E-2</v>
      </c>
      <c r="Q520" s="70">
        <v>0.30408226317630954</v>
      </c>
      <c r="R520" s="70">
        <v>-0.71981803159749858</v>
      </c>
      <c r="S520" s="70">
        <v>-0.31046031664042562</v>
      </c>
      <c r="T520" s="70">
        <v>25.267511843281156</v>
      </c>
      <c r="U520" s="70"/>
      <c r="V520" s="70">
        <v>-59.199999999999932</v>
      </c>
      <c r="W520" s="70">
        <v>94.330000000000069</v>
      </c>
    </row>
    <row r="521" spans="1:23" x14ac:dyDescent="0.25">
      <c r="A521" s="68">
        <v>43448</v>
      </c>
      <c r="B521" s="70">
        <v>155.4</v>
      </c>
      <c r="C521" s="70">
        <v>155.91</v>
      </c>
      <c r="D521" s="70">
        <v>155.97999999999999</v>
      </c>
      <c r="E521" s="70">
        <v>153.51</v>
      </c>
      <c r="F521" s="70">
        <v>13.74</v>
      </c>
      <c r="G521" s="70">
        <v>-7.0000000000000001E-3</v>
      </c>
      <c r="H521" s="70">
        <v>160.09262820512822</v>
      </c>
      <c r="I521" s="70">
        <v>156.66887464387466</v>
      </c>
      <c r="J521" s="70">
        <v>3.4237535612535623</v>
      </c>
      <c r="K521" s="70">
        <v>3.3551362773029627</v>
      </c>
      <c r="L521" s="70">
        <v>6.8617283950599628E-2</v>
      </c>
      <c r="M521" s="70">
        <v>1.087349780324141</v>
      </c>
      <c r="N521" s="70">
        <v>0</v>
      </c>
      <c r="O521" s="70">
        <v>0</v>
      </c>
      <c r="P521" s="70">
        <v>0.11295380950542708</v>
      </c>
      <c r="Q521" s="70">
        <v>0.26928372837777559</v>
      </c>
      <c r="R521" s="70">
        <v>-0.40898630662516722</v>
      </c>
      <c r="S521" s="70">
        <v>-0.20729160180197564</v>
      </c>
      <c r="T521" s="70">
        <v>37.951500231287298</v>
      </c>
      <c r="U521" s="70"/>
      <c r="V521" s="70">
        <v>-59.199999999999932</v>
      </c>
      <c r="W521" s="70">
        <v>96.200000000000074</v>
      </c>
    </row>
    <row r="522" spans="1:23" x14ac:dyDescent="0.25">
      <c r="A522" s="68">
        <v>43447</v>
      </c>
      <c r="B522" s="70">
        <v>156.49</v>
      </c>
      <c r="C522" s="70">
        <v>154.94999999999999</v>
      </c>
      <c r="D522" s="70">
        <v>156.49</v>
      </c>
      <c r="E522" s="70">
        <v>153.25</v>
      </c>
      <c r="F522" s="70">
        <v>19.68</v>
      </c>
      <c r="G522" s="70">
        <v>4.4999999999999997E-3</v>
      </c>
      <c r="H522" s="70">
        <v>160.97814102564101</v>
      </c>
      <c r="I522" s="70">
        <v>156.82475783475783</v>
      </c>
      <c r="J522" s="70">
        <v>4.1533831908831758</v>
      </c>
      <c r="K522" s="70">
        <v>3.390292339347913</v>
      </c>
      <c r="L522" s="70">
        <v>0.76309085153526279</v>
      </c>
      <c r="M522" s="70">
        <v>1.2233213598683694</v>
      </c>
      <c r="N522" s="70">
        <v>0</v>
      </c>
      <c r="O522" s="70">
        <v>0.23148148148148084</v>
      </c>
      <c r="P522" s="70">
        <v>0.14745095792662632</v>
      </c>
      <c r="Q522" s="70">
        <v>0.30235251144655856</v>
      </c>
      <c r="R522" s="70">
        <v>-0.34437607547979204</v>
      </c>
      <c r="S522" s="70">
        <v>-0.18194756974036713</v>
      </c>
      <c r="T522" s="70">
        <v>37.69145117459724</v>
      </c>
      <c r="U522" s="70"/>
      <c r="V522" s="70">
        <v>-59.199999999999932</v>
      </c>
      <c r="W522" s="70">
        <v>97.290000000000077</v>
      </c>
    </row>
    <row r="523" spans="1:23" x14ac:dyDescent="0.25">
      <c r="A523" s="68">
        <v>43446</v>
      </c>
      <c r="B523" s="70">
        <v>155.79</v>
      </c>
      <c r="C523" s="70">
        <v>158</v>
      </c>
      <c r="D523" s="70">
        <v>158.09</v>
      </c>
      <c r="E523" s="70">
        <v>154</v>
      </c>
      <c r="F523" s="70">
        <v>32.729999999999997</v>
      </c>
      <c r="G523" s="70">
        <v>-1.77E-2</v>
      </c>
      <c r="H523" s="70">
        <v>160.68076923076924</v>
      </c>
      <c r="I523" s="70">
        <v>156.82133903133897</v>
      </c>
      <c r="J523" s="70">
        <v>3.8594301994302782</v>
      </c>
      <c r="K523" s="70">
        <v>3.0870212092434701</v>
      </c>
      <c r="L523" s="70">
        <v>0.77240899018680809</v>
      </c>
      <c r="M523" s="70">
        <v>1.1980059762965884</v>
      </c>
      <c r="N523" s="70">
        <v>0</v>
      </c>
      <c r="O523" s="70">
        <v>0.90220048899755367</v>
      </c>
      <c r="P523" s="70">
        <v>0.14745095792662632</v>
      </c>
      <c r="Q523" s="70">
        <v>0.43094638955945552</v>
      </c>
      <c r="R523" s="70">
        <v>-0.4901395776882449</v>
      </c>
      <c r="S523" s="70">
        <v>-0.2117256355962282</v>
      </c>
      <c r="T523" s="70">
        <v>38.120756584543535</v>
      </c>
      <c r="U523" s="70"/>
      <c r="V523" s="70">
        <v>-59.199999999999932</v>
      </c>
      <c r="W523" s="70">
        <v>96.59000000000006</v>
      </c>
    </row>
    <row r="524" spans="1:23" x14ac:dyDescent="0.25">
      <c r="A524" s="68">
        <v>43445</v>
      </c>
      <c r="B524" s="70">
        <v>158.6</v>
      </c>
      <c r="C524" s="70">
        <v>160.80000000000001</v>
      </c>
      <c r="D524" s="70">
        <v>161.27000000000001</v>
      </c>
      <c r="E524" s="70">
        <v>157.69</v>
      </c>
      <c r="F524" s="70">
        <v>24.95</v>
      </c>
      <c r="G524" s="70">
        <v>-1.49E-2</v>
      </c>
      <c r="H524" s="70">
        <v>160.67166666666665</v>
      </c>
      <c r="I524" s="70">
        <v>157.03696581196576</v>
      </c>
      <c r="J524" s="70">
        <v>3.6347008547008954</v>
      </c>
      <c r="K524" s="70">
        <v>2.8116530547641916</v>
      </c>
      <c r="L524" s="70">
        <v>0.82304779993670385</v>
      </c>
      <c r="M524" s="70">
        <v>1.2153986969029773</v>
      </c>
      <c r="N524" s="70">
        <v>0</v>
      </c>
      <c r="O524" s="70">
        <v>0.83519553072625663</v>
      </c>
      <c r="P524" s="70">
        <v>0.14745095792662632</v>
      </c>
      <c r="Q524" s="70">
        <v>0.39554031426876518</v>
      </c>
      <c r="R524" s="70">
        <v>-0.45689381956192043</v>
      </c>
      <c r="S524" s="70">
        <v>-0.19603417314854499</v>
      </c>
      <c r="T524" s="70">
        <v>37.959312532725541</v>
      </c>
      <c r="U524" s="70"/>
      <c r="V524" s="70">
        <v>-59.199999999999932</v>
      </c>
      <c r="W524" s="70">
        <v>99.400000000000063</v>
      </c>
    </row>
    <row r="525" spans="1:23" x14ac:dyDescent="0.25">
      <c r="A525" s="68">
        <v>43444</v>
      </c>
      <c r="B525" s="70">
        <v>161</v>
      </c>
      <c r="C525" s="70">
        <v>161.5</v>
      </c>
      <c r="D525" s="70">
        <v>162.5</v>
      </c>
      <c r="E525" s="70">
        <v>160.68</v>
      </c>
      <c r="F525" s="70">
        <v>13.64</v>
      </c>
      <c r="G525" s="70">
        <v>-1.23E-2</v>
      </c>
      <c r="H525" s="70">
        <v>160.56070512820511</v>
      </c>
      <c r="I525" s="70">
        <v>157.04059829059827</v>
      </c>
      <c r="J525" s="70">
        <v>3.5201068376068463</v>
      </c>
      <c r="K525" s="70">
        <v>2.5172078189300571</v>
      </c>
      <c r="L525" s="70">
        <v>1.0028990186767892</v>
      </c>
      <c r="M525" s="70">
        <v>1.2764914129871427</v>
      </c>
      <c r="N525" s="70">
        <v>0</v>
      </c>
      <c r="O525" s="70">
        <v>0</v>
      </c>
      <c r="P525" s="70">
        <v>0.19316154985570591</v>
      </c>
      <c r="Q525" s="70">
        <v>0.22115882983141497</v>
      </c>
      <c r="R525" s="70">
        <v>-6.7573987060089935E-2</v>
      </c>
      <c r="S525" s="70">
        <v>-0.10065877546507136</v>
      </c>
      <c r="T525" s="70">
        <v>37.773452764985791</v>
      </c>
      <c r="U525" s="70"/>
      <c r="V525" s="70">
        <v>-59.199999999999932</v>
      </c>
      <c r="W525" s="70">
        <v>101.80000000000007</v>
      </c>
    </row>
    <row r="526" spans="1:23" x14ac:dyDescent="0.25">
      <c r="A526" s="68">
        <v>43441</v>
      </c>
      <c r="B526" s="70">
        <v>163</v>
      </c>
      <c r="C526" s="70">
        <v>160.81</v>
      </c>
      <c r="D526" s="70">
        <v>163.15</v>
      </c>
      <c r="E526" s="70">
        <v>159.66999999999999</v>
      </c>
      <c r="F526" s="70">
        <v>29.92</v>
      </c>
      <c r="G526" s="70">
        <v>1.4800000000000001E-2</v>
      </c>
      <c r="H526" s="70">
        <v>160.3684615384615</v>
      </c>
      <c r="I526" s="70">
        <v>156.9216524216524</v>
      </c>
      <c r="J526" s="70">
        <v>3.4468091168091064</v>
      </c>
      <c r="K526" s="70">
        <v>2.0968793922127373</v>
      </c>
      <c r="L526" s="70">
        <v>1.3499297245963691</v>
      </c>
      <c r="M526" s="70">
        <v>1.3513005019671689</v>
      </c>
      <c r="N526" s="70">
        <v>4.310344827586348E-2</v>
      </c>
      <c r="O526" s="70">
        <v>0</v>
      </c>
      <c r="P526" s="70">
        <v>0.19931918532368642</v>
      </c>
      <c r="Q526" s="70">
        <v>0.22115882983141497</v>
      </c>
      <c r="R526" s="70">
        <v>-5.1940039004589982E-2</v>
      </c>
      <c r="S526" s="70">
        <v>-0.10512251674152384</v>
      </c>
      <c r="T526" s="70">
        <v>50.284427137021339</v>
      </c>
      <c r="U526" s="70"/>
      <c r="V526" s="70">
        <v>-59.199999999999932</v>
      </c>
      <c r="W526" s="70">
        <v>103.80000000000007</v>
      </c>
    </row>
    <row r="527" spans="1:23" x14ac:dyDescent="0.25">
      <c r="A527" s="68">
        <v>43440</v>
      </c>
      <c r="B527" s="70">
        <v>160.62</v>
      </c>
      <c r="C527" s="70">
        <v>162.9</v>
      </c>
      <c r="D527" s="70">
        <v>163</v>
      </c>
      <c r="E527" s="70">
        <v>159</v>
      </c>
      <c r="F527" s="70">
        <v>30.37</v>
      </c>
      <c r="G527" s="70">
        <v>-2.4E-2</v>
      </c>
      <c r="H527" s="70">
        <v>159.2548717948718</v>
      </c>
      <c r="I527" s="70">
        <v>156.47719373219368</v>
      </c>
      <c r="J527" s="70">
        <v>2.7776780626781203</v>
      </c>
      <c r="K527" s="70">
        <v>1.5059933523267124</v>
      </c>
      <c r="L527" s="70">
        <v>1.271684710351408</v>
      </c>
      <c r="M527" s="70">
        <v>1.3436171274120077</v>
      </c>
      <c r="N527" s="70">
        <v>0</v>
      </c>
      <c r="O527" s="70">
        <v>0.32750000000000057</v>
      </c>
      <c r="P527" s="70">
        <v>0.19031956425509952</v>
      </c>
      <c r="Q527" s="70">
        <v>0.3235429997155847</v>
      </c>
      <c r="R527" s="70">
        <v>-0.25925888515997358</v>
      </c>
      <c r="S527" s="70">
        <v>-0.15534308043442618</v>
      </c>
      <c r="T527" s="70">
        <v>49.932715598446691</v>
      </c>
      <c r="U527" s="70"/>
      <c r="V527" s="70">
        <v>-59.199999999999932</v>
      </c>
      <c r="W527" s="70">
        <v>101.42000000000007</v>
      </c>
    </row>
    <row r="528" spans="1:23" x14ac:dyDescent="0.25">
      <c r="A528" s="68">
        <v>43439</v>
      </c>
      <c r="B528" s="70">
        <v>164.57</v>
      </c>
      <c r="C528" s="70">
        <v>161.22999999999999</v>
      </c>
      <c r="D528" s="70">
        <v>164.57</v>
      </c>
      <c r="E528" s="70">
        <v>160.31</v>
      </c>
      <c r="F528" s="70">
        <v>23.41</v>
      </c>
      <c r="G528" s="70">
        <v>2.3E-3</v>
      </c>
      <c r="H528" s="70">
        <v>159.22019230769232</v>
      </c>
      <c r="I528" s="70">
        <v>156.43787749287748</v>
      </c>
      <c r="J528" s="70">
        <v>2.7823148148148391</v>
      </c>
      <c r="K528" s="70">
        <v>1.1416684077239774</v>
      </c>
      <c r="L528" s="70">
        <v>1.6406464070908617</v>
      </c>
      <c r="M528" s="70">
        <v>1.4153402071179886</v>
      </c>
      <c r="N528" s="70">
        <v>0</v>
      </c>
      <c r="O528" s="70">
        <v>0.46713615023474492</v>
      </c>
      <c r="P528" s="70">
        <v>0.19891965981171711</v>
      </c>
      <c r="Q528" s="70">
        <v>0.3218976145842844</v>
      </c>
      <c r="R528" s="70">
        <v>-0.23612495364172856</v>
      </c>
      <c r="S528" s="70">
        <v>-0.12886409153387543</v>
      </c>
      <c r="T528" s="70">
        <v>50.362195197617424</v>
      </c>
      <c r="U528" s="70"/>
      <c r="V528" s="70">
        <v>-59.199999999999932</v>
      </c>
      <c r="W528" s="70">
        <v>105.37000000000006</v>
      </c>
    </row>
    <row r="529" spans="1:23" x14ac:dyDescent="0.25">
      <c r="A529" s="68">
        <v>43438</v>
      </c>
      <c r="B529" s="70">
        <v>164.2</v>
      </c>
      <c r="C529" s="70">
        <v>164.94</v>
      </c>
      <c r="D529" s="70">
        <v>165</v>
      </c>
      <c r="E529" s="70">
        <v>162.30000000000001</v>
      </c>
      <c r="F529" s="70">
        <v>21.85</v>
      </c>
      <c r="G529" s="70">
        <v>-7.3000000000000001E-3</v>
      </c>
      <c r="H529" s="70">
        <v>158.42500000000001</v>
      </c>
      <c r="I529" s="70">
        <v>155.98133903133902</v>
      </c>
      <c r="J529" s="70">
        <v>2.4436609686609927</v>
      </c>
      <c r="K529" s="70">
        <v>0.72086451408675001</v>
      </c>
      <c r="L529" s="70">
        <v>1.7227964545742427</v>
      </c>
      <c r="M529" s="70">
        <v>1.4284466220705558</v>
      </c>
      <c r="N529" s="70">
        <v>0</v>
      </c>
      <c r="O529" s="70">
        <v>0.55925925925925823</v>
      </c>
      <c r="P529" s="70">
        <v>0.19891965981171711</v>
      </c>
      <c r="Q529" s="70">
        <v>0.32596287607234281</v>
      </c>
      <c r="R529" s="70">
        <v>-0.2420412331811474</v>
      </c>
      <c r="S529" s="70">
        <v>-0.12447188683217031</v>
      </c>
      <c r="T529" s="70">
        <v>37.974901690454182</v>
      </c>
      <c r="U529" s="70"/>
      <c r="V529" s="70">
        <v>-59.199999999999932</v>
      </c>
      <c r="W529" s="70">
        <v>105.00000000000006</v>
      </c>
    </row>
    <row r="530" spans="1:23" x14ac:dyDescent="0.25">
      <c r="A530" s="68">
        <v>43437</v>
      </c>
      <c r="B530" s="70">
        <v>165.4</v>
      </c>
      <c r="C530" s="70">
        <v>164.27</v>
      </c>
      <c r="D530" s="70">
        <v>166.65</v>
      </c>
      <c r="E530" s="70">
        <v>163.81</v>
      </c>
      <c r="F530" s="70">
        <v>39.36</v>
      </c>
      <c r="G530" s="70">
        <v>2.5499999999999998E-2</v>
      </c>
      <c r="H530" s="70">
        <v>157.83115384615388</v>
      </c>
      <c r="I530" s="70">
        <v>155.65356125356126</v>
      </c>
      <c r="J530" s="70">
        <v>2.1775925925926174</v>
      </c>
      <c r="K530" s="70">
        <v>0.30883285849953446</v>
      </c>
      <c r="L530" s="70">
        <v>1.868759734093083</v>
      </c>
      <c r="M530" s="70">
        <v>1.4374134393621596</v>
      </c>
      <c r="N530" s="70">
        <v>0.37313432835820798</v>
      </c>
      <c r="O530" s="70">
        <v>0</v>
      </c>
      <c r="P530" s="70">
        <v>0.31168296260700246</v>
      </c>
      <c r="Q530" s="70">
        <v>0.20919445930392627</v>
      </c>
      <c r="R530" s="70">
        <v>0.19676127048678638</v>
      </c>
      <c r="S530" s="70">
        <v>-2.8356005422929952E-2</v>
      </c>
      <c r="T530" s="70">
        <v>50.437893373555823</v>
      </c>
      <c r="U530" s="70"/>
      <c r="V530" s="70">
        <v>-59.199999999999932</v>
      </c>
      <c r="W530" s="70">
        <v>106.20000000000007</v>
      </c>
    </row>
    <row r="531" spans="1:23" x14ac:dyDescent="0.25">
      <c r="A531" s="68">
        <v>43434</v>
      </c>
      <c r="B531" s="70">
        <v>161.29</v>
      </c>
      <c r="C531" s="70">
        <v>164.4</v>
      </c>
      <c r="D531" s="70">
        <v>164.65</v>
      </c>
      <c r="E531" s="70">
        <v>160.25</v>
      </c>
      <c r="F531" s="70">
        <v>34.06</v>
      </c>
      <c r="G531" s="70">
        <v>-2.24E-2</v>
      </c>
      <c r="H531" s="70">
        <v>156.40487179487181</v>
      </c>
      <c r="I531" s="70">
        <v>155.00189458689459</v>
      </c>
      <c r="J531" s="70">
        <v>1.4029772079772158</v>
      </c>
      <c r="K531" s="70">
        <v>-0.21607818930040829</v>
      </c>
      <c r="L531" s="70">
        <v>1.619055397277624</v>
      </c>
      <c r="M531" s="70">
        <v>1.3445361691173645</v>
      </c>
      <c r="N531" s="70">
        <v>0</v>
      </c>
      <c r="O531" s="70">
        <v>0.76136363636363413</v>
      </c>
      <c r="P531" s="70">
        <v>0.23377579514759642</v>
      </c>
      <c r="Q531" s="70">
        <v>0.33576146681045832</v>
      </c>
      <c r="R531" s="70">
        <v>-0.1790676018496801</v>
      </c>
      <c r="S531" s="70">
        <v>-0.11647828163576432</v>
      </c>
      <c r="T531" s="70">
        <v>49.923800556934154</v>
      </c>
      <c r="U531" s="70">
        <v>-1</v>
      </c>
      <c r="V531" s="70">
        <v>-59.199999999999932</v>
      </c>
      <c r="W531" s="70">
        <v>102.09000000000006</v>
      </c>
    </row>
    <row r="532" spans="1:23" x14ac:dyDescent="0.25">
      <c r="A532" s="68">
        <v>43433</v>
      </c>
      <c r="B532" s="70">
        <v>164.99</v>
      </c>
      <c r="C532" s="70">
        <v>166.6</v>
      </c>
      <c r="D532" s="70">
        <v>167.36</v>
      </c>
      <c r="E532" s="70">
        <v>163.6</v>
      </c>
      <c r="F532" s="70">
        <v>43.34</v>
      </c>
      <c r="G532" s="70">
        <v>-3.5999999999999999E-3</v>
      </c>
      <c r="H532" s="70">
        <v>156.30846153846153</v>
      </c>
      <c r="I532" s="70">
        <v>155.04128205128202</v>
      </c>
      <c r="J532" s="70">
        <v>1.2671794871795043</v>
      </c>
      <c r="K532" s="70">
        <v>-0.56256726812281832</v>
      </c>
      <c r="L532" s="70">
        <v>1.8297467553023226</v>
      </c>
      <c r="M532" s="70">
        <v>1.2894615210683591</v>
      </c>
      <c r="N532" s="70">
        <v>0.3351063829787268</v>
      </c>
      <c r="O532" s="70">
        <v>0</v>
      </c>
      <c r="P532" s="70">
        <v>0.28164813557312884</v>
      </c>
      <c r="Q532" s="70">
        <v>0.22563548168447384</v>
      </c>
      <c r="R532" s="70">
        <v>0.11041683977783837</v>
      </c>
      <c r="S532" s="70">
        <v>-8.9142852729245756E-2</v>
      </c>
      <c r="T532" s="70">
        <v>50.316442971910163</v>
      </c>
      <c r="U532" s="70"/>
      <c r="V532" s="70">
        <v>-49.209999999999951</v>
      </c>
      <c r="W532" s="70">
        <v>102.09000000000006</v>
      </c>
    </row>
    <row r="533" spans="1:23" x14ac:dyDescent="0.25">
      <c r="A533" s="68">
        <v>43432</v>
      </c>
      <c r="B533" s="70">
        <v>165.58</v>
      </c>
      <c r="C533" s="70">
        <v>154.21</v>
      </c>
      <c r="D533" s="70">
        <v>166.1</v>
      </c>
      <c r="E533" s="70">
        <v>154</v>
      </c>
      <c r="F533" s="70">
        <v>75.59</v>
      </c>
      <c r="G533" s="70">
        <v>7.6600000000000001E-2</v>
      </c>
      <c r="H533" s="70">
        <v>155.25974358974358</v>
      </c>
      <c r="I533" s="70">
        <v>154.67971509971508</v>
      </c>
      <c r="J533" s="70">
        <v>0.58002849002849644</v>
      </c>
      <c r="K533" s="70">
        <v>-1.0300892687559338</v>
      </c>
      <c r="L533" s="70">
        <v>1.6101177587844302</v>
      </c>
      <c r="M533" s="70">
        <v>1.1499362157310882</v>
      </c>
      <c r="N533" s="70">
        <v>0.96178861788617886</v>
      </c>
      <c r="O533" s="70">
        <v>0</v>
      </c>
      <c r="P533" s="70">
        <v>0.34907924278109048</v>
      </c>
      <c r="Q533" s="70">
        <v>0.24690453521159189</v>
      </c>
      <c r="R533" s="70">
        <v>0.17143873934560869</v>
      </c>
      <c r="S533" s="70">
        <v>-9.4340173608297759E-2</v>
      </c>
      <c r="T533" s="70">
        <v>63.262806055394208</v>
      </c>
      <c r="U533" s="70"/>
      <c r="V533" s="70">
        <v>-49.209999999999951</v>
      </c>
      <c r="W533" s="70">
        <v>102.09000000000006</v>
      </c>
    </row>
    <row r="534" spans="1:23" x14ac:dyDescent="0.25">
      <c r="A534" s="68">
        <v>43431</v>
      </c>
      <c r="B534" s="70">
        <v>153.80000000000001</v>
      </c>
      <c r="C534" s="70">
        <v>149.91999999999999</v>
      </c>
      <c r="D534" s="70">
        <v>154.27000000000001</v>
      </c>
      <c r="E534" s="70">
        <v>149.80000000000001</v>
      </c>
      <c r="F534" s="70">
        <v>20.11</v>
      </c>
      <c r="G534" s="70">
        <v>2.86E-2</v>
      </c>
      <c r="H534" s="70">
        <v>152.41160256410257</v>
      </c>
      <c r="I534" s="70">
        <v>153.45527065527065</v>
      </c>
      <c r="J534" s="70">
        <v>-1.0436680911680867</v>
      </c>
      <c r="K534" s="70">
        <v>-1.6698282684393786</v>
      </c>
      <c r="L534" s="70">
        <v>0.62616017727129192</v>
      </c>
      <c r="M534" s="70">
        <v>0.89786588466930339</v>
      </c>
      <c r="N534" s="70">
        <v>0.52320675105485515</v>
      </c>
      <c r="O534" s="70">
        <v>0</v>
      </c>
      <c r="P534" s="70">
        <v>0.22301005623027428</v>
      </c>
      <c r="Q534" s="70">
        <v>0.31088403397369929</v>
      </c>
      <c r="R534" s="70">
        <v>-0.164590654505752</v>
      </c>
      <c r="S534" s="70">
        <v>-0.17811732316081894</v>
      </c>
      <c r="T534" s="70">
        <v>50.336830027864295</v>
      </c>
      <c r="U534" s="70"/>
      <c r="V534" s="70">
        <v>-49.209999999999951</v>
      </c>
      <c r="W534" s="70">
        <v>102.09000000000006</v>
      </c>
    </row>
    <row r="535" spans="1:23" x14ac:dyDescent="0.25">
      <c r="A535" s="68">
        <v>43430</v>
      </c>
      <c r="B535" s="70">
        <v>149.53</v>
      </c>
      <c r="C535" s="70">
        <v>151.51</v>
      </c>
      <c r="D535" s="70">
        <v>151.79</v>
      </c>
      <c r="E535" s="70">
        <v>146.30000000000001</v>
      </c>
      <c r="F535" s="70">
        <v>30.53</v>
      </c>
      <c r="G535" s="70">
        <v>-1.49E-2</v>
      </c>
      <c r="H535" s="70">
        <v>151.71166666666667</v>
      </c>
      <c r="I535" s="70">
        <v>153.40678062678063</v>
      </c>
      <c r="J535" s="70">
        <v>-1.6951139601139573</v>
      </c>
      <c r="K535" s="70">
        <v>-2.0540655270655277</v>
      </c>
      <c r="L535" s="70">
        <v>0.35895156695157038</v>
      </c>
      <c r="M535" s="70">
        <v>0.78999409327614534</v>
      </c>
      <c r="N535" s="70">
        <v>0</v>
      </c>
      <c r="O535" s="70">
        <v>0.72859744990892783</v>
      </c>
      <c r="P535" s="70">
        <v>0.14572839329828788</v>
      </c>
      <c r="Q535" s="70">
        <v>0.41496938396068894</v>
      </c>
      <c r="R535" s="70">
        <v>-0.48018915284203662</v>
      </c>
      <c r="S535" s="70">
        <v>-0.19934312655231035</v>
      </c>
      <c r="T535" s="70">
        <v>50.350664459993112</v>
      </c>
      <c r="U535" s="70"/>
      <c r="V535" s="70">
        <v>-49.209999999999951</v>
      </c>
      <c r="W535" s="70">
        <v>102.09000000000006</v>
      </c>
    </row>
    <row r="536" spans="1:23" x14ac:dyDescent="0.25">
      <c r="A536" s="68">
        <v>43427</v>
      </c>
      <c r="B536" s="70">
        <v>151.79</v>
      </c>
      <c r="C536" s="70">
        <v>153.43</v>
      </c>
      <c r="D536" s="70">
        <v>153.66999999999999</v>
      </c>
      <c r="E536" s="70">
        <v>150.30000000000001</v>
      </c>
      <c r="F536" s="70">
        <v>19.149999999999999</v>
      </c>
      <c r="G536" s="70">
        <v>-1.38E-2</v>
      </c>
      <c r="H536" s="70">
        <v>152.6220512820513</v>
      </c>
      <c r="I536" s="70">
        <v>153.95346153846157</v>
      </c>
      <c r="J536" s="70">
        <v>-1.3314102564102654</v>
      </c>
      <c r="K536" s="70">
        <v>-2.257891421335867</v>
      </c>
      <c r="L536" s="70">
        <v>0.92648116492560151</v>
      </c>
      <c r="M536" s="70">
        <v>0.78396310558703708</v>
      </c>
      <c r="N536" s="70">
        <v>0</v>
      </c>
      <c r="O536" s="70">
        <v>0.51038575667656116</v>
      </c>
      <c r="P536" s="70">
        <v>0.17135793616920966</v>
      </c>
      <c r="Q536" s="70">
        <v>0.33575689262580616</v>
      </c>
      <c r="R536" s="70">
        <v>-0.32418487317208639</v>
      </c>
      <c r="S536" s="70">
        <v>-0.14651829244684159</v>
      </c>
      <c r="T536" s="70">
        <v>62.67275076460102</v>
      </c>
      <c r="U536" s="70"/>
      <c r="V536" s="70">
        <v>-49.209999999999951</v>
      </c>
      <c r="W536" s="70">
        <v>102.09000000000006</v>
      </c>
    </row>
    <row r="537" spans="1:23" x14ac:dyDescent="0.25">
      <c r="A537" s="68">
        <v>43426</v>
      </c>
      <c r="B537" s="70">
        <v>153.91</v>
      </c>
      <c r="C537" s="70">
        <v>152.44</v>
      </c>
      <c r="D537" s="70">
        <v>154.4</v>
      </c>
      <c r="E537" s="70">
        <v>152.02000000000001</v>
      </c>
      <c r="F537" s="70">
        <v>11.61</v>
      </c>
      <c r="G537" s="70">
        <v>9.9000000000000008E-3</v>
      </c>
      <c r="H537" s="70">
        <v>153.37551282051282</v>
      </c>
      <c r="I537" s="70">
        <v>154.56527065527064</v>
      </c>
      <c r="J537" s="70">
        <v>-1.1897578347578133</v>
      </c>
      <c r="K537" s="70">
        <v>-2.5497008547008453</v>
      </c>
      <c r="L537" s="70">
        <v>1.359943019943032</v>
      </c>
      <c r="M537" s="70">
        <v>0.69106690460536957</v>
      </c>
      <c r="N537" s="70">
        <v>0.6932773109243735</v>
      </c>
      <c r="O537" s="70">
        <v>0</v>
      </c>
      <c r="P537" s="70">
        <v>0.30762563005995325</v>
      </c>
      <c r="Q537" s="70">
        <v>0.22919283353949116</v>
      </c>
      <c r="R537" s="70">
        <v>0.14610674155013037</v>
      </c>
      <c r="S537" s="70">
        <v>-6.7150667761087759E-2</v>
      </c>
      <c r="T537" s="70">
        <v>62.824821706697264</v>
      </c>
      <c r="U537" s="70"/>
      <c r="V537" s="70">
        <v>-49.209999999999951</v>
      </c>
      <c r="W537" s="70">
        <v>102.09000000000006</v>
      </c>
    </row>
    <row r="538" spans="1:23" x14ac:dyDescent="0.25">
      <c r="A538" s="68">
        <v>43425</v>
      </c>
      <c r="B538" s="70">
        <v>152.4</v>
      </c>
      <c r="C538" s="70">
        <v>151.22999999999999</v>
      </c>
      <c r="D538" s="70">
        <v>152.75</v>
      </c>
      <c r="E538" s="70">
        <v>151.13</v>
      </c>
      <c r="F538" s="70">
        <v>15.58</v>
      </c>
      <c r="G538" s="70">
        <v>5.8999999999999999E-3</v>
      </c>
      <c r="H538" s="70">
        <v>153.29057692307691</v>
      </c>
      <c r="I538" s="70">
        <v>154.88361823361825</v>
      </c>
      <c r="J538" s="70">
        <v>-1.5930413105413379</v>
      </c>
      <c r="K538" s="70">
        <v>-2.9786449825894299</v>
      </c>
      <c r="L538" s="70">
        <v>1.385603672048092</v>
      </c>
      <c r="M538" s="70">
        <v>0.47066333413341721</v>
      </c>
      <c r="N538" s="70">
        <v>0</v>
      </c>
      <c r="O538" s="70">
        <v>0</v>
      </c>
      <c r="P538" s="70">
        <v>0.16287542228453464</v>
      </c>
      <c r="Q538" s="70">
        <v>0.22919283353949116</v>
      </c>
      <c r="R538" s="70">
        <v>-0.16914761720653593</v>
      </c>
      <c r="S538" s="70">
        <v>-0.15481867722288148</v>
      </c>
      <c r="T538" s="70">
        <v>50.332818355137725</v>
      </c>
      <c r="U538" s="70"/>
      <c r="V538" s="70">
        <v>-49.209999999999951</v>
      </c>
      <c r="W538" s="70">
        <v>102.09000000000006</v>
      </c>
    </row>
    <row r="539" spans="1:23" x14ac:dyDescent="0.25">
      <c r="A539" s="68">
        <v>43424</v>
      </c>
      <c r="B539" s="70">
        <v>151.51</v>
      </c>
      <c r="C539" s="70">
        <v>153.80000000000001</v>
      </c>
      <c r="D539" s="70">
        <v>154</v>
      </c>
      <c r="E539" s="70">
        <v>150.30000000000001</v>
      </c>
      <c r="F539" s="70">
        <v>17.170000000000002</v>
      </c>
      <c r="G539" s="70">
        <v>-1.6799999999999999E-2</v>
      </c>
      <c r="H539" s="70">
        <v>153.24602564102562</v>
      </c>
      <c r="I539" s="70">
        <v>155.23079772079771</v>
      </c>
      <c r="J539" s="70">
        <v>-1.9847720797720854</v>
      </c>
      <c r="K539" s="70">
        <v>-3.3877014878125937</v>
      </c>
      <c r="L539" s="70">
        <v>1.4029294080405084</v>
      </c>
      <c r="M539" s="70">
        <v>0.22919329040696687</v>
      </c>
      <c r="N539" s="70">
        <v>0</v>
      </c>
      <c r="O539" s="70">
        <v>0.8432432432432394</v>
      </c>
      <c r="P539" s="70">
        <v>0.16287542228453464</v>
      </c>
      <c r="Q539" s="70">
        <v>0.34965615400281108</v>
      </c>
      <c r="R539" s="70">
        <v>-0.36442775501027802</v>
      </c>
      <c r="S539" s="70">
        <v>-0.20694949037008134</v>
      </c>
      <c r="T539" s="70">
        <v>37.7844572010479</v>
      </c>
      <c r="U539" s="70"/>
      <c r="V539" s="70">
        <v>-49.209999999999951</v>
      </c>
      <c r="W539" s="70">
        <v>102.09000000000006</v>
      </c>
    </row>
    <row r="540" spans="1:23" x14ac:dyDescent="0.25">
      <c r="A540" s="68">
        <v>43423</v>
      </c>
      <c r="B540" s="70">
        <v>154.1</v>
      </c>
      <c r="C540" s="70">
        <v>153.5</v>
      </c>
      <c r="D540" s="70">
        <v>155</v>
      </c>
      <c r="E540" s="70">
        <v>153.41999999999999</v>
      </c>
      <c r="F540" s="70">
        <v>18.739999999999998</v>
      </c>
      <c r="G540" s="70">
        <v>6.1000000000000004E-3</v>
      </c>
      <c r="H540" s="70">
        <v>153.78480769230768</v>
      </c>
      <c r="I540" s="70">
        <v>155.97428774928773</v>
      </c>
      <c r="J540" s="70">
        <v>-2.1894800569800452</v>
      </c>
      <c r="K540" s="70">
        <v>-3.7495477999366784</v>
      </c>
      <c r="L540" s="70">
        <v>1.5600677429566332</v>
      </c>
      <c r="M540" s="70">
        <v>2.0399208262490698E-3</v>
      </c>
      <c r="N540" s="70">
        <v>0.13043478260870037</v>
      </c>
      <c r="O540" s="70">
        <v>0</v>
      </c>
      <c r="P540" s="70">
        <v>0.20886290368021182</v>
      </c>
      <c r="Q540" s="70">
        <v>0.17359437794103585</v>
      </c>
      <c r="R540" s="70">
        <v>9.221559487551563E-2</v>
      </c>
      <c r="S540" s="70">
        <v>-0.13480101081041831</v>
      </c>
      <c r="T540" s="70">
        <v>37.599189323919035</v>
      </c>
      <c r="U540" s="70"/>
      <c r="V540" s="70">
        <v>-49.209999999999951</v>
      </c>
      <c r="W540" s="70">
        <v>102.09000000000006</v>
      </c>
    </row>
    <row r="541" spans="1:23" x14ac:dyDescent="0.25">
      <c r="A541" s="68">
        <v>43420</v>
      </c>
      <c r="B541" s="70">
        <v>153.16</v>
      </c>
      <c r="C541" s="70">
        <v>154.47999999999999</v>
      </c>
      <c r="D541" s="70">
        <v>154.76</v>
      </c>
      <c r="E541" s="70">
        <v>151.54</v>
      </c>
      <c r="F541" s="70">
        <v>22.64</v>
      </c>
      <c r="G541" s="70">
        <v>-6.4000000000000003E-3</v>
      </c>
      <c r="H541" s="70">
        <v>153.73679487179487</v>
      </c>
      <c r="I541" s="70">
        <v>156.18314814814815</v>
      </c>
      <c r="J541" s="70">
        <v>-2.4463532763532783</v>
      </c>
      <c r="K541" s="70">
        <v>-4.1077885406774231</v>
      </c>
      <c r="L541" s="70">
        <v>1.6614352643241448</v>
      </c>
      <c r="M541" s="70">
        <v>-0.28735748898141911</v>
      </c>
      <c r="N541" s="70">
        <v>0</v>
      </c>
      <c r="O541" s="70">
        <v>0.32919254658385178</v>
      </c>
      <c r="P541" s="70">
        <v>0.18162926775092272</v>
      </c>
      <c r="Q541" s="70">
        <v>0.24912463184861897</v>
      </c>
      <c r="R541" s="70">
        <v>-0.15669124333045981</v>
      </c>
      <c r="S541" s="70">
        <v>-0.20929589789721775</v>
      </c>
      <c r="T541" s="70">
        <v>37.789835590099564</v>
      </c>
      <c r="U541" s="70"/>
      <c r="V541" s="70">
        <v>-49.209999999999951</v>
      </c>
      <c r="W541" s="70">
        <v>102.09000000000006</v>
      </c>
    </row>
    <row r="542" spans="1:23" x14ac:dyDescent="0.25">
      <c r="A542" s="68">
        <v>43419</v>
      </c>
      <c r="B542" s="70">
        <v>154.13999999999999</v>
      </c>
      <c r="C542" s="70">
        <v>152.77000000000001</v>
      </c>
      <c r="D542" s="70">
        <v>155.21</v>
      </c>
      <c r="E542" s="70">
        <v>152.6</v>
      </c>
      <c r="F542" s="70">
        <v>29.42</v>
      </c>
      <c r="G542" s="70">
        <v>1.5100000000000001E-2</v>
      </c>
      <c r="H542" s="70">
        <v>153.75641025641028</v>
      </c>
      <c r="I542" s="70">
        <v>156.72012820512822</v>
      </c>
      <c r="J542" s="70">
        <v>-2.9637179487179424</v>
      </c>
      <c r="K542" s="70">
        <v>-4.5062573599240183</v>
      </c>
      <c r="L542" s="70">
        <v>1.542539411206076</v>
      </c>
      <c r="M542" s="70">
        <v>-0.61750963756091615</v>
      </c>
      <c r="N542" s="70">
        <v>0.90178571428571097</v>
      </c>
      <c r="O542" s="70">
        <v>0</v>
      </c>
      <c r="P542" s="70">
        <v>0.31045579836316717</v>
      </c>
      <c r="Q542" s="70">
        <v>0.18039212212232025</v>
      </c>
      <c r="R542" s="70">
        <v>0.26497754357847469</v>
      </c>
      <c r="S542" s="70">
        <v>-0.17302360972723932</v>
      </c>
      <c r="T542" s="70">
        <v>50.382845902492157</v>
      </c>
      <c r="U542" s="70"/>
      <c r="V542" s="70">
        <v>-49.209999999999951</v>
      </c>
      <c r="W542" s="70">
        <v>102.09000000000006</v>
      </c>
    </row>
    <row r="543" spans="1:23" x14ac:dyDescent="0.25">
      <c r="A543" s="68">
        <v>43418</v>
      </c>
      <c r="B543" s="70">
        <v>151.85</v>
      </c>
      <c r="C543" s="70">
        <v>148.30000000000001</v>
      </c>
      <c r="D543" s="70">
        <v>152.18</v>
      </c>
      <c r="E543" s="70">
        <v>147.55000000000001</v>
      </c>
      <c r="F543" s="70">
        <v>29.95</v>
      </c>
      <c r="G543" s="70">
        <v>2.0299999999999999E-2</v>
      </c>
      <c r="H543" s="70">
        <v>153.28987179487177</v>
      </c>
      <c r="I543" s="70">
        <v>157.19045584045583</v>
      </c>
      <c r="J543" s="70">
        <v>-3.9005840455840541</v>
      </c>
      <c r="K543" s="70">
        <v>-4.9017312440645728</v>
      </c>
      <c r="L543" s="70">
        <v>1.0011471984805187</v>
      </c>
      <c r="M543" s="70">
        <v>-1.0251257422539473</v>
      </c>
      <c r="N543" s="70">
        <v>0</v>
      </c>
      <c r="O543" s="70">
        <v>0.26997840172786203</v>
      </c>
      <c r="P543" s="70">
        <v>0.1221708690068099</v>
      </c>
      <c r="Q543" s="70">
        <v>0.24006591064936367</v>
      </c>
      <c r="R543" s="70">
        <v>-0.32546402867885726</v>
      </c>
      <c r="S543" s="70">
        <v>-0.31523677506179193</v>
      </c>
      <c r="T543" s="70">
        <v>50.365497670409738</v>
      </c>
      <c r="U543" s="70"/>
      <c r="V543" s="70">
        <v>-49.209999999999951</v>
      </c>
      <c r="W543" s="70">
        <v>102.09000000000006</v>
      </c>
    </row>
    <row r="544" spans="1:23" x14ac:dyDescent="0.25">
      <c r="A544" s="68">
        <v>43417</v>
      </c>
      <c r="B544" s="70">
        <v>148.83000000000001</v>
      </c>
      <c r="C544" s="70">
        <v>150.47999999999999</v>
      </c>
      <c r="D544" s="70">
        <v>151.5</v>
      </c>
      <c r="E544" s="70">
        <v>148.80000000000001</v>
      </c>
      <c r="F544" s="70">
        <v>28.46</v>
      </c>
      <c r="G544" s="70">
        <v>-1.37E-2</v>
      </c>
      <c r="H544" s="70">
        <v>152.87108974358975</v>
      </c>
      <c r="I544" s="70">
        <v>157.67757834757833</v>
      </c>
      <c r="J544" s="70">
        <v>-4.8064886039885835</v>
      </c>
      <c r="K544" s="70">
        <v>-5.1337472301361089</v>
      </c>
      <c r="L544" s="70">
        <v>0.32725862614752543</v>
      </c>
      <c r="M544" s="70">
        <v>-1.4018231600624722</v>
      </c>
      <c r="N544" s="70">
        <v>0</v>
      </c>
      <c r="O544" s="70">
        <v>0.74074074074074381</v>
      </c>
      <c r="P544" s="70">
        <v>0.1265463562198256</v>
      </c>
      <c r="Q544" s="70">
        <v>0.28951689962519112</v>
      </c>
      <c r="R544" s="70">
        <v>-0.39169655362710509</v>
      </c>
      <c r="S544" s="70">
        <v>-0.33053936225755248</v>
      </c>
      <c r="T544" s="70">
        <v>37.967323870464817</v>
      </c>
      <c r="U544" s="70"/>
      <c r="V544" s="70">
        <v>-49.209999999999951</v>
      </c>
      <c r="W544" s="70">
        <v>102.09000000000006</v>
      </c>
    </row>
    <row r="545" spans="1:23" x14ac:dyDescent="0.25">
      <c r="A545" s="68">
        <v>43416</v>
      </c>
      <c r="B545" s="70">
        <v>150.88999999999999</v>
      </c>
      <c r="C545" s="70">
        <v>153.34</v>
      </c>
      <c r="D545" s="70">
        <v>153.9</v>
      </c>
      <c r="E545" s="70">
        <v>150.80000000000001</v>
      </c>
      <c r="F545" s="70">
        <v>18.239999999999998</v>
      </c>
      <c r="G545" s="70">
        <v>-1.4999999999999999E-2</v>
      </c>
      <c r="H545" s="70">
        <v>153.66891025641027</v>
      </c>
      <c r="I545" s="70">
        <v>158.60189458689456</v>
      </c>
      <c r="J545" s="70">
        <v>-4.9329843304842882</v>
      </c>
      <c r="K545" s="70">
        <v>-5.122460113960102</v>
      </c>
      <c r="L545" s="70">
        <v>0.18947578347581384</v>
      </c>
      <c r="M545" s="70">
        <v>-1.6470486835102138</v>
      </c>
      <c r="N545" s="70">
        <v>0</v>
      </c>
      <c r="O545" s="70">
        <v>0.32258064516129092</v>
      </c>
      <c r="P545" s="70">
        <v>0.14785525809078867</v>
      </c>
      <c r="Q545" s="70">
        <v>0.18093969427379164</v>
      </c>
      <c r="R545" s="70">
        <v>-0.1006233092846197</v>
      </c>
      <c r="S545" s="70">
        <v>-0.27719495106637726</v>
      </c>
      <c r="T545" s="70">
        <v>50.320647433205181</v>
      </c>
      <c r="U545" s="70"/>
      <c r="V545" s="70">
        <v>-49.209999999999951</v>
      </c>
      <c r="W545" s="70">
        <v>102.09000000000006</v>
      </c>
    </row>
    <row r="546" spans="1:23" x14ac:dyDescent="0.25">
      <c r="A546" s="68">
        <v>43413</v>
      </c>
      <c r="B546" s="70">
        <v>153.19</v>
      </c>
      <c r="C546" s="70">
        <v>156.6</v>
      </c>
      <c r="D546" s="70">
        <v>156.86000000000001</v>
      </c>
      <c r="E546" s="70">
        <v>151.80000000000001</v>
      </c>
      <c r="F546" s="70">
        <v>34.57</v>
      </c>
      <c r="G546" s="70">
        <v>-2.7400000000000001E-2</v>
      </c>
      <c r="H546" s="70">
        <v>154.29141025641027</v>
      </c>
      <c r="I546" s="70">
        <v>159.39940170940173</v>
      </c>
      <c r="J546" s="70">
        <v>-5.1079914529914561</v>
      </c>
      <c r="K546" s="70">
        <v>-5.0269506172839513</v>
      </c>
      <c r="L546" s="70">
        <v>-8.1040835707504755E-2</v>
      </c>
      <c r="M546" s="70">
        <v>-1.8836694739258812</v>
      </c>
      <c r="N546" s="70">
        <v>0</v>
      </c>
      <c r="O546" s="70">
        <v>0.97035573122529528</v>
      </c>
      <c r="P546" s="70">
        <v>0.14785525809078867</v>
      </c>
      <c r="Q546" s="70">
        <v>0.32236071820892209</v>
      </c>
      <c r="R546" s="70">
        <v>-0.37111767552301422</v>
      </c>
      <c r="S546" s="70">
        <v>-0.34292392811953631</v>
      </c>
      <c r="T546" s="70">
        <v>50.303989406796774</v>
      </c>
      <c r="U546" s="70"/>
      <c r="V546" s="70">
        <v>-49.209999999999951</v>
      </c>
      <c r="W546" s="70">
        <v>102.09000000000006</v>
      </c>
    </row>
    <row r="547" spans="1:23" x14ac:dyDescent="0.25">
      <c r="A547" s="68">
        <v>43412</v>
      </c>
      <c r="B547" s="70">
        <v>157.51</v>
      </c>
      <c r="C547" s="70">
        <v>158</v>
      </c>
      <c r="D547" s="70">
        <v>159</v>
      </c>
      <c r="E547" s="70">
        <v>156.71</v>
      </c>
      <c r="F547" s="70">
        <v>19.91</v>
      </c>
      <c r="G547" s="70">
        <v>-2.2000000000000001E-3</v>
      </c>
      <c r="H547" s="70">
        <v>154.98564102564103</v>
      </c>
      <c r="I547" s="70">
        <v>160.29917378917378</v>
      </c>
      <c r="J547" s="70">
        <v>-5.3135327635327485</v>
      </c>
      <c r="K547" s="70">
        <v>-4.8825894270338726</v>
      </c>
      <c r="L547" s="70">
        <v>-0.43094333649887595</v>
      </c>
      <c r="M547" s="70">
        <v>-2.0803464234404343</v>
      </c>
      <c r="N547" s="70">
        <v>0.4847161572052478</v>
      </c>
      <c r="O547" s="70">
        <v>0</v>
      </c>
      <c r="P547" s="70">
        <v>0.21710042340582408</v>
      </c>
      <c r="Q547" s="70">
        <v>0.14555520978955985</v>
      </c>
      <c r="R547" s="70">
        <v>0.197281407118578</v>
      </c>
      <c r="S547" s="70">
        <v>-0.25695937416132214</v>
      </c>
      <c r="T547" s="70">
        <v>62.652480894446867</v>
      </c>
      <c r="U547" s="70"/>
      <c r="V547" s="70">
        <v>-49.209999999999951</v>
      </c>
      <c r="W547" s="70">
        <v>102.09000000000006</v>
      </c>
    </row>
    <row r="548" spans="1:23" x14ac:dyDescent="0.25">
      <c r="A548" s="68">
        <v>43411</v>
      </c>
      <c r="B548" s="70">
        <v>157.85</v>
      </c>
      <c r="C548" s="70">
        <v>156.05000000000001</v>
      </c>
      <c r="D548" s="70">
        <v>157.88999999999999</v>
      </c>
      <c r="E548" s="70">
        <v>154.69999999999999</v>
      </c>
      <c r="F548" s="70">
        <v>34.1</v>
      </c>
      <c r="G548" s="70">
        <v>1.1900000000000001E-2</v>
      </c>
      <c r="H548" s="70">
        <v>154.91032051282053</v>
      </c>
      <c r="I548" s="70">
        <v>160.50527065527066</v>
      </c>
      <c r="J548" s="70">
        <v>-5.5949501424501307</v>
      </c>
      <c r="K548" s="70">
        <v>-4.6327842671731592</v>
      </c>
      <c r="L548" s="70">
        <v>-0.96216587527697151</v>
      </c>
      <c r="M548" s="70">
        <v>-2.2327629135663263</v>
      </c>
      <c r="N548" s="70">
        <v>0.38871473354231395</v>
      </c>
      <c r="O548" s="70">
        <v>0</v>
      </c>
      <c r="P548" s="70">
        <v>0.17142662724264135</v>
      </c>
      <c r="Q548" s="70">
        <v>0.17736365693347012</v>
      </c>
      <c r="R548" s="70">
        <v>-1.7021774860652473E-2</v>
      </c>
      <c r="S548" s="70">
        <v>-0.31103862819415579</v>
      </c>
      <c r="T548" s="70">
        <v>62.90708520906842</v>
      </c>
      <c r="U548" s="70"/>
      <c r="V548" s="70">
        <v>-49.209999999999951</v>
      </c>
      <c r="W548" s="70">
        <v>102.09000000000006</v>
      </c>
    </row>
    <row r="549" spans="1:23" x14ac:dyDescent="0.25">
      <c r="A549" s="68">
        <v>43410</v>
      </c>
      <c r="B549" s="70">
        <v>156</v>
      </c>
      <c r="C549" s="70">
        <v>154.77000000000001</v>
      </c>
      <c r="D549" s="70">
        <v>156.65</v>
      </c>
      <c r="E549" s="70">
        <v>154.38</v>
      </c>
      <c r="F549" s="70">
        <v>17.93</v>
      </c>
      <c r="G549" s="70">
        <v>1.49E-2</v>
      </c>
      <c r="H549" s="70">
        <v>154.87038461538461</v>
      </c>
      <c r="I549" s="70">
        <v>160.51210826210826</v>
      </c>
      <c r="J549" s="70">
        <v>-5.6417236467236478</v>
      </c>
      <c r="K549" s="70">
        <v>-4.2201117442228595</v>
      </c>
      <c r="L549" s="70">
        <v>-1.4216119025007883</v>
      </c>
      <c r="M549" s="70">
        <v>-2.3210402652112019</v>
      </c>
      <c r="N549" s="70">
        <v>0.56462585034013535</v>
      </c>
      <c r="O549" s="70">
        <v>0</v>
      </c>
      <c r="P549" s="70">
        <v>0.17092724391426545</v>
      </c>
      <c r="Q549" s="70">
        <v>0.22630440690514803</v>
      </c>
      <c r="R549" s="70">
        <v>-0.13940773066962314</v>
      </c>
      <c r="S549" s="70">
        <v>-0.33888374875847993</v>
      </c>
      <c r="T549" s="70">
        <v>62.840775200097511</v>
      </c>
      <c r="U549" s="70"/>
      <c r="V549" s="70">
        <v>-49.209999999999951</v>
      </c>
      <c r="W549" s="70">
        <v>102.09000000000006</v>
      </c>
    </row>
    <row r="550" spans="1:23" x14ac:dyDescent="0.25">
      <c r="A550" s="68">
        <v>43406</v>
      </c>
      <c r="B550" s="70">
        <v>153.71</v>
      </c>
      <c r="C550" s="70">
        <v>154.19999999999999</v>
      </c>
      <c r="D550" s="70">
        <v>154.99</v>
      </c>
      <c r="E550" s="70">
        <v>153.32</v>
      </c>
      <c r="F550" s="70">
        <v>15.94</v>
      </c>
      <c r="G550" s="70">
        <v>1.4E-3</v>
      </c>
      <c r="H550" s="70">
        <v>154.81282051282051</v>
      </c>
      <c r="I550" s="70">
        <v>160.57787749287749</v>
      </c>
      <c r="J550" s="70">
        <v>-5.7650569800569826</v>
      </c>
      <c r="K550" s="70">
        <v>-3.7266144349477726</v>
      </c>
      <c r="L550" s="70">
        <v>-2.0384425451092101</v>
      </c>
      <c r="M550" s="70">
        <v>-2.3780909385011904</v>
      </c>
      <c r="N550" s="70">
        <v>0</v>
      </c>
      <c r="O550" s="70">
        <v>0</v>
      </c>
      <c r="P550" s="70">
        <v>7.53395582905656E-2</v>
      </c>
      <c r="Q550" s="70">
        <v>0.22630440690514803</v>
      </c>
      <c r="R550" s="70">
        <v>-0.50047362464763023</v>
      </c>
      <c r="S550" s="70">
        <v>-0.36696837768430907</v>
      </c>
      <c r="T550" s="70">
        <v>62.801480457152159</v>
      </c>
      <c r="U550" s="70"/>
      <c r="V550" s="70">
        <v>-49.209999999999951</v>
      </c>
      <c r="W550" s="70">
        <v>102.09000000000006</v>
      </c>
    </row>
    <row r="551" spans="1:23" x14ac:dyDescent="0.25">
      <c r="A551" s="68">
        <v>43405</v>
      </c>
      <c r="B551" s="70">
        <v>153.5</v>
      </c>
      <c r="C551" s="70">
        <v>155.02000000000001</v>
      </c>
      <c r="D551" s="70">
        <v>155.1</v>
      </c>
      <c r="E551" s="70">
        <v>153.16999999999999</v>
      </c>
      <c r="F551" s="70">
        <v>17.07</v>
      </c>
      <c r="G551" s="70">
        <v>-1.2699999999999999E-2</v>
      </c>
      <c r="H551" s="70">
        <v>155.54557692307691</v>
      </c>
      <c r="I551" s="70">
        <v>160.85042735042734</v>
      </c>
      <c r="J551" s="70">
        <v>-5.3048504273504307</v>
      </c>
      <c r="K551" s="70">
        <v>-2.9906193415637903</v>
      </c>
      <c r="L551" s="70">
        <v>-2.3142310857866404</v>
      </c>
      <c r="M551" s="70">
        <v>-2.3350109820537139</v>
      </c>
      <c r="N551" s="70">
        <v>0</v>
      </c>
      <c r="O551" s="70">
        <v>0</v>
      </c>
      <c r="P551" s="70">
        <v>7.53395582905656E-2</v>
      </c>
      <c r="Q551" s="70">
        <v>0.24988447148749049</v>
      </c>
      <c r="R551" s="70">
        <v>-0.53669131803095937</v>
      </c>
      <c r="S551" s="70">
        <v>-0.33782037785944841</v>
      </c>
      <c r="T551" s="70">
        <v>50.302216798861096</v>
      </c>
      <c r="U551" s="70"/>
      <c r="V551" s="70">
        <v>-49.209999999999951</v>
      </c>
      <c r="W551" s="70">
        <v>102.09000000000006</v>
      </c>
    </row>
    <row r="552" spans="1:23" x14ac:dyDescent="0.25">
      <c r="A552" s="68">
        <v>43404</v>
      </c>
      <c r="B552" s="70">
        <v>155.47</v>
      </c>
      <c r="C552" s="70">
        <v>152</v>
      </c>
      <c r="D552" s="70">
        <v>155.47</v>
      </c>
      <c r="E552" s="70">
        <v>152</v>
      </c>
      <c r="F552" s="70">
        <v>24.38</v>
      </c>
      <c r="G552" s="70">
        <v>2.76E-2</v>
      </c>
      <c r="H552" s="70">
        <v>156.72935897435897</v>
      </c>
      <c r="I552" s="70">
        <v>161.20183760683761</v>
      </c>
      <c r="J552" s="70">
        <v>-4.4724786324786407</v>
      </c>
      <c r="K552" s="70">
        <v>-2.0897822095599921</v>
      </c>
      <c r="L552" s="70">
        <v>-2.3826964229186487</v>
      </c>
      <c r="M552" s="70">
        <v>-2.2426364373201961</v>
      </c>
      <c r="N552" s="70">
        <v>0.41486810551558634</v>
      </c>
      <c r="O552" s="70">
        <v>0</v>
      </c>
      <c r="P552" s="70">
        <v>0.14689303688962518</v>
      </c>
      <c r="Q552" s="70">
        <v>0.24988447148749049</v>
      </c>
      <c r="R552" s="70">
        <v>-0.25956973977460812</v>
      </c>
      <c r="S552" s="70">
        <v>-0.24657528213541208</v>
      </c>
      <c r="T552" s="70">
        <v>50.212351293190963</v>
      </c>
      <c r="U552" s="70"/>
      <c r="V552" s="70">
        <v>-49.209999999999951</v>
      </c>
      <c r="W552" s="70">
        <v>102.09000000000006</v>
      </c>
    </row>
    <row r="553" spans="1:23" x14ac:dyDescent="0.25">
      <c r="A553" s="68">
        <v>43403</v>
      </c>
      <c r="B553" s="70">
        <v>151.30000000000001</v>
      </c>
      <c r="C553" s="70">
        <v>151.99</v>
      </c>
      <c r="D553" s="70">
        <v>153.74</v>
      </c>
      <c r="E553" s="70">
        <v>149.9</v>
      </c>
      <c r="F553" s="70">
        <v>18.66</v>
      </c>
      <c r="G553" s="70">
        <v>-8.0000000000000002E-3</v>
      </c>
      <c r="H553" s="70">
        <v>156.68929487179486</v>
      </c>
      <c r="I553" s="70">
        <v>161.08418803418803</v>
      </c>
      <c r="J553" s="70">
        <v>-4.3948931623931742</v>
      </c>
      <c r="K553" s="70">
        <v>-1.3461372269705667</v>
      </c>
      <c r="L553" s="70">
        <v>-3.0487559354226077</v>
      </c>
      <c r="M553" s="70">
        <v>-2.1994367949239741</v>
      </c>
      <c r="N553" s="70">
        <v>0</v>
      </c>
      <c r="O553" s="70">
        <v>0.43229166666666541</v>
      </c>
      <c r="P553" s="70">
        <v>0.10434455343672246</v>
      </c>
      <c r="Q553" s="70">
        <v>0.31164042386844271</v>
      </c>
      <c r="R553" s="70">
        <v>-0.49832537649466302</v>
      </c>
      <c r="S553" s="70">
        <v>-0.24045459229315419</v>
      </c>
      <c r="T553" s="70">
        <v>50.447749131172714</v>
      </c>
      <c r="U553" s="70">
        <v>1</v>
      </c>
      <c r="V553" s="70">
        <v>-49.209999999999951</v>
      </c>
      <c r="W553" s="70">
        <v>102.09000000000006</v>
      </c>
    </row>
    <row r="554" spans="1:23" x14ac:dyDescent="0.25">
      <c r="A554" s="68">
        <v>43402</v>
      </c>
      <c r="B554" s="70">
        <v>152.52000000000001</v>
      </c>
      <c r="C554" s="70">
        <v>152</v>
      </c>
      <c r="D554" s="70">
        <v>153.76</v>
      </c>
      <c r="E554" s="70">
        <v>151.56</v>
      </c>
      <c r="F554" s="70">
        <v>15.75</v>
      </c>
      <c r="G554" s="70">
        <v>1E-4</v>
      </c>
      <c r="H554" s="70">
        <v>157.98403846153846</v>
      </c>
      <c r="I554" s="70">
        <v>161.44877492877492</v>
      </c>
      <c r="J554" s="70">
        <v>-3.4647364672364631</v>
      </c>
      <c r="K554" s="70">
        <v>-0.37647182652738453</v>
      </c>
      <c r="L554" s="70">
        <v>-3.0882646407090784</v>
      </c>
      <c r="M554" s="70">
        <v>-2.0322590888060943</v>
      </c>
      <c r="N554" s="70">
        <v>0</v>
      </c>
      <c r="O554" s="70">
        <v>0</v>
      </c>
      <c r="P554" s="70">
        <v>0.10434455343672246</v>
      </c>
      <c r="Q554" s="70">
        <v>0.33058502093803965</v>
      </c>
      <c r="R554" s="70">
        <v>-0.52017724438847768</v>
      </c>
      <c r="S554" s="70">
        <v>-0.22498985634258034</v>
      </c>
      <c r="T554" s="70">
        <v>50.088269752363217</v>
      </c>
      <c r="U554" s="70"/>
      <c r="V554" s="70">
        <v>-49.209999999999951</v>
      </c>
      <c r="W554" s="70">
        <v>103.31000000000006</v>
      </c>
    </row>
    <row r="555" spans="1:23" x14ac:dyDescent="0.25">
      <c r="A555" s="68">
        <v>43399</v>
      </c>
      <c r="B555" s="70">
        <v>152.5</v>
      </c>
      <c r="C555" s="70">
        <v>155.01</v>
      </c>
      <c r="D555" s="70">
        <v>155.24</v>
      </c>
      <c r="E555" s="70">
        <v>151.21</v>
      </c>
      <c r="F555" s="70">
        <v>24.34</v>
      </c>
      <c r="G555" s="70">
        <v>-2.0199999999999999E-2</v>
      </c>
      <c r="H555" s="70">
        <v>158.64378205128205</v>
      </c>
      <c r="I555" s="70">
        <v>161.6652421652422</v>
      </c>
      <c r="J555" s="70">
        <v>-3.0214601139601598</v>
      </c>
      <c r="K555" s="70">
        <v>0.44516160177269748</v>
      </c>
      <c r="L555" s="70">
        <v>-3.4666217157328574</v>
      </c>
      <c r="M555" s="70">
        <v>-1.8678473087532961</v>
      </c>
      <c r="N555" s="70">
        <v>0</v>
      </c>
      <c r="O555" s="70">
        <v>0.32009925558312446</v>
      </c>
      <c r="P555" s="70">
        <v>0.10434455343672246</v>
      </c>
      <c r="Q555" s="70">
        <v>0.43439157814198859</v>
      </c>
      <c r="R555" s="70">
        <v>-0.61263205743802107</v>
      </c>
      <c r="S555" s="70">
        <v>-0.19174100031794283</v>
      </c>
      <c r="T555" s="70">
        <v>37.487084929503588</v>
      </c>
      <c r="U555" s="70"/>
      <c r="V555" s="70">
        <v>-49.209999999999951</v>
      </c>
      <c r="W555" s="70">
        <v>103.29000000000005</v>
      </c>
    </row>
    <row r="556" spans="1:23" x14ac:dyDescent="0.25">
      <c r="A556" s="68">
        <v>43398</v>
      </c>
      <c r="B556" s="70">
        <v>155.65</v>
      </c>
      <c r="C556" s="70">
        <v>152.69999999999999</v>
      </c>
      <c r="D556" s="70">
        <v>156.87</v>
      </c>
      <c r="E556" s="70">
        <v>152.5</v>
      </c>
      <c r="F556" s="70">
        <v>35.22</v>
      </c>
      <c r="G556" s="70">
        <v>6.1000000000000004E-3</v>
      </c>
      <c r="H556" s="70">
        <v>160.09442307692308</v>
      </c>
      <c r="I556" s="70">
        <v>161.9644586894587</v>
      </c>
      <c r="J556" s="70">
        <v>-1.8700356125356166</v>
      </c>
      <c r="K556" s="70">
        <v>1.381969452358337</v>
      </c>
      <c r="L556" s="70">
        <v>-3.2520050648939538</v>
      </c>
      <c r="M556" s="70">
        <v>-1.5554918686884465</v>
      </c>
      <c r="N556" s="70">
        <v>6.6361556064071334E-2</v>
      </c>
      <c r="O556" s="70">
        <v>0</v>
      </c>
      <c r="P556" s="70">
        <v>0.15230769359193966</v>
      </c>
      <c r="Q556" s="70">
        <v>0.36755766763562192</v>
      </c>
      <c r="R556" s="70">
        <v>-0.4140494637600225</v>
      </c>
      <c r="S556" s="70">
        <v>-6.2158747274308264E-2</v>
      </c>
      <c r="T556" s="70">
        <v>50.141934875089447</v>
      </c>
      <c r="U556" s="70"/>
      <c r="V556" s="70">
        <v>-49.209999999999951</v>
      </c>
      <c r="W556" s="70">
        <v>106.44000000000005</v>
      </c>
    </row>
    <row r="557" spans="1:23" x14ac:dyDescent="0.25">
      <c r="A557" s="68">
        <v>43397</v>
      </c>
      <c r="B557" s="70">
        <v>154.69999999999999</v>
      </c>
      <c r="C557" s="70">
        <v>154.83000000000001</v>
      </c>
      <c r="D557" s="70">
        <v>156.58000000000001</v>
      </c>
      <c r="E557" s="70">
        <v>152.31</v>
      </c>
      <c r="F557" s="70">
        <v>38.42</v>
      </c>
      <c r="G557" s="70">
        <v>7.1000000000000004E-3</v>
      </c>
      <c r="H557" s="70">
        <v>161.10891025641027</v>
      </c>
      <c r="I557" s="70">
        <v>161.95605413105412</v>
      </c>
      <c r="J557" s="70">
        <v>-0.84714387464384799</v>
      </c>
      <c r="K557" s="70">
        <v>2.2463217790439991</v>
      </c>
      <c r="L557" s="70">
        <v>-3.0934656536878471</v>
      </c>
      <c r="M557" s="70">
        <v>-1.2627449290184278</v>
      </c>
      <c r="N557" s="70">
        <v>0.32318501170960667</v>
      </c>
      <c r="O557" s="70">
        <v>0</v>
      </c>
      <c r="P557" s="70">
        <v>0.23832409039135374</v>
      </c>
      <c r="Q557" s="70">
        <v>0.36755766763562192</v>
      </c>
      <c r="R557" s="70">
        <v>-0.21329834663633215</v>
      </c>
      <c r="S557" s="70">
        <v>4.4398081253286932E-2</v>
      </c>
      <c r="T557" s="70">
        <v>37.655266159398785</v>
      </c>
      <c r="U557" s="70"/>
      <c r="V557" s="70">
        <v>-49.209999999999951</v>
      </c>
      <c r="W557" s="70">
        <v>105.49000000000004</v>
      </c>
    </row>
    <row r="558" spans="1:23" x14ac:dyDescent="0.25">
      <c r="A558" s="68">
        <v>43396</v>
      </c>
      <c r="B558" s="70">
        <v>153.61000000000001</v>
      </c>
      <c r="C558" s="70">
        <v>154.5</v>
      </c>
      <c r="D558" s="70">
        <v>155.19999999999999</v>
      </c>
      <c r="E558" s="70">
        <v>151.76</v>
      </c>
      <c r="F558" s="70">
        <v>31.88</v>
      </c>
      <c r="G558" s="70">
        <v>-1.34E-2</v>
      </c>
      <c r="H558" s="70">
        <v>162.14769230769232</v>
      </c>
      <c r="I558" s="70">
        <v>161.96007122507123</v>
      </c>
      <c r="J558" s="70">
        <v>0.18762108262109223</v>
      </c>
      <c r="K558" s="70">
        <v>3.0007746122190473</v>
      </c>
      <c r="L558" s="70">
        <v>-2.8131535295979551</v>
      </c>
      <c r="M558" s="70">
        <v>-0.98382061370095286</v>
      </c>
      <c r="N558" s="70">
        <v>0</v>
      </c>
      <c r="O558" s="70">
        <v>1.0639534883720927</v>
      </c>
      <c r="P558" s="70">
        <v>0.170845901133304</v>
      </c>
      <c r="Q558" s="70">
        <v>0.52854203210835848</v>
      </c>
      <c r="R558" s="70">
        <v>-0.51144166774101063</v>
      </c>
      <c r="S558" s="70">
        <v>5.2514358470051106E-2</v>
      </c>
      <c r="T558" s="70">
        <v>38.248630412578535</v>
      </c>
      <c r="U558" s="70"/>
      <c r="V558" s="70">
        <v>-49.209999999999951</v>
      </c>
      <c r="W558" s="70">
        <v>104.40000000000006</v>
      </c>
    </row>
    <row r="559" spans="1:23" x14ac:dyDescent="0.25">
      <c r="A559" s="68">
        <v>43395</v>
      </c>
      <c r="B559" s="70">
        <v>155.69999999999999</v>
      </c>
      <c r="C559" s="70">
        <v>161.5</v>
      </c>
      <c r="D559" s="70">
        <v>162.5</v>
      </c>
      <c r="E559" s="70">
        <v>155.41999999999999</v>
      </c>
      <c r="F559" s="70">
        <v>26.2</v>
      </c>
      <c r="G559" s="70">
        <v>-3.4799999999999998E-2</v>
      </c>
      <c r="H559" s="70">
        <v>163.66019230769228</v>
      </c>
      <c r="I559" s="70">
        <v>162.18076923076922</v>
      </c>
      <c r="J559" s="70">
        <v>1.4794230769230694</v>
      </c>
      <c r="K559" s="70">
        <v>3.7852755618866554</v>
      </c>
      <c r="L559" s="70">
        <v>-2.305852484963586</v>
      </c>
      <c r="M559" s="70">
        <v>-0.69490847360932717</v>
      </c>
      <c r="N559" s="70">
        <v>0</v>
      </c>
      <c r="O559" s="70">
        <v>0.3912429378531081</v>
      </c>
      <c r="P559" s="70">
        <v>0.19557117585857858</v>
      </c>
      <c r="Q559" s="70">
        <v>0.36228974543825565</v>
      </c>
      <c r="R559" s="70">
        <v>-0.29885328621354929</v>
      </c>
      <c r="S559" s="70">
        <v>0.16869196380198831</v>
      </c>
      <c r="T559" s="70">
        <v>38.004259343261552</v>
      </c>
      <c r="U559" s="70"/>
      <c r="V559" s="70">
        <v>-49.209999999999951</v>
      </c>
      <c r="W559" s="70">
        <v>106.49000000000004</v>
      </c>
    </row>
    <row r="560" spans="1:23" x14ac:dyDescent="0.25">
      <c r="A560" s="68">
        <v>43392</v>
      </c>
      <c r="B560" s="70">
        <v>161.32</v>
      </c>
      <c r="C560" s="70">
        <v>160.69999999999999</v>
      </c>
      <c r="D560" s="70">
        <v>161.32</v>
      </c>
      <c r="E560" s="70">
        <v>158.19</v>
      </c>
      <c r="F560" s="70">
        <v>31.88</v>
      </c>
      <c r="G560" s="70">
        <v>7.1000000000000004E-3</v>
      </c>
      <c r="H560" s="70">
        <v>165.42737179487182</v>
      </c>
      <c r="I560" s="70">
        <v>162.47064102564104</v>
      </c>
      <c r="J560" s="70">
        <v>2.9567307692307736</v>
      </c>
      <c r="K560" s="70">
        <v>4.5483420386198041</v>
      </c>
      <c r="L560" s="70">
        <v>-1.5916112693890305</v>
      </c>
      <c r="M560" s="70">
        <v>-0.40226950384215404</v>
      </c>
      <c r="N560" s="70">
        <v>0</v>
      </c>
      <c r="O560" s="70">
        <v>0.48242811501597221</v>
      </c>
      <c r="P560" s="70">
        <v>0.25383037697492261</v>
      </c>
      <c r="Q560" s="70">
        <v>0.34951996165802035</v>
      </c>
      <c r="R560" s="70">
        <v>-0.15859705142439956</v>
      </c>
      <c r="S560" s="70">
        <v>0.26280848490315517</v>
      </c>
      <c r="T560" s="70">
        <v>37.699916868140669</v>
      </c>
      <c r="U560" s="70"/>
      <c r="V560" s="70">
        <v>-49.209999999999951</v>
      </c>
      <c r="W560" s="70">
        <v>112.11000000000004</v>
      </c>
    </row>
    <row r="561" spans="1:23" x14ac:dyDescent="0.25">
      <c r="A561" s="68">
        <v>43391</v>
      </c>
      <c r="B561" s="70">
        <v>160.18</v>
      </c>
      <c r="C561" s="70">
        <v>163.55000000000001</v>
      </c>
      <c r="D561" s="70">
        <v>164.55</v>
      </c>
      <c r="E561" s="70">
        <v>159.69999999999999</v>
      </c>
      <c r="F561" s="70">
        <v>27.1</v>
      </c>
      <c r="G561" s="70">
        <v>-2.6599999999999999E-2</v>
      </c>
      <c r="H561" s="70">
        <v>165.82666666666665</v>
      </c>
      <c r="I561" s="70">
        <v>162.10770655270656</v>
      </c>
      <c r="J561" s="70">
        <v>3.7189601139600938</v>
      </c>
      <c r="K561" s="70">
        <v>5.0245327635327417</v>
      </c>
      <c r="L561" s="70">
        <v>-1.3055726495726478</v>
      </c>
      <c r="M561" s="70">
        <v>-0.24371956628367442</v>
      </c>
      <c r="N561" s="70">
        <v>0</v>
      </c>
      <c r="O561" s="70">
        <v>0.74226804123711465</v>
      </c>
      <c r="P561" s="70">
        <v>0.25383037697492261</v>
      </c>
      <c r="Q561" s="70">
        <v>0.36089743804020713</v>
      </c>
      <c r="R561" s="70">
        <v>-0.17416986583346544</v>
      </c>
      <c r="S561" s="70">
        <v>0.29976126320021668</v>
      </c>
      <c r="T561" s="70">
        <v>38.208417803866986</v>
      </c>
      <c r="U561" s="70"/>
      <c r="V561" s="70">
        <v>-49.209999999999951</v>
      </c>
      <c r="W561" s="70">
        <v>110.97000000000006</v>
      </c>
    </row>
    <row r="562" spans="1:23" x14ac:dyDescent="0.25">
      <c r="A562" s="68">
        <v>43390</v>
      </c>
      <c r="B562" s="70">
        <v>164.56</v>
      </c>
      <c r="C562" s="70">
        <v>167.11</v>
      </c>
      <c r="D562" s="70">
        <v>167.38</v>
      </c>
      <c r="E562" s="70">
        <v>163.30000000000001</v>
      </c>
      <c r="F562" s="70">
        <v>19.43</v>
      </c>
      <c r="G562" s="70">
        <v>-8.6E-3</v>
      </c>
      <c r="H562" s="70">
        <v>166.67044871794869</v>
      </c>
      <c r="I562" s="70">
        <v>162.24945868945866</v>
      </c>
      <c r="J562" s="70">
        <v>4.4209900284900243</v>
      </c>
      <c r="K562" s="70">
        <v>5.3714040835707353</v>
      </c>
      <c r="L562" s="70">
        <v>-0.95041405508071097</v>
      </c>
      <c r="M562" s="70">
        <v>-9.6847917514590737E-2</v>
      </c>
      <c r="N562" s="70">
        <v>0.33823529411764724</v>
      </c>
      <c r="O562" s="70">
        <v>0</v>
      </c>
      <c r="P562" s="70">
        <v>0.32002194235847259</v>
      </c>
      <c r="Q562" s="70">
        <v>0.20591839646322715</v>
      </c>
      <c r="R562" s="70">
        <v>0.21695150090764942</v>
      </c>
      <c r="S562" s="70">
        <v>0.40557439743179713</v>
      </c>
      <c r="T562" s="70">
        <v>50.758478992793883</v>
      </c>
      <c r="U562" s="70"/>
      <c r="V562" s="70">
        <v>-49.209999999999951</v>
      </c>
      <c r="W562" s="70">
        <v>115.35000000000005</v>
      </c>
    </row>
    <row r="563" spans="1:23" x14ac:dyDescent="0.25">
      <c r="A563" s="68">
        <v>43389</v>
      </c>
      <c r="B563" s="70">
        <v>165.99</v>
      </c>
      <c r="C563" s="70">
        <v>163.97</v>
      </c>
      <c r="D563" s="70">
        <v>166</v>
      </c>
      <c r="E563" s="70">
        <v>161.61000000000001</v>
      </c>
      <c r="F563" s="70">
        <v>19.28</v>
      </c>
      <c r="G563" s="70">
        <v>1.21E-2</v>
      </c>
      <c r="H563" s="70">
        <v>166.70217948717948</v>
      </c>
      <c r="I563" s="70">
        <v>161.9209116809117</v>
      </c>
      <c r="J563" s="70">
        <v>4.7812678062677776</v>
      </c>
      <c r="K563" s="70">
        <v>5.5687891737891553</v>
      </c>
      <c r="L563" s="70">
        <v>-0.78752136752137769</v>
      </c>
      <c r="M563" s="70">
        <v>9.9429990711940169E-3</v>
      </c>
      <c r="N563" s="70">
        <v>0</v>
      </c>
      <c r="O563" s="70">
        <v>0.35763097949886058</v>
      </c>
      <c r="P563" s="70">
        <v>0.26753938227696233</v>
      </c>
      <c r="Q563" s="70">
        <v>0.25700853639163579</v>
      </c>
      <c r="R563" s="70">
        <v>2.0076041693303872E-2</v>
      </c>
      <c r="S563" s="70">
        <v>0.40439735921706699</v>
      </c>
      <c r="T563" s="70">
        <v>63.261741058430943</v>
      </c>
      <c r="U563" s="70"/>
      <c r="V563" s="70">
        <v>-49.209999999999951</v>
      </c>
      <c r="W563" s="70">
        <v>116.78000000000006</v>
      </c>
    </row>
    <row r="564" spans="1:23" x14ac:dyDescent="0.25">
      <c r="A564" s="68">
        <v>43388</v>
      </c>
      <c r="B564" s="70">
        <v>164</v>
      </c>
      <c r="C564" s="70">
        <v>167.5</v>
      </c>
      <c r="D564" s="70">
        <v>168.6</v>
      </c>
      <c r="E564" s="70">
        <v>163.18</v>
      </c>
      <c r="F564" s="70">
        <v>20.22</v>
      </c>
      <c r="G564" s="70">
        <v>-1.7999999999999999E-2</v>
      </c>
      <c r="H564" s="70">
        <v>166.15769230769229</v>
      </c>
      <c r="I564" s="70">
        <v>161.23076923076923</v>
      </c>
      <c r="J564" s="70">
        <v>4.9269230769230603</v>
      </c>
      <c r="K564" s="70">
        <v>5.6917986704653201</v>
      </c>
      <c r="L564" s="70">
        <v>-0.76487559354225976</v>
      </c>
      <c r="M564" s="70">
        <v>0.10013894367739851</v>
      </c>
      <c r="N564" s="70">
        <v>0.18634686346863344</v>
      </c>
      <c r="O564" s="70">
        <v>0</v>
      </c>
      <c r="P564" s="70">
        <v>0.30180735495555588</v>
      </c>
      <c r="Q564" s="70">
        <v>0.18233833188088469</v>
      </c>
      <c r="R564" s="70">
        <v>0.24676254756149782</v>
      </c>
      <c r="S564" s="70">
        <v>0.47743674902174033</v>
      </c>
      <c r="T564" s="70">
        <v>50.774939644123869</v>
      </c>
      <c r="U564" s="70"/>
      <c r="V564" s="70">
        <v>-49.209999999999951</v>
      </c>
      <c r="W564" s="70">
        <v>114.79000000000005</v>
      </c>
    </row>
    <row r="565" spans="1:23" x14ac:dyDescent="0.25">
      <c r="A565" s="68">
        <v>43385</v>
      </c>
      <c r="B565" s="70">
        <v>167</v>
      </c>
      <c r="C565" s="70">
        <v>163.19999999999999</v>
      </c>
      <c r="D565" s="70">
        <v>167.59</v>
      </c>
      <c r="E565" s="70">
        <v>163.1</v>
      </c>
      <c r="F565" s="70">
        <v>32.119999999999997</v>
      </c>
      <c r="G565" s="70">
        <v>3.1399999999999997E-2</v>
      </c>
      <c r="H565" s="70">
        <v>166.46410256410252</v>
      </c>
      <c r="I565" s="70">
        <v>160.91168091168092</v>
      </c>
      <c r="J565" s="70">
        <v>5.5524216524216001</v>
      </c>
      <c r="K565" s="70">
        <v>5.8367945552389742</v>
      </c>
      <c r="L565" s="70">
        <v>-0.28437290281737404</v>
      </c>
      <c r="M565" s="70">
        <v>0.25182575512488981</v>
      </c>
      <c r="N565" s="70">
        <v>0.66843033509699845</v>
      </c>
      <c r="O565" s="70">
        <v>0</v>
      </c>
      <c r="P565" s="70">
        <v>0.37919044389197443</v>
      </c>
      <c r="Q565" s="70">
        <v>0.18233833188088469</v>
      </c>
      <c r="R565" s="70">
        <v>0.35056460239308784</v>
      </c>
      <c r="S565" s="70">
        <v>0.52146420848529962</v>
      </c>
      <c r="T565" s="70">
        <v>63.145356991784851</v>
      </c>
      <c r="U565" s="70"/>
      <c r="V565" s="70">
        <v>-49.209999999999951</v>
      </c>
      <c r="W565" s="70">
        <v>117.79000000000005</v>
      </c>
    </row>
    <row r="566" spans="1:23" x14ac:dyDescent="0.25">
      <c r="A566" s="68">
        <v>43384</v>
      </c>
      <c r="B566" s="70">
        <v>161.91999999999999</v>
      </c>
      <c r="C566" s="70">
        <v>162.4</v>
      </c>
      <c r="D566" s="70">
        <v>163.80000000000001</v>
      </c>
      <c r="E566" s="70">
        <v>160.6</v>
      </c>
      <c r="F566" s="70">
        <v>43.98</v>
      </c>
      <c r="G566" s="70">
        <v>-2.58E-2</v>
      </c>
      <c r="H566" s="70">
        <v>165.13749999999999</v>
      </c>
      <c r="I566" s="70">
        <v>159.82527065527066</v>
      </c>
      <c r="J566" s="70">
        <v>5.3122293447293316</v>
      </c>
      <c r="K566" s="70">
        <v>5.7398545425767482</v>
      </c>
      <c r="L566" s="70">
        <v>-0.42762519784741659</v>
      </c>
      <c r="M566" s="70">
        <v>0.29611628384277605</v>
      </c>
      <c r="N566" s="70">
        <v>0</v>
      </c>
      <c r="O566" s="70">
        <v>1.6562499999999947</v>
      </c>
      <c r="P566" s="70">
        <v>0.26986534487928143</v>
      </c>
      <c r="Q566" s="70">
        <v>0.41894547473802679</v>
      </c>
      <c r="R566" s="70">
        <v>-0.21643116747436081</v>
      </c>
      <c r="S566" s="70">
        <v>0.46051552491645753</v>
      </c>
      <c r="T566" s="70">
        <v>63.024346660710293</v>
      </c>
      <c r="U566" s="70"/>
      <c r="V566" s="70">
        <v>-49.209999999999951</v>
      </c>
      <c r="W566" s="70">
        <v>112.71000000000004</v>
      </c>
    </row>
    <row r="567" spans="1:23" x14ac:dyDescent="0.25">
      <c r="A567" s="68">
        <v>43383</v>
      </c>
      <c r="B567" s="70">
        <v>166.2</v>
      </c>
      <c r="C567" s="70">
        <v>172.05</v>
      </c>
      <c r="D567" s="70">
        <v>172.95</v>
      </c>
      <c r="E567" s="70">
        <v>165.9</v>
      </c>
      <c r="F567" s="70">
        <v>40.75</v>
      </c>
      <c r="G567" s="70">
        <v>-3.4299999999999997E-2</v>
      </c>
      <c r="H567" s="70">
        <v>165.71980769230768</v>
      </c>
      <c r="I567" s="70">
        <v>159.61310541310544</v>
      </c>
      <c r="J567" s="70">
        <v>6.1067022792022385</v>
      </c>
      <c r="K567" s="70">
        <v>5.8816145932256845</v>
      </c>
      <c r="L567" s="70">
        <v>0.22508768597655404</v>
      </c>
      <c r="M567" s="70">
        <v>0.45694984850539588</v>
      </c>
      <c r="N567" s="70">
        <v>0</v>
      </c>
      <c r="O567" s="70">
        <v>0.8808510638297905</v>
      </c>
      <c r="P567" s="70">
        <v>0.28895152186019563</v>
      </c>
      <c r="Q567" s="70">
        <v>0.19897090143898694</v>
      </c>
      <c r="R567" s="70">
        <v>0.18441583359253544</v>
      </c>
      <c r="S567" s="70">
        <v>0.57366980035014969</v>
      </c>
      <c r="T567" s="70">
        <v>63.025754428287435</v>
      </c>
      <c r="U567" s="70"/>
      <c r="V567" s="70">
        <v>-49.209999999999951</v>
      </c>
      <c r="W567" s="70">
        <v>116.99000000000004</v>
      </c>
    </row>
    <row r="568" spans="1:23" x14ac:dyDescent="0.25">
      <c r="A568" s="68">
        <v>43382</v>
      </c>
      <c r="B568" s="70">
        <v>172.11</v>
      </c>
      <c r="C568" s="70">
        <v>172.53</v>
      </c>
      <c r="D568" s="70">
        <v>176.95</v>
      </c>
      <c r="E568" s="70">
        <v>172.11</v>
      </c>
      <c r="F568" s="70">
        <v>45.95</v>
      </c>
      <c r="G568" s="70">
        <v>1.6999999999999999E-3</v>
      </c>
      <c r="H568" s="70">
        <v>166.12134615384616</v>
      </c>
      <c r="I568" s="70">
        <v>159.38136752136751</v>
      </c>
      <c r="J568" s="70">
        <v>6.7399786324786533</v>
      </c>
      <c r="K568" s="70">
        <v>5.9342122507122514</v>
      </c>
      <c r="L568" s="70">
        <v>0.80576638176640181</v>
      </c>
      <c r="M568" s="70">
        <v>0.56316617096104116</v>
      </c>
      <c r="N568" s="70">
        <v>0.58365758754863972</v>
      </c>
      <c r="O568" s="70">
        <v>0</v>
      </c>
      <c r="P568" s="70">
        <v>0.37319118677994872</v>
      </c>
      <c r="Q568" s="70">
        <v>1.505694305694277E-2</v>
      </c>
      <c r="R568" s="70">
        <v>0.92243649408810591</v>
      </c>
      <c r="S568" s="70">
        <v>0.70472251648398365</v>
      </c>
      <c r="T568" s="70">
        <v>75.334458147938008</v>
      </c>
      <c r="U568" s="70"/>
      <c r="V568" s="70">
        <v>-49.209999999999951</v>
      </c>
      <c r="W568" s="70">
        <v>122.90000000000006</v>
      </c>
    </row>
    <row r="569" spans="1:23" x14ac:dyDescent="0.25">
      <c r="A569" s="68">
        <v>43381</v>
      </c>
      <c r="B569" s="70">
        <v>171.81</v>
      </c>
      <c r="C569" s="70">
        <v>171.99</v>
      </c>
      <c r="D569" s="70">
        <v>173.95</v>
      </c>
      <c r="E569" s="70">
        <v>170.55</v>
      </c>
      <c r="F569" s="70">
        <v>24.42</v>
      </c>
      <c r="G569" s="70">
        <v>7.7000000000000002E-3</v>
      </c>
      <c r="H569" s="70">
        <v>165.12538461538458</v>
      </c>
      <c r="I569" s="70">
        <v>158.52652421652422</v>
      </c>
      <c r="J569" s="70">
        <v>6.5988603988603529</v>
      </c>
      <c r="K569" s="70">
        <v>5.7543722697055895</v>
      </c>
      <c r="L569" s="70">
        <v>0.84448812915476346</v>
      </c>
      <c r="M569" s="70">
        <v>0.53747837158092659</v>
      </c>
      <c r="N569" s="70">
        <v>0.81449275362319173</v>
      </c>
      <c r="O569" s="70">
        <v>0</v>
      </c>
      <c r="P569" s="70">
        <v>0.36768472121596341</v>
      </c>
      <c r="Q569" s="70">
        <v>4.8459663684333229E-2</v>
      </c>
      <c r="R569" s="70">
        <v>0.76710168180717553</v>
      </c>
      <c r="S569" s="70">
        <v>0.63402176106099895</v>
      </c>
      <c r="T569" s="70">
        <v>75.143134437280409</v>
      </c>
      <c r="U569" s="70"/>
      <c r="V569" s="70">
        <v>-49.209999999999951</v>
      </c>
      <c r="W569" s="70">
        <v>122.60000000000005</v>
      </c>
    </row>
    <row r="570" spans="1:23" x14ac:dyDescent="0.25">
      <c r="A570" s="68">
        <v>43378</v>
      </c>
      <c r="B570" s="70">
        <v>170.5</v>
      </c>
      <c r="C570" s="70">
        <v>167.8</v>
      </c>
      <c r="D570" s="70">
        <v>171.14</v>
      </c>
      <c r="E570" s="70">
        <v>166.52</v>
      </c>
      <c r="F570" s="70">
        <v>30.15</v>
      </c>
      <c r="G570" s="70">
        <v>1.1900000000000001E-2</v>
      </c>
      <c r="H570" s="70">
        <v>163.69269230769231</v>
      </c>
      <c r="I570" s="70">
        <v>157.65099715099714</v>
      </c>
      <c r="J570" s="70">
        <v>6.0416951566951695</v>
      </c>
      <c r="K570" s="70">
        <v>5.5121516302627453</v>
      </c>
      <c r="L570" s="70">
        <v>0.52954352643242419</v>
      </c>
      <c r="M570" s="70">
        <v>0.48126380235781846</v>
      </c>
      <c r="N570" s="70">
        <v>0</v>
      </c>
      <c r="O570" s="70">
        <v>0.13636363636363608</v>
      </c>
      <c r="P570" s="70">
        <v>0.23794216616185951</v>
      </c>
      <c r="Q570" s="70">
        <v>6.7940183164852674E-2</v>
      </c>
      <c r="R570" s="70">
        <v>0.55577572021139443</v>
      </c>
      <c r="S570" s="70">
        <v>0.59434691365630421</v>
      </c>
      <c r="T570" s="70">
        <v>62.809597229289935</v>
      </c>
      <c r="U570" s="70"/>
      <c r="V570" s="70">
        <v>-49.209999999999951</v>
      </c>
      <c r="W570" s="70">
        <v>121.29000000000005</v>
      </c>
    </row>
    <row r="571" spans="1:23" x14ac:dyDescent="0.25">
      <c r="A571" s="68">
        <v>43377</v>
      </c>
      <c r="B571" s="70">
        <v>168.5</v>
      </c>
      <c r="C571" s="70">
        <v>169.6</v>
      </c>
      <c r="D571" s="70">
        <v>171.95</v>
      </c>
      <c r="E571" s="70">
        <v>167.15</v>
      </c>
      <c r="F571" s="70">
        <v>54.27</v>
      </c>
      <c r="G571" s="70">
        <v>-5.7000000000000002E-3</v>
      </c>
      <c r="H571" s="70">
        <v>162.46057692307693</v>
      </c>
      <c r="I571" s="70">
        <v>156.62962962962962</v>
      </c>
      <c r="J571" s="70">
        <v>5.8309472934473092</v>
      </c>
      <c r="K571" s="70">
        <v>5.3614189616967414</v>
      </c>
      <c r="L571" s="70">
        <v>0.46952833175056785</v>
      </c>
      <c r="M571" s="70">
        <v>0.49272681228236692</v>
      </c>
      <c r="N571" s="70">
        <v>0.37499999999999778</v>
      </c>
      <c r="O571" s="70">
        <v>0</v>
      </c>
      <c r="P571" s="70">
        <v>0.33638246388330706</v>
      </c>
      <c r="Q571" s="70">
        <v>3.9468654693324251E-2</v>
      </c>
      <c r="R571" s="70">
        <v>0.78997718648387039</v>
      </c>
      <c r="S571" s="70">
        <v>0.63184916553206905</v>
      </c>
      <c r="T571" s="70">
        <v>62.534717705838695</v>
      </c>
      <c r="U571" s="70"/>
      <c r="V571" s="70">
        <v>-49.209999999999951</v>
      </c>
      <c r="W571" s="70">
        <v>119.29000000000005</v>
      </c>
    </row>
    <row r="572" spans="1:23" x14ac:dyDescent="0.25">
      <c r="A572" s="68">
        <v>43376</v>
      </c>
      <c r="B572" s="70">
        <v>169.47</v>
      </c>
      <c r="C572" s="70">
        <v>163</v>
      </c>
      <c r="D572" s="70">
        <v>170.15</v>
      </c>
      <c r="E572" s="70">
        <v>162.77000000000001</v>
      </c>
      <c r="F572" s="70">
        <v>65.150000000000006</v>
      </c>
      <c r="G572" s="70">
        <v>4.2299999999999997E-2</v>
      </c>
      <c r="H572" s="70">
        <v>161.80455128205125</v>
      </c>
      <c r="I572" s="70">
        <v>155.96715099715101</v>
      </c>
      <c r="J572" s="70">
        <v>5.8374002849002409</v>
      </c>
      <c r="K572" s="70">
        <v>5.2524176954732384</v>
      </c>
      <c r="L572" s="70">
        <v>0.58498258942700243</v>
      </c>
      <c r="M572" s="70">
        <v>0.54035931526529257</v>
      </c>
      <c r="N572" s="70">
        <v>0.88359788359788427</v>
      </c>
      <c r="O572" s="70">
        <v>0</v>
      </c>
      <c r="P572" s="70">
        <v>0.41080947418131764</v>
      </c>
      <c r="Q572" s="70">
        <v>3.9468654693324251E-2</v>
      </c>
      <c r="R572" s="70">
        <v>0.82469210844432372</v>
      </c>
      <c r="S572" s="70">
        <v>0.62088038886541908</v>
      </c>
      <c r="T572" s="70">
        <v>75.247211881584946</v>
      </c>
      <c r="U572" s="70"/>
      <c r="V572" s="70">
        <v>-49.209999999999951</v>
      </c>
      <c r="W572" s="70">
        <v>120.26000000000005</v>
      </c>
    </row>
    <row r="573" spans="1:23" x14ac:dyDescent="0.25">
      <c r="A573" s="68">
        <v>43375</v>
      </c>
      <c r="B573" s="70">
        <v>162.59</v>
      </c>
      <c r="C573" s="70">
        <v>162.02000000000001</v>
      </c>
      <c r="D573" s="70">
        <v>163.47</v>
      </c>
      <c r="E573" s="70">
        <v>160.97</v>
      </c>
      <c r="F573" s="70">
        <v>22.82</v>
      </c>
      <c r="G573" s="70">
        <v>4.3E-3</v>
      </c>
      <c r="H573" s="70">
        <v>159.75820512820511</v>
      </c>
      <c r="I573" s="70">
        <v>154.60745014245015</v>
      </c>
      <c r="J573" s="70">
        <v>5.1507549857549577</v>
      </c>
      <c r="K573" s="70">
        <v>4.9574425451092097</v>
      </c>
      <c r="L573" s="70">
        <v>0.19331244064574804</v>
      </c>
      <c r="M573" s="70">
        <v>0.49332250086096113</v>
      </c>
      <c r="N573" s="70">
        <v>0</v>
      </c>
      <c r="O573" s="70">
        <v>9.1999999999995904E-2</v>
      </c>
      <c r="P573" s="70">
        <v>0.22632200397956154</v>
      </c>
      <c r="Q573" s="70">
        <v>8.8978732059903143E-2</v>
      </c>
      <c r="R573" s="70">
        <v>0.43559451730067572</v>
      </c>
      <c r="S573" s="70">
        <v>0.52489359464426499</v>
      </c>
      <c r="T573" s="70">
        <v>75.038860909034383</v>
      </c>
      <c r="U573" s="70">
        <v>-1</v>
      </c>
      <c r="V573" s="70">
        <v>-49.209999999999951</v>
      </c>
      <c r="W573" s="70">
        <v>113.38000000000005</v>
      </c>
    </row>
    <row r="574" spans="1:23" x14ac:dyDescent="0.25">
      <c r="A574" s="68">
        <v>43374</v>
      </c>
      <c r="B574" s="70">
        <v>161.88999999999999</v>
      </c>
      <c r="C574" s="70">
        <v>163.44999999999999</v>
      </c>
      <c r="D574" s="70">
        <v>163.93</v>
      </c>
      <c r="E574" s="70">
        <v>161.19999999999999</v>
      </c>
      <c r="F574" s="70">
        <v>15.84</v>
      </c>
      <c r="G574" s="70">
        <v>-4.4000000000000003E-3</v>
      </c>
      <c r="H574" s="70">
        <v>158.91435897435898</v>
      </c>
      <c r="I574" s="70">
        <v>153.91207977207981</v>
      </c>
      <c r="J574" s="70">
        <v>5.0022792022791691</v>
      </c>
      <c r="K574" s="70">
        <v>4.8498088002532445</v>
      </c>
      <c r="L574" s="70">
        <v>0.15247040202592466</v>
      </c>
      <c r="M574" s="70">
        <v>0.53663921327168962</v>
      </c>
      <c r="N574" s="70">
        <v>0.2710622710622726</v>
      </c>
      <c r="O574" s="70">
        <v>0</v>
      </c>
      <c r="P574" s="70">
        <v>0.26504518555988621</v>
      </c>
      <c r="Q574" s="70">
        <v>6.9769940851112794E-2</v>
      </c>
      <c r="R574" s="70">
        <v>0.5832330420730909</v>
      </c>
      <c r="S574" s="70">
        <v>0.56404230468780991</v>
      </c>
      <c r="T574" s="70">
        <v>62.804286608260327</v>
      </c>
      <c r="U574" s="70"/>
      <c r="V574" s="70">
        <v>-38.979999999999961</v>
      </c>
      <c r="W574" s="70">
        <v>113.38000000000005</v>
      </c>
    </row>
    <row r="575" spans="1:23" x14ac:dyDescent="0.25">
      <c r="A575" s="68">
        <v>43371</v>
      </c>
      <c r="B575" s="70">
        <v>162.61000000000001</v>
      </c>
      <c r="C575" s="70">
        <v>162.05000000000001</v>
      </c>
      <c r="D575" s="70">
        <v>163.19</v>
      </c>
      <c r="E575" s="70">
        <v>160.5</v>
      </c>
      <c r="F575" s="70">
        <v>18.920000000000002</v>
      </c>
      <c r="G575" s="70">
        <v>5.0000000000000001E-3</v>
      </c>
      <c r="H575" s="70">
        <v>158.43352564102565</v>
      </c>
      <c r="I575" s="70">
        <v>153.31405982905983</v>
      </c>
      <c r="J575" s="70">
        <v>5.1194658119658243</v>
      </c>
      <c r="K575" s="70">
        <v>4.8031517885406885</v>
      </c>
      <c r="L575" s="70">
        <v>0.31631402342513582</v>
      </c>
      <c r="M575" s="70">
        <v>0.61899216959046499</v>
      </c>
      <c r="N575" s="70">
        <v>0.27509293680297758</v>
      </c>
      <c r="O575" s="70">
        <v>0</v>
      </c>
      <c r="P575" s="70">
        <v>0.30299570815030485</v>
      </c>
      <c r="Q575" s="70">
        <v>6.9769940851112794E-2</v>
      </c>
      <c r="R575" s="70">
        <v>0.6256632496153236</v>
      </c>
      <c r="S575" s="70">
        <v>0.58373950735143598</v>
      </c>
      <c r="T575" s="70">
        <v>75.381113117199149</v>
      </c>
      <c r="U575" s="70"/>
      <c r="V575" s="70">
        <v>-38.979999999999961</v>
      </c>
      <c r="W575" s="70">
        <v>113.38000000000005</v>
      </c>
    </row>
    <row r="576" spans="1:23" x14ac:dyDescent="0.25">
      <c r="A576" s="68">
        <v>43370</v>
      </c>
      <c r="B576" s="70">
        <v>161.80000000000001</v>
      </c>
      <c r="C576" s="70">
        <v>159.38</v>
      </c>
      <c r="D576" s="70">
        <v>162.44999999999999</v>
      </c>
      <c r="E576" s="70">
        <v>158.57</v>
      </c>
      <c r="F576" s="70">
        <v>41.27</v>
      </c>
      <c r="G576" s="70">
        <v>1.5900000000000001E-2</v>
      </c>
      <c r="H576" s="70">
        <v>157.77583333333334</v>
      </c>
      <c r="I576" s="70">
        <v>152.50227920227917</v>
      </c>
      <c r="J576" s="70">
        <v>5.2735541310541691</v>
      </c>
      <c r="K576" s="70">
        <v>4.7421695156695343</v>
      </c>
      <c r="L576" s="70">
        <v>0.53138461538463488</v>
      </c>
      <c r="M576" s="70">
        <v>0.68511985640191297</v>
      </c>
      <c r="N576" s="70">
        <v>0.11597938144329617</v>
      </c>
      <c r="O576" s="70">
        <v>0</v>
      </c>
      <c r="P576" s="70">
        <v>0.31430524219816386</v>
      </c>
      <c r="Q576" s="70">
        <v>6.9769940851112794E-2</v>
      </c>
      <c r="R576" s="70">
        <v>0.63668602434976196</v>
      </c>
      <c r="S576" s="70">
        <v>0.59433235407059015</v>
      </c>
      <c r="T576" s="70">
        <v>75.273776579389292</v>
      </c>
      <c r="U576" s="70"/>
      <c r="V576" s="70">
        <v>-38.979999999999961</v>
      </c>
      <c r="W576" s="70">
        <v>113.38000000000005</v>
      </c>
    </row>
    <row r="577" spans="1:23" x14ac:dyDescent="0.25">
      <c r="A577" s="68">
        <v>43369</v>
      </c>
      <c r="B577" s="70">
        <v>159.27000000000001</v>
      </c>
      <c r="C577" s="70">
        <v>161.26</v>
      </c>
      <c r="D577" s="70">
        <v>162</v>
      </c>
      <c r="E577" s="70">
        <v>158.63999999999999</v>
      </c>
      <c r="F577" s="70">
        <v>25.68</v>
      </c>
      <c r="G577" s="70">
        <v>-9.7999999999999997E-3</v>
      </c>
      <c r="H577" s="70">
        <v>156.72096153846155</v>
      </c>
      <c r="I577" s="70">
        <v>151.68666666666667</v>
      </c>
      <c r="J577" s="70">
        <v>5.0342948717948843</v>
      </c>
      <c r="K577" s="70">
        <v>4.5396763216207789</v>
      </c>
      <c r="L577" s="70">
        <v>0.49461855017410539</v>
      </c>
      <c r="M577" s="70">
        <v>0.69346312819817257</v>
      </c>
      <c r="N577" s="70">
        <v>0.31547619047618985</v>
      </c>
      <c r="O577" s="70">
        <v>0</v>
      </c>
      <c r="P577" s="70">
        <v>0.37979008494878241</v>
      </c>
      <c r="Q577" s="70">
        <v>6.9769940851112794E-2</v>
      </c>
      <c r="R577" s="70">
        <v>0.68960789729036875</v>
      </c>
      <c r="S577" s="70">
        <v>0.60341590491479813</v>
      </c>
      <c r="T577" s="70">
        <v>75.14956062851121</v>
      </c>
      <c r="U577" s="70"/>
      <c r="V577" s="70">
        <v>-38.979999999999961</v>
      </c>
      <c r="W577" s="70">
        <v>113.38000000000005</v>
      </c>
    </row>
    <row r="578" spans="1:23" x14ac:dyDescent="0.25">
      <c r="A578" s="68">
        <v>43368</v>
      </c>
      <c r="B578" s="70">
        <v>160.84</v>
      </c>
      <c r="C578" s="70">
        <v>159.47999999999999</v>
      </c>
      <c r="D578" s="70">
        <v>160.94</v>
      </c>
      <c r="E578" s="70">
        <v>157.80000000000001</v>
      </c>
      <c r="F578" s="70">
        <v>21.99</v>
      </c>
      <c r="G578" s="70">
        <v>1.1599999999999999E-2</v>
      </c>
      <c r="H578" s="70">
        <v>156.3617307692308</v>
      </c>
      <c r="I578" s="70">
        <v>151.23423076923078</v>
      </c>
      <c r="J578" s="70">
        <v>5.1275000000000261</v>
      </c>
      <c r="K578" s="70">
        <v>4.4297532446976993</v>
      </c>
      <c r="L578" s="70">
        <v>0.69774675530232688</v>
      </c>
      <c r="M578" s="70">
        <v>0.72179050262811395</v>
      </c>
      <c r="N578" s="70">
        <v>0.45859872611465097</v>
      </c>
      <c r="O578" s="70">
        <v>0</v>
      </c>
      <c r="P578" s="70">
        <v>0.37943553352507753</v>
      </c>
      <c r="Q578" s="70">
        <v>7.9189093127407698E-2</v>
      </c>
      <c r="R578" s="70">
        <v>0.65466706964512034</v>
      </c>
      <c r="S578" s="70">
        <v>0.58182309081141126</v>
      </c>
      <c r="T578" s="70">
        <v>75.575937716649008</v>
      </c>
      <c r="U578" s="70"/>
      <c r="V578" s="70">
        <v>-38.979999999999961</v>
      </c>
      <c r="W578" s="70">
        <v>113.38000000000005</v>
      </c>
    </row>
    <row r="579" spans="1:23" x14ac:dyDescent="0.25">
      <c r="A579" s="68">
        <v>43367</v>
      </c>
      <c r="B579" s="70">
        <v>159</v>
      </c>
      <c r="C579" s="70">
        <v>158.5</v>
      </c>
      <c r="D579" s="70">
        <v>159.5</v>
      </c>
      <c r="E579" s="70">
        <v>157.6</v>
      </c>
      <c r="F579" s="70">
        <v>21.61</v>
      </c>
      <c r="G579" s="70">
        <v>2.3E-3</v>
      </c>
      <c r="H579" s="70">
        <v>155.22967948717945</v>
      </c>
      <c r="I579" s="70">
        <v>150.40954415954414</v>
      </c>
      <c r="J579" s="70">
        <v>4.8201353276353132</v>
      </c>
      <c r="K579" s="70">
        <v>4.2226627097182661</v>
      </c>
      <c r="L579" s="70">
        <v>0.59747261791704709</v>
      </c>
      <c r="M579" s="70">
        <v>0.69118815594028749</v>
      </c>
      <c r="N579" s="70">
        <v>0.28947368421053143</v>
      </c>
      <c r="O579" s="70">
        <v>0</v>
      </c>
      <c r="P579" s="70">
        <v>0.35029962883574972</v>
      </c>
      <c r="Q579" s="70">
        <v>7.9189093127407698E-2</v>
      </c>
      <c r="R579" s="70">
        <v>0.63124017429169788</v>
      </c>
      <c r="S579" s="70">
        <v>0.57958880302154303</v>
      </c>
      <c r="T579" s="70">
        <v>63.128321456912239</v>
      </c>
      <c r="U579" s="70"/>
      <c r="V579" s="70">
        <v>-38.979999999999961</v>
      </c>
      <c r="W579" s="70">
        <v>113.38000000000005</v>
      </c>
    </row>
    <row r="580" spans="1:23" x14ac:dyDescent="0.25">
      <c r="A580" s="68">
        <v>43364</v>
      </c>
      <c r="B580" s="70">
        <v>158.63999999999999</v>
      </c>
      <c r="C580" s="70">
        <v>154.69</v>
      </c>
      <c r="D580" s="70">
        <v>158.94999999999999</v>
      </c>
      <c r="E580" s="70">
        <v>154.52000000000001</v>
      </c>
      <c r="F580" s="70">
        <v>48.19</v>
      </c>
      <c r="G580" s="70">
        <v>2.7799999999999998E-2</v>
      </c>
      <c r="H580" s="70">
        <v>154.33237179487176</v>
      </c>
      <c r="I580" s="70">
        <v>149.74220797720795</v>
      </c>
      <c r="J580" s="70">
        <v>4.5901638176638073</v>
      </c>
      <c r="K580" s="70">
        <v>4.0122657486546371</v>
      </c>
      <c r="L580" s="70">
        <v>0.57789806900917018</v>
      </c>
      <c r="M580" s="70">
        <v>0.6780141580483412</v>
      </c>
      <c r="N580" s="70">
        <v>1.3043478260870076E-2</v>
      </c>
      <c r="O580" s="70">
        <v>0</v>
      </c>
      <c r="P580" s="70">
        <v>0.29172342243345539</v>
      </c>
      <c r="Q580" s="70">
        <v>7.9189093127407698E-2</v>
      </c>
      <c r="R580" s="70">
        <v>0.57300393054861187</v>
      </c>
      <c r="S580" s="70">
        <v>0.56970508273406106</v>
      </c>
      <c r="T580" s="70">
        <v>63.011209211817111</v>
      </c>
      <c r="U580" s="70"/>
      <c r="V580" s="70">
        <v>-38.979999999999961</v>
      </c>
      <c r="W580" s="70">
        <v>113.38000000000005</v>
      </c>
    </row>
    <row r="581" spans="1:23" x14ac:dyDescent="0.25">
      <c r="A581" s="68">
        <v>43363</v>
      </c>
      <c r="B581" s="70">
        <v>154.35</v>
      </c>
      <c r="C581" s="70">
        <v>157.1</v>
      </c>
      <c r="D581" s="70">
        <v>158.88999999999999</v>
      </c>
      <c r="E581" s="70">
        <v>154.35</v>
      </c>
      <c r="F581" s="70">
        <v>52.2</v>
      </c>
      <c r="G581" s="70">
        <v>-1.9300000000000001E-2</v>
      </c>
      <c r="H581" s="70">
        <v>152.85583333333335</v>
      </c>
      <c r="I581" s="70">
        <v>148.79195156695155</v>
      </c>
      <c r="J581" s="70">
        <v>4.0638817663817974</v>
      </c>
      <c r="K581" s="70">
        <v>3.731610794555249</v>
      </c>
      <c r="L581" s="70">
        <v>0.33227097182654841</v>
      </c>
      <c r="M581" s="70">
        <v>0.62379117052621413</v>
      </c>
      <c r="N581" s="70">
        <v>0</v>
      </c>
      <c r="O581" s="70">
        <v>0.50660792951542188</v>
      </c>
      <c r="P581" s="70">
        <v>0.28900005884052654</v>
      </c>
      <c r="Q581" s="70">
        <v>0.19806482019521776</v>
      </c>
      <c r="R581" s="70">
        <v>0.18670046344818736</v>
      </c>
      <c r="S581" s="70">
        <v>0.49103157844175532</v>
      </c>
      <c r="T581" s="70">
        <v>62.823476166615485</v>
      </c>
      <c r="U581" s="70"/>
      <c r="V581" s="70">
        <v>-38.979999999999961</v>
      </c>
      <c r="W581" s="70">
        <v>113.38000000000005</v>
      </c>
    </row>
    <row r="582" spans="1:23" x14ac:dyDescent="0.25">
      <c r="A582" s="68">
        <v>43362</v>
      </c>
      <c r="B582" s="70">
        <v>157.38999999999999</v>
      </c>
      <c r="C582" s="70">
        <v>157.5</v>
      </c>
      <c r="D582" s="70">
        <v>159.79</v>
      </c>
      <c r="E582" s="70">
        <v>156.65</v>
      </c>
      <c r="F582" s="70">
        <v>43.39</v>
      </c>
      <c r="G582" s="70">
        <v>2E-3</v>
      </c>
      <c r="H582" s="70">
        <v>152.83346153846156</v>
      </c>
      <c r="I582" s="70">
        <v>148.55951566951569</v>
      </c>
      <c r="J582" s="70">
        <v>4.2739458689458729</v>
      </c>
      <c r="K582" s="70">
        <v>3.5996654004431816</v>
      </c>
      <c r="L582" s="70">
        <v>0.6742804685026913</v>
      </c>
      <c r="M582" s="70">
        <v>0.66665265472102697</v>
      </c>
      <c r="N582" s="70">
        <v>0.61146496815286489</v>
      </c>
      <c r="O582" s="70">
        <v>0</v>
      </c>
      <c r="P582" s="70">
        <v>0.3976212506751971</v>
      </c>
      <c r="Q582" s="70">
        <v>9.2289538208481334E-2</v>
      </c>
      <c r="R582" s="70">
        <v>0.62323941296016638</v>
      </c>
      <c r="S582" s="70">
        <v>0.60092186148945559</v>
      </c>
      <c r="T582" s="70">
        <v>75.22573637881564</v>
      </c>
      <c r="U582" s="70"/>
      <c r="V582" s="70">
        <v>-38.979999999999961</v>
      </c>
      <c r="W582" s="70">
        <v>113.38000000000005</v>
      </c>
    </row>
    <row r="583" spans="1:23" x14ac:dyDescent="0.25">
      <c r="A583" s="68">
        <v>43361</v>
      </c>
      <c r="B583" s="70">
        <v>157.08000000000001</v>
      </c>
      <c r="C583" s="70">
        <v>155.5</v>
      </c>
      <c r="D583" s="70">
        <v>157.87</v>
      </c>
      <c r="E583" s="70">
        <v>154.74</v>
      </c>
      <c r="F583" s="70">
        <v>27.16</v>
      </c>
      <c r="G583" s="70">
        <v>1.04E-2</v>
      </c>
      <c r="H583" s="70">
        <v>152.1751282051282</v>
      </c>
      <c r="I583" s="70">
        <v>147.96141025641026</v>
      </c>
      <c r="J583" s="70">
        <v>4.2137179487179424</v>
      </c>
      <c r="K583" s="70">
        <v>3.3802858499525117</v>
      </c>
      <c r="L583" s="70">
        <v>0.83343209876543067</v>
      </c>
      <c r="M583" s="70">
        <v>0.65766001899334747</v>
      </c>
      <c r="N583" s="70">
        <v>0.68051118210862571</v>
      </c>
      <c r="O583" s="70">
        <v>0</v>
      </c>
      <c r="P583" s="70">
        <v>0.38979544367424751</v>
      </c>
      <c r="Q583" s="70">
        <v>9.2289538208481334E-2</v>
      </c>
      <c r="R583" s="70">
        <v>0.61712336340346097</v>
      </c>
      <c r="S583" s="70">
        <v>0.61425816844224768</v>
      </c>
      <c r="T583" s="70">
        <v>75.052034444761873</v>
      </c>
      <c r="U583" s="70"/>
      <c r="V583" s="70">
        <v>-38.979999999999961</v>
      </c>
      <c r="W583" s="70">
        <v>113.38000000000005</v>
      </c>
    </row>
    <row r="584" spans="1:23" x14ac:dyDescent="0.25">
      <c r="A584" s="68">
        <v>43360</v>
      </c>
      <c r="B584" s="70">
        <v>155.46</v>
      </c>
      <c r="C584" s="70">
        <v>151.99</v>
      </c>
      <c r="D584" s="70">
        <v>155.74</v>
      </c>
      <c r="E584" s="70">
        <v>151.41</v>
      </c>
      <c r="F584" s="70">
        <v>33.79</v>
      </c>
      <c r="G584" s="70">
        <v>2.18E-2</v>
      </c>
      <c r="H584" s="70">
        <v>151.42314102564106</v>
      </c>
      <c r="I584" s="70">
        <v>147.33642450142449</v>
      </c>
      <c r="J584" s="70">
        <v>4.0867165242165697</v>
      </c>
      <c r="K584" s="70">
        <v>3.1449127888572384</v>
      </c>
      <c r="L584" s="70">
        <v>0.94180373535933137</v>
      </c>
      <c r="M584" s="70">
        <v>0.60715614553221564</v>
      </c>
      <c r="N584" s="70">
        <v>0.40184757505773766</v>
      </c>
      <c r="O584" s="70">
        <v>0</v>
      </c>
      <c r="P584" s="70">
        <v>0.31643452897046043</v>
      </c>
      <c r="Q584" s="70">
        <v>9.2289538208481334E-2</v>
      </c>
      <c r="R584" s="70">
        <v>0.54840174279203158</v>
      </c>
      <c r="S584" s="70">
        <v>0.59901699023917865</v>
      </c>
      <c r="T584" s="70">
        <v>62.743903944433924</v>
      </c>
      <c r="U584" s="70"/>
      <c r="V584" s="70">
        <v>-38.979999999999961</v>
      </c>
      <c r="W584" s="70">
        <v>113.38000000000005</v>
      </c>
    </row>
    <row r="585" spans="1:23" x14ac:dyDescent="0.25">
      <c r="A585" s="68">
        <v>43357</v>
      </c>
      <c r="B585" s="70">
        <v>152.15</v>
      </c>
      <c r="C585" s="70">
        <v>153.38</v>
      </c>
      <c r="D585" s="70">
        <v>154</v>
      </c>
      <c r="E585" s="70">
        <v>151.77000000000001</v>
      </c>
      <c r="F585" s="70">
        <v>14.18</v>
      </c>
      <c r="G585" s="70">
        <v>-8.8000000000000005E-3</v>
      </c>
      <c r="H585" s="70">
        <v>150.24544871794873</v>
      </c>
      <c r="I585" s="70">
        <v>146.71160968660968</v>
      </c>
      <c r="J585" s="70">
        <v>3.5338390313390562</v>
      </c>
      <c r="K585" s="70">
        <v>2.8136294713516938</v>
      </c>
      <c r="L585" s="70">
        <v>0.72020955998736236</v>
      </c>
      <c r="M585" s="70">
        <v>0.50852618543216499</v>
      </c>
      <c r="N585" s="70">
        <v>0</v>
      </c>
      <c r="O585" s="70">
        <v>0.55156950672645533</v>
      </c>
      <c r="P585" s="70">
        <v>0.26310655246957187</v>
      </c>
      <c r="Q585" s="70">
        <v>0.17108518202654638</v>
      </c>
      <c r="R585" s="70">
        <v>0.21193717690139074</v>
      </c>
      <c r="S585" s="70">
        <v>0.54276376858801934</v>
      </c>
      <c r="T585" s="70">
        <v>50.297912540502018</v>
      </c>
      <c r="U585" s="70"/>
      <c r="V585" s="70">
        <v>-38.979999999999961</v>
      </c>
      <c r="W585" s="70">
        <v>113.38000000000005</v>
      </c>
    </row>
    <row r="586" spans="1:23" x14ac:dyDescent="0.25">
      <c r="A586" s="68">
        <v>43356</v>
      </c>
      <c r="B586" s="70">
        <v>153.5</v>
      </c>
      <c r="C586" s="70">
        <v>154.53</v>
      </c>
      <c r="D586" s="70">
        <v>155.79</v>
      </c>
      <c r="E586" s="70">
        <v>153</v>
      </c>
      <c r="F586" s="70">
        <v>21.63</v>
      </c>
      <c r="G586" s="70">
        <v>-0.01</v>
      </c>
      <c r="H586" s="70">
        <v>150.15205128205127</v>
      </c>
      <c r="I586" s="70">
        <v>146.5641025641026</v>
      </c>
      <c r="J586" s="70">
        <v>3.5879487179486773</v>
      </c>
      <c r="K586" s="70">
        <v>2.6491750553972642</v>
      </c>
      <c r="L586" s="70">
        <v>0.93877366255141315</v>
      </c>
      <c r="M586" s="70">
        <v>0.47842410138135327</v>
      </c>
      <c r="N586" s="70">
        <v>0</v>
      </c>
      <c r="O586" s="70">
        <v>0</v>
      </c>
      <c r="P586" s="70">
        <v>0.3290406184036378</v>
      </c>
      <c r="Q586" s="70">
        <v>5.5922317984759003E-2</v>
      </c>
      <c r="R586" s="70">
        <v>0.70946648262087308</v>
      </c>
      <c r="S586" s="70">
        <v>0.63352841623774792</v>
      </c>
      <c r="T586" s="70">
        <v>50.4966804772126</v>
      </c>
      <c r="U586" s="70"/>
      <c r="V586" s="70">
        <v>-38.979999999999961</v>
      </c>
      <c r="W586" s="70">
        <v>113.38000000000005</v>
      </c>
    </row>
    <row r="587" spans="1:23" x14ac:dyDescent="0.25">
      <c r="A587" s="68">
        <v>43355</v>
      </c>
      <c r="B587" s="70">
        <v>155.05000000000001</v>
      </c>
      <c r="C587" s="70">
        <v>153</v>
      </c>
      <c r="D587" s="70">
        <v>156</v>
      </c>
      <c r="E587" s="70">
        <v>152.54</v>
      </c>
      <c r="F587" s="70">
        <v>34.19</v>
      </c>
      <c r="G587" s="70">
        <v>1.77E-2</v>
      </c>
      <c r="H587" s="70">
        <v>149.83346153846153</v>
      </c>
      <c r="I587" s="70">
        <v>146.34415954415954</v>
      </c>
      <c r="J587" s="70">
        <v>3.4893019943019965</v>
      </c>
      <c r="K587" s="70">
        <v>2.442806267806267</v>
      </c>
      <c r="L587" s="70">
        <v>1.0464957264957295</v>
      </c>
      <c r="M587" s="70">
        <v>0.4244092963067273</v>
      </c>
      <c r="N587" s="70">
        <v>0.83791208791209415</v>
      </c>
      <c r="O587" s="70">
        <v>0</v>
      </c>
      <c r="P587" s="70">
        <v>0.47677730241703892</v>
      </c>
      <c r="Q587" s="70">
        <v>5.5922317984759003E-2</v>
      </c>
      <c r="R587" s="70">
        <v>0.79004183279658191</v>
      </c>
      <c r="S587" s="70">
        <v>0.62165686940037634</v>
      </c>
      <c r="T587" s="70">
        <v>50.697872553687333</v>
      </c>
      <c r="U587" s="70"/>
      <c r="V587" s="70">
        <v>-38.979999999999961</v>
      </c>
      <c r="W587" s="70">
        <v>113.38000000000005</v>
      </c>
    </row>
    <row r="588" spans="1:23" x14ac:dyDescent="0.25">
      <c r="A588" s="68">
        <v>43354</v>
      </c>
      <c r="B588" s="70">
        <v>152.36000000000001</v>
      </c>
      <c r="C588" s="70">
        <v>150.75</v>
      </c>
      <c r="D588" s="70">
        <v>152.94999999999999</v>
      </c>
      <c r="E588" s="70">
        <v>150.16999999999999</v>
      </c>
      <c r="F588" s="70">
        <v>44.75</v>
      </c>
      <c r="G588" s="70">
        <v>1.0699999999999999E-2</v>
      </c>
      <c r="H588" s="70">
        <v>148.67711538461535</v>
      </c>
      <c r="I588" s="70">
        <v>145.70650997150997</v>
      </c>
      <c r="J588" s="70">
        <v>2.9706054131053747</v>
      </c>
      <c r="K588" s="70">
        <v>2.1173410889521938</v>
      </c>
      <c r="L588" s="70">
        <v>0.85326432415318099</v>
      </c>
      <c r="M588" s="70">
        <v>0.33742958719026128</v>
      </c>
      <c r="N588" s="70">
        <v>0.79136690647481578</v>
      </c>
      <c r="O588" s="70">
        <v>0</v>
      </c>
      <c r="P588" s="70">
        <v>0.41488103993179515</v>
      </c>
      <c r="Q588" s="70">
        <v>5.5922317984759003E-2</v>
      </c>
      <c r="R588" s="70">
        <v>0.76243874626454666</v>
      </c>
      <c r="S588" s="70">
        <v>0.58171209821857262</v>
      </c>
      <c r="T588" s="70">
        <v>50.486951707476663</v>
      </c>
      <c r="U588" s="70">
        <v>1</v>
      </c>
      <c r="V588" s="70">
        <v>-38.979999999999961</v>
      </c>
      <c r="W588" s="70">
        <v>113.38000000000005</v>
      </c>
    </row>
    <row r="589" spans="1:23" x14ac:dyDescent="0.25">
      <c r="A589" s="68">
        <v>43353</v>
      </c>
      <c r="B589" s="70">
        <v>150.75</v>
      </c>
      <c r="C589" s="70">
        <v>149</v>
      </c>
      <c r="D589" s="70">
        <v>150.75</v>
      </c>
      <c r="E589" s="70">
        <v>148.15</v>
      </c>
      <c r="F589" s="70">
        <v>18.68</v>
      </c>
      <c r="G589" s="70">
        <v>1.3100000000000001E-2</v>
      </c>
      <c r="H589" s="70">
        <v>147.81173076923079</v>
      </c>
      <c r="I589" s="70">
        <v>145.19480056980058</v>
      </c>
      <c r="J589" s="70">
        <v>2.6169301994302145</v>
      </c>
      <c r="K589" s="70">
        <v>1.8793461538461633</v>
      </c>
      <c r="L589" s="70">
        <v>0.73758404558405122</v>
      </c>
      <c r="M589" s="70">
        <v>0.28546123582020694</v>
      </c>
      <c r="N589" s="70">
        <v>0.67692307692307485</v>
      </c>
      <c r="O589" s="70">
        <v>0</v>
      </c>
      <c r="P589" s="70">
        <v>0.34635388363485531</v>
      </c>
      <c r="Q589" s="70">
        <v>7.0992961626831441E-2</v>
      </c>
      <c r="R589" s="70">
        <v>0.65978915411560324</v>
      </c>
      <c r="S589" s="70">
        <v>0.52715330986070097</v>
      </c>
      <c r="T589" s="70">
        <v>37.90913614397882</v>
      </c>
      <c r="U589" s="70"/>
      <c r="V589" s="70">
        <v>-38.979999999999961</v>
      </c>
      <c r="W589" s="70">
        <v>111.77000000000004</v>
      </c>
    </row>
    <row r="590" spans="1:23" x14ac:dyDescent="0.25">
      <c r="A590" s="68">
        <v>43350</v>
      </c>
      <c r="B590" s="70">
        <v>148.80000000000001</v>
      </c>
      <c r="C590" s="70">
        <v>146.99</v>
      </c>
      <c r="D590" s="70">
        <v>148.99</v>
      </c>
      <c r="E590" s="70">
        <v>146.54</v>
      </c>
      <c r="F590" s="70">
        <v>16.29</v>
      </c>
      <c r="G590" s="70">
        <v>1.18E-2</v>
      </c>
      <c r="H590" s="70">
        <v>146.85948717948719</v>
      </c>
      <c r="I590" s="70">
        <v>144.75263532763532</v>
      </c>
      <c r="J590" s="70">
        <v>2.1068518518518715</v>
      </c>
      <c r="K590" s="70">
        <v>1.6227125672681326</v>
      </c>
      <c r="L590" s="70">
        <v>0.48413928458373889</v>
      </c>
      <c r="M590" s="70">
        <v>0.25210793511647905</v>
      </c>
      <c r="N590" s="70">
        <v>0</v>
      </c>
      <c r="O590" s="70">
        <v>0.14285714285713955</v>
      </c>
      <c r="P590" s="70">
        <v>0.23376679882757387</v>
      </c>
      <c r="Q590" s="70">
        <v>9.1401124892137087E-2</v>
      </c>
      <c r="R590" s="70">
        <v>0.43782200995370474</v>
      </c>
      <c r="S590" s="70">
        <v>0.48277095808178927</v>
      </c>
      <c r="T590" s="70">
        <v>37.7584836751602</v>
      </c>
      <c r="U590" s="70"/>
      <c r="V590" s="70">
        <v>-38.979999999999961</v>
      </c>
      <c r="W590" s="70">
        <v>109.82000000000005</v>
      </c>
    </row>
    <row r="591" spans="1:23" x14ac:dyDescent="0.25">
      <c r="A591" s="68">
        <v>43349</v>
      </c>
      <c r="B591" s="70">
        <v>147.06</v>
      </c>
      <c r="C591" s="70">
        <v>147</v>
      </c>
      <c r="D591" s="70">
        <v>149.5</v>
      </c>
      <c r="E591" s="70">
        <v>146.88999999999999</v>
      </c>
      <c r="F591" s="70">
        <v>22.09</v>
      </c>
      <c r="G591" s="70">
        <v>0</v>
      </c>
      <c r="H591" s="70">
        <v>146.26461538461535</v>
      </c>
      <c r="I591" s="70">
        <v>144.32317663817668</v>
      </c>
      <c r="J591" s="70">
        <v>1.9414387464386778</v>
      </c>
      <c r="K591" s="70">
        <v>1.4905669515669477</v>
      </c>
      <c r="L591" s="70">
        <v>0.45087179487173001</v>
      </c>
      <c r="M591" s="70">
        <v>0.26460457301481344</v>
      </c>
      <c r="N591" s="70">
        <v>0.38314176245210529</v>
      </c>
      <c r="O591" s="70">
        <v>0</v>
      </c>
      <c r="P591" s="70">
        <v>0.31334889232555796</v>
      </c>
      <c r="Q591" s="70">
        <v>6.1573809350536517E-2</v>
      </c>
      <c r="R591" s="70">
        <v>0.67153864476453207</v>
      </c>
      <c r="S591" s="70">
        <v>0.51244263610305163</v>
      </c>
      <c r="T591" s="70">
        <v>37.589644473831449</v>
      </c>
      <c r="U591" s="70"/>
      <c r="V591" s="70">
        <v>-38.979999999999961</v>
      </c>
      <c r="W591" s="70">
        <v>108.08000000000004</v>
      </c>
    </row>
    <row r="592" spans="1:23" x14ac:dyDescent="0.25">
      <c r="A592" s="68">
        <v>43348</v>
      </c>
      <c r="B592" s="70">
        <v>147.06</v>
      </c>
      <c r="C592" s="70">
        <v>147.28</v>
      </c>
      <c r="D592" s="70">
        <v>148.5</v>
      </c>
      <c r="E592" s="70">
        <v>146.85</v>
      </c>
      <c r="F592" s="70">
        <v>15.87</v>
      </c>
      <c r="G592" s="70">
        <v>-2.3E-3</v>
      </c>
      <c r="H592" s="70">
        <v>145.99948717948718</v>
      </c>
      <c r="I592" s="70">
        <v>144.14796296296296</v>
      </c>
      <c r="J592" s="70">
        <v>1.8515242165242114</v>
      </c>
      <c r="K592" s="70">
        <v>1.4114457106679508</v>
      </c>
      <c r="L592" s="70">
        <v>0.44007850585626063</v>
      </c>
      <c r="M592" s="70">
        <v>0.27930453718487341</v>
      </c>
      <c r="N592" s="70">
        <v>0</v>
      </c>
      <c r="O592" s="70">
        <v>0</v>
      </c>
      <c r="P592" s="70">
        <v>0.25219056515737948</v>
      </c>
      <c r="Q592" s="70">
        <v>6.1573809350536517E-2</v>
      </c>
      <c r="R592" s="70">
        <v>0.60751561137491039</v>
      </c>
      <c r="S592" s="70">
        <v>0.46946278932616281</v>
      </c>
      <c r="T592" s="70">
        <v>49.948178605409808</v>
      </c>
      <c r="U592" s="70"/>
      <c r="V592" s="70">
        <v>-38.979999999999961</v>
      </c>
      <c r="W592" s="70">
        <v>108.08000000000004</v>
      </c>
    </row>
    <row r="593" spans="1:23" x14ac:dyDescent="0.25">
      <c r="A593" s="68">
        <v>43347</v>
      </c>
      <c r="B593" s="70">
        <v>147.4</v>
      </c>
      <c r="C593" s="70">
        <v>148.87</v>
      </c>
      <c r="D593" s="70">
        <v>149.41</v>
      </c>
      <c r="E593" s="70">
        <v>146.38999999999999</v>
      </c>
      <c r="F593" s="70">
        <v>17.079999999999998</v>
      </c>
      <c r="G593" s="70">
        <v>-8.8999999999999999E-3</v>
      </c>
      <c r="H593" s="70">
        <v>145.66044871794873</v>
      </c>
      <c r="I593" s="70">
        <v>144.05669515669513</v>
      </c>
      <c r="J593" s="70">
        <v>1.6037535612535976</v>
      </c>
      <c r="K593" s="70">
        <v>1.3160454257676748</v>
      </c>
      <c r="L593" s="70">
        <v>0.28770813548592278</v>
      </c>
      <c r="M593" s="70">
        <v>0.27338981942400925</v>
      </c>
      <c r="N593" s="70">
        <v>0</v>
      </c>
      <c r="O593" s="70">
        <v>0.7052980132450386</v>
      </c>
      <c r="P593" s="70">
        <v>0.25219056515737948</v>
      </c>
      <c r="Q593" s="70">
        <v>0.16233066838554203</v>
      </c>
      <c r="R593" s="70">
        <v>0.21677996083289405</v>
      </c>
      <c r="S593" s="70">
        <v>0.37175903181351766</v>
      </c>
      <c r="T593" s="70">
        <v>62.330657941823013</v>
      </c>
      <c r="U593" s="70"/>
      <c r="V593" s="70">
        <v>-38.979999999999961</v>
      </c>
      <c r="W593" s="70">
        <v>108.42000000000004</v>
      </c>
    </row>
    <row r="594" spans="1:23" x14ac:dyDescent="0.25">
      <c r="A594" s="68">
        <v>43346</v>
      </c>
      <c r="B594" s="70">
        <v>148.72999999999999</v>
      </c>
      <c r="C594" s="70">
        <v>149.99</v>
      </c>
      <c r="D594" s="70">
        <v>151</v>
      </c>
      <c r="E594" s="70">
        <v>148.52000000000001</v>
      </c>
      <c r="F594" s="70">
        <v>15</v>
      </c>
      <c r="G594" s="70">
        <v>-8.0999999999999996E-3</v>
      </c>
      <c r="H594" s="70">
        <v>145.41448717948717</v>
      </c>
      <c r="I594" s="70">
        <v>143.85250712250709</v>
      </c>
      <c r="J594" s="70">
        <v>1.5619800569800759</v>
      </c>
      <c r="K594" s="70">
        <v>1.3206638176638397</v>
      </c>
      <c r="L594" s="70">
        <v>0.24131623931623625</v>
      </c>
      <c r="M594" s="70">
        <v>0.30570140780397104</v>
      </c>
      <c r="N594" s="70">
        <v>0.32258064516129625</v>
      </c>
      <c r="O594" s="70">
        <v>0</v>
      </c>
      <c r="P594" s="70">
        <v>0.31090574205163446</v>
      </c>
      <c r="Q594" s="70">
        <v>1.5070643642072428E-2</v>
      </c>
      <c r="R594" s="70">
        <v>0.90753536572901883</v>
      </c>
      <c r="S594" s="70">
        <v>0.47096563812860415</v>
      </c>
      <c r="T594" s="70">
        <v>62.645577858464065</v>
      </c>
      <c r="U594" s="70"/>
      <c r="V594" s="70">
        <v>-38.979999999999961</v>
      </c>
      <c r="W594" s="70">
        <v>109.75000000000003</v>
      </c>
    </row>
    <row r="595" spans="1:23" x14ac:dyDescent="0.25">
      <c r="A595" s="68">
        <v>43343</v>
      </c>
      <c r="B595" s="70">
        <v>149.94999999999999</v>
      </c>
      <c r="C595" s="70">
        <v>145.69999999999999</v>
      </c>
      <c r="D595" s="70">
        <v>150.19999999999999</v>
      </c>
      <c r="E595" s="70">
        <v>144.78</v>
      </c>
      <c r="F595" s="70">
        <v>32.96</v>
      </c>
      <c r="G595" s="70">
        <v>2.7199999999999998E-2</v>
      </c>
      <c r="H595" s="70">
        <v>145.04865384615383</v>
      </c>
      <c r="I595" s="70">
        <v>143.56039886039883</v>
      </c>
      <c r="J595" s="70">
        <v>1.4882549857549918</v>
      </c>
      <c r="K595" s="70">
        <v>1.2951913580247083</v>
      </c>
      <c r="L595" s="70">
        <v>0.19306362773028352</v>
      </c>
      <c r="M595" s="70">
        <v>0.36451131774208856</v>
      </c>
      <c r="N595" s="70">
        <v>0.34317343173431542</v>
      </c>
      <c r="O595" s="70">
        <v>0</v>
      </c>
      <c r="P595" s="70">
        <v>0.29257851517780453</v>
      </c>
      <c r="Q595" s="70">
        <v>2.565638817277088E-2</v>
      </c>
      <c r="R595" s="70">
        <v>0.83875817578370926</v>
      </c>
      <c r="S595" s="70">
        <v>0.40601203902932059</v>
      </c>
      <c r="T595" s="70">
        <v>75.28520705989564</v>
      </c>
      <c r="U595" s="70"/>
      <c r="V595" s="70">
        <v>-38.979999999999961</v>
      </c>
      <c r="W595" s="70">
        <v>110.97000000000003</v>
      </c>
    </row>
    <row r="596" spans="1:23" x14ac:dyDescent="0.25">
      <c r="A596" s="68">
        <v>43342</v>
      </c>
      <c r="B596" s="70">
        <v>145.97999999999999</v>
      </c>
      <c r="C596" s="70">
        <v>147.82</v>
      </c>
      <c r="D596" s="70">
        <v>148.34</v>
      </c>
      <c r="E596" s="70">
        <v>145.66</v>
      </c>
      <c r="F596" s="70">
        <v>17.22</v>
      </c>
      <c r="G596" s="70">
        <v>-1.2800000000000001E-2</v>
      </c>
      <c r="H596" s="70">
        <v>143.8420512820513</v>
      </c>
      <c r="I596" s="70">
        <v>142.84716524216523</v>
      </c>
      <c r="J596" s="70">
        <v>0.99488603988606883</v>
      </c>
      <c r="K596" s="70">
        <v>1.1622345679012573</v>
      </c>
      <c r="L596" s="70">
        <v>-0.16734852801518851</v>
      </c>
      <c r="M596" s="70">
        <v>0.38039583398558424</v>
      </c>
      <c r="N596" s="70">
        <v>0.17164179104477864</v>
      </c>
      <c r="O596" s="70">
        <v>0</v>
      </c>
      <c r="P596" s="70">
        <v>0.24544717540450925</v>
      </c>
      <c r="Q596" s="70">
        <v>7.4382387448220483E-2</v>
      </c>
      <c r="R596" s="70">
        <v>0.53486233864834465</v>
      </c>
      <c r="S596" s="70">
        <v>0.29652130468365762</v>
      </c>
      <c r="T596" s="70">
        <v>75.143099244297645</v>
      </c>
      <c r="U596" s="70">
        <v>-1</v>
      </c>
      <c r="V596" s="70">
        <v>-38.979999999999961</v>
      </c>
      <c r="W596" s="70">
        <v>107.00000000000003</v>
      </c>
    </row>
    <row r="597" spans="1:23" x14ac:dyDescent="0.25">
      <c r="A597" s="68">
        <v>43341</v>
      </c>
      <c r="B597" s="70">
        <v>147.88</v>
      </c>
      <c r="C597" s="70">
        <v>145.94999999999999</v>
      </c>
      <c r="D597" s="70">
        <v>147.88</v>
      </c>
      <c r="E597" s="70">
        <v>145.4</v>
      </c>
      <c r="F597" s="70">
        <v>19.149999999999999</v>
      </c>
      <c r="G597" s="70">
        <v>1.5699999999999999E-2</v>
      </c>
      <c r="H597" s="70">
        <v>143.8001282051282</v>
      </c>
      <c r="I597" s="70">
        <v>142.71119658119656</v>
      </c>
      <c r="J597" s="70">
        <v>1.0889316239316429</v>
      </c>
      <c r="K597" s="70">
        <v>1.1628949034504805</v>
      </c>
      <c r="L597" s="70">
        <v>-7.3963279518837632E-2</v>
      </c>
      <c r="M597" s="70">
        <v>0.48164900563191804</v>
      </c>
      <c r="N597" s="70">
        <v>0.46370967741935903</v>
      </c>
      <c r="O597" s="70">
        <v>0</v>
      </c>
      <c r="P597" s="70">
        <v>0.27585411800451887</v>
      </c>
      <c r="Q597" s="70">
        <v>0.11151766596280914</v>
      </c>
      <c r="R597" s="70">
        <v>0.42423444051250336</v>
      </c>
      <c r="S597" s="70">
        <v>0.24791556918422258</v>
      </c>
      <c r="T597" s="70">
        <v>87.717760205543073</v>
      </c>
      <c r="U597" s="70"/>
      <c r="V597" s="70">
        <v>-37.799999999999983</v>
      </c>
      <c r="W597" s="70">
        <v>107.00000000000003</v>
      </c>
    </row>
    <row r="598" spans="1:23" x14ac:dyDescent="0.25">
      <c r="A598" s="68">
        <v>43340</v>
      </c>
      <c r="B598" s="70">
        <v>145.6</v>
      </c>
      <c r="C598" s="70">
        <v>144.57</v>
      </c>
      <c r="D598" s="70">
        <v>146.72999999999999</v>
      </c>
      <c r="E598" s="70">
        <v>144.57</v>
      </c>
      <c r="F598" s="70">
        <v>19.61</v>
      </c>
      <c r="G598" s="70">
        <v>7.4999999999999997E-3</v>
      </c>
      <c r="H598" s="70">
        <v>143.09820512820514</v>
      </c>
      <c r="I598" s="70">
        <v>142.2207264957265</v>
      </c>
      <c r="J598" s="70">
        <v>0.87747863247864188</v>
      </c>
      <c r="K598" s="70">
        <v>1.0873729028173658</v>
      </c>
      <c r="L598" s="70">
        <v>-0.20989427033872388</v>
      </c>
      <c r="M598" s="70">
        <v>0.53952634892806528</v>
      </c>
      <c r="N598" s="70">
        <v>1</v>
      </c>
      <c r="O598" s="70">
        <v>0</v>
      </c>
      <c r="P598" s="70">
        <v>0.3441718475573331</v>
      </c>
      <c r="Q598" s="70">
        <v>0.11151766596280914</v>
      </c>
      <c r="R598" s="70">
        <v>0.51055417053006258</v>
      </c>
      <c r="S598" s="70">
        <v>0.26524555409918682</v>
      </c>
      <c r="T598" s="70">
        <v>87.644079636744678</v>
      </c>
      <c r="U598" s="70"/>
      <c r="V598" s="70">
        <v>-37.799999999999983</v>
      </c>
      <c r="W598" s="70">
        <v>107.00000000000003</v>
      </c>
    </row>
    <row r="599" spans="1:23" x14ac:dyDescent="0.25">
      <c r="A599" s="68">
        <v>43339</v>
      </c>
      <c r="B599" s="70">
        <v>144.52000000000001</v>
      </c>
      <c r="C599" s="70">
        <v>143.51</v>
      </c>
      <c r="D599" s="70">
        <v>144.52000000000001</v>
      </c>
      <c r="E599" s="70">
        <v>143.25</v>
      </c>
      <c r="F599" s="70">
        <v>12.77</v>
      </c>
      <c r="G599" s="70">
        <v>6.4000000000000003E-3</v>
      </c>
      <c r="H599" s="70">
        <v>142.87564102564104</v>
      </c>
      <c r="I599" s="70">
        <v>141.88324786324782</v>
      </c>
      <c r="J599" s="70">
        <v>0.99239316239322761</v>
      </c>
      <c r="K599" s="70">
        <v>1.1062418486863281</v>
      </c>
      <c r="L599" s="70">
        <v>-0.11384868629310052</v>
      </c>
      <c r="M599" s="70">
        <v>0.62236533330551891</v>
      </c>
      <c r="N599" s="70">
        <v>0.42519685039371347</v>
      </c>
      <c r="O599" s="70">
        <v>0</v>
      </c>
      <c r="P599" s="70">
        <v>0.23418498402716434</v>
      </c>
      <c r="Q599" s="70">
        <v>0.11151766596280914</v>
      </c>
      <c r="R599" s="70">
        <v>0.35483476354003352</v>
      </c>
      <c r="S599" s="70">
        <v>0.24502329079919427</v>
      </c>
      <c r="T599" s="70">
        <v>75.240249719416383</v>
      </c>
      <c r="U599" s="70"/>
      <c r="V599" s="70">
        <v>-37.799999999999983</v>
      </c>
      <c r="W599" s="70">
        <v>107.00000000000003</v>
      </c>
    </row>
    <row r="600" spans="1:23" x14ac:dyDescent="0.25">
      <c r="A600" s="68">
        <v>43336</v>
      </c>
      <c r="B600" s="70">
        <v>143.6</v>
      </c>
      <c r="C600" s="70">
        <v>141.5</v>
      </c>
      <c r="D600" s="70">
        <v>143.97999999999999</v>
      </c>
      <c r="E600" s="70">
        <v>141.5</v>
      </c>
      <c r="F600" s="70">
        <v>19</v>
      </c>
      <c r="G600" s="70">
        <v>1.4800000000000001E-2</v>
      </c>
      <c r="H600" s="70">
        <v>142.7820512820513</v>
      </c>
      <c r="I600" s="70">
        <v>141.52841880341879</v>
      </c>
      <c r="J600" s="70">
        <v>1.253632478632511</v>
      </c>
      <c r="K600" s="70">
        <v>1.1076609686609946</v>
      </c>
      <c r="L600" s="70">
        <v>0.14597150997151642</v>
      </c>
      <c r="M600" s="70">
        <v>0.70140968243533164</v>
      </c>
      <c r="N600" s="70">
        <v>0</v>
      </c>
      <c r="O600" s="70">
        <v>0</v>
      </c>
      <c r="P600" s="70">
        <v>0.18351022057591743</v>
      </c>
      <c r="Q600" s="70">
        <v>0.11151766596280914</v>
      </c>
      <c r="R600" s="70">
        <v>0.24401949069196971</v>
      </c>
      <c r="S600" s="70">
        <v>0.24073285966045954</v>
      </c>
      <c r="T600" s="70">
        <v>75.174511631178234</v>
      </c>
      <c r="U600" s="70"/>
      <c r="V600" s="70">
        <v>-37.799999999999983</v>
      </c>
      <c r="W600" s="70">
        <v>107.00000000000003</v>
      </c>
    </row>
    <row r="601" spans="1:23" x14ac:dyDescent="0.25">
      <c r="A601" s="68">
        <v>43335</v>
      </c>
      <c r="B601" s="70">
        <v>141.5</v>
      </c>
      <c r="C601" s="70">
        <v>143.85</v>
      </c>
      <c r="D601" s="70">
        <v>145</v>
      </c>
      <c r="E601" s="70">
        <v>141.5</v>
      </c>
      <c r="F601" s="70">
        <v>21.39</v>
      </c>
      <c r="G601" s="70">
        <v>-1.8499999999999999E-2</v>
      </c>
      <c r="H601" s="70">
        <v>142.49423076923074</v>
      </c>
      <c r="I601" s="70">
        <v>141.15847578347575</v>
      </c>
      <c r="J601" s="70">
        <v>1.3357549857549884</v>
      </c>
      <c r="K601" s="70">
        <v>1.0200367204811831</v>
      </c>
      <c r="L601" s="70">
        <v>0.31571826527380531</v>
      </c>
      <c r="M601" s="70">
        <v>0.72211238777051279</v>
      </c>
      <c r="N601" s="70">
        <v>0</v>
      </c>
      <c r="O601" s="70">
        <v>0.22857142857143181</v>
      </c>
      <c r="P601" s="70">
        <v>0.19802202456140494</v>
      </c>
      <c r="Q601" s="70">
        <v>0.1441707271872994</v>
      </c>
      <c r="R601" s="70">
        <v>0.15737123915953735</v>
      </c>
      <c r="S601" s="70">
        <v>0.23088418334500632</v>
      </c>
      <c r="T601" s="70">
        <v>62.679940093383841</v>
      </c>
      <c r="U601" s="70"/>
      <c r="V601" s="70">
        <v>-37.799999999999983</v>
      </c>
      <c r="W601" s="70">
        <v>107.00000000000003</v>
      </c>
    </row>
    <row r="602" spans="1:23" x14ac:dyDescent="0.25">
      <c r="A602" s="68">
        <v>43334</v>
      </c>
      <c r="B602" s="70">
        <v>144.16</v>
      </c>
      <c r="C602" s="70">
        <v>143.5</v>
      </c>
      <c r="D602" s="70">
        <v>144.41</v>
      </c>
      <c r="E602" s="70">
        <v>142.30000000000001</v>
      </c>
      <c r="F602" s="70">
        <v>16.25</v>
      </c>
      <c r="G602" s="70">
        <v>6.0000000000000001E-3</v>
      </c>
      <c r="H602" s="70">
        <v>142.99089743589744</v>
      </c>
      <c r="I602" s="70">
        <v>141.24119658119656</v>
      </c>
      <c r="J602" s="70">
        <v>1.7497008547008761</v>
      </c>
      <c r="K602" s="70">
        <v>0.96884488762268772</v>
      </c>
      <c r="L602" s="70">
        <v>0.78085596707818838</v>
      </c>
      <c r="M602" s="70">
        <v>0.73119490449406055</v>
      </c>
      <c r="N602" s="70">
        <v>0.43601895734596868</v>
      </c>
      <c r="O602" s="70">
        <v>0</v>
      </c>
      <c r="P602" s="70">
        <v>0.26585357647633595</v>
      </c>
      <c r="Q602" s="70">
        <v>9.6447022320736694E-2</v>
      </c>
      <c r="R602" s="70">
        <v>0.46758563115289015</v>
      </c>
      <c r="S602" s="70">
        <v>0.27057041945602056</v>
      </c>
      <c r="T602" s="70">
        <v>62.602727672679279</v>
      </c>
      <c r="U602" s="70"/>
      <c r="V602" s="70">
        <v>-37.799999999999983</v>
      </c>
      <c r="W602" s="70">
        <v>107.00000000000003</v>
      </c>
    </row>
    <row r="603" spans="1:23" x14ac:dyDescent="0.25">
      <c r="A603" s="68">
        <v>43333</v>
      </c>
      <c r="B603" s="70">
        <v>143.30000000000001</v>
      </c>
      <c r="C603" s="70">
        <v>141.55000000000001</v>
      </c>
      <c r="D603" s="70">
        <v>143.49</v>
      </c>
      <c r="E603" s="70">
        <v>140.12</v>
      </c>
      <c r="F603" s="70">
        <v>13.67</v>
      </c>
      <c r="G603" s="70">
        <v>1.26E-2</v>
      </c>
      <c r="H603" s="70">
        <v>142.65974358974358</v>
      </c>
      <c r="I603" s="70">
        <v>141.2184472934473</v>
      </c>
      <c r="J603" s="70">
        <v>1.4412962962962865</v>
      </c>
      <c r="K603" s="70">
        <v>0.6955451092117908</v>
      </c>
      <c r="L603" s="70">
        <v>0.74575118708449573</v>
      </c>
      <c r="M603" s="70">
        <v>0.60973098316688745</v>
      </c>
      <c r="N603" s="70">
        <v>0.37685459940653071</v>
      </c>
      <c r="O603" s="70">
        <v>0</v>
      </c>
      <c r="P603" s="70">
        <v>0.22865302265997872</v>
      </c>
      <c r="Q603" s="70">
        <v>0.10237880679923381</v>
      </c>
      <c r="R603" s="70">
        <v>0.38145641785272366</v>
      </c>
      <c r="S603" s="70">
        <v>0.19223709520983118</v>
      </c>
      <c r="T603" s="70">
        <v>49.890075100691206</v>
      </c>
      <c r="U603" s="70"/>
      <c r="V603" s="70">
        <v>-37.799999999999983</v>
      </c>
      <c r="W603" s="70">
        <v>107.00000000000003</v>
      </c>
    </row>
    <row r="604" spans="1:23" x14ac:dyDescent="0.25">
      <c r="A604" s="68">
        <v>43332</v>
      </c>
      <c r="B604" s="70">
        <v>141.51</v>
      </c>
      <c r="C604" s="70">
        <v>141.97</v>
      </c>
      <c r="D604" s="70">
        <v>142.22</v>
      </c>
      <c r="E604" s="70">
        <v>140.61000000000001</v>
      </c>
      <c r="F604" s="70">
        <v>8.23</v>
      </c>
      <c r="G604" s="70">
        <v>3.5000000000000001E-3</v>
      </c>
      <c r="H604" s="70">
        <v>142.32019230769228</v>
      </c>
      <c r="I604" s="70">
        <v>141.21762108262104</v>
      </c>
      <c r="J604" s="70">
        <v>1.1025712250712445</v>
      </c>
      <c r="K604" s="70">
        <v>0.405364514086754</v>
      </c>
      <c r="L604" s="70">
        <v>0.6972067109844905</v>
      </c>
      <c r="M604" s="70">
        <v>0.44844033965402719</v>
      </c>
      <c r="N604" s="70">
        <v>0.2857142857142933</v>
      </c>
      <c r="O604" s="70">
        <v>0</v>
      </c>
      <c r="P604" s="70">
        <v>0.19078542184197575</v>
      </c>
      <c r="Q604" s="70">
        <v>0.13861094526779399</v>
      </c>
      <c r="R604" s="70">
        <v>0.15839420765923282</v>
      </c>
      <c r="S604" s="70">
        <v>9.4889644611393584E-2</v>
      </c>
      <c r="T604" s="70">
        <v>49.973662031184155</v>
      </c>
      <c r="U604" s="70"/>
      <c r="V604" s="70">
        <v>-37.799999999999983</v>
      </c>
      <c r="W604" s="70">
        <v>107.00000000000003</v>
      </c>
    </row>
    <row r="605" spans="1:23" x14ac:dyDescent="0.25">
      <c r="A605" s="68">
        <v>43329</v>
      </c>
      <c r="B605" s="70">
        <v>141.01</v>
      </c>
      <c r="C605" s="70">
        <v>140.88</v>
      </c>
      <c r="D605" s="70">
        <v>141.76</v>
      </c>
      <c r="E605" s="70">
        <v>140.03</v>
      </c>
      <c r="F605" s="70">
        <v>15.08</v>
      </c>
      <c r="G605" s="70">
        <v>8.9999999999999998E-4</v>
      </c>
      <c r="H605" s="70">
        <v>142.16217948717949</v>
      </c>
      <c r="I605" s="70">
        <v>141.3714672364672</v>
      </c>
      <c r="J605" s="70">
        <v>0.79071225071228923</v>
      </c>
      <c r="K605" s="70">
        <v>0.11020449509340313</v>
      </c>
      <c r="L605" s="70">
        <v>0.6805077556188861</v>
      </c>
      <c r="M605" s="70">
        <v>0.29600775040092603</v>
      </c>
      <c r="N605" s="70">
        <v>0</v>
      </c>
      <c r="O605" s="70">
        <v>0</v>
      </c>
      <c r="P605" s="70">
        <v>0.13113079075877168</v>
      </c>
      <c r="Q605" s="70">
        <v>0.13861094526779399</v>
      </c>
      <c r="R605" s="70">
        <v>-2.7730801392505403E-2</v>
      </c>
      <c r="S605" s="70">
        <v>3.1184350287787169E-2</v>
      </c>
      <c r="T605" s="70">
        <v>50.087156083845016</v>
      </c>
      <c r="U605" s="70"/>
      <c r="V605" s="70">
        <v>-37.799999999999983</v>
      </c>
      <c r="W605" s="70">
        <v>107.00000000000003</v>
      </c>
    </row>
    <row r="606" spans="1:23" x14ac:dyDescent="0.25">
      <c r="A606" s="68">
        <v>43328</v>
      </c>
      <c r="B606" s="70">
        <v>140.88</v>
      </c>
      <c r="C606" s="70">
        <v>141.5</v>
      </c>
      <c r="D606" s="70">
        <v>142.09</v>
      </c>
      <c r="E606" s="70">
        <v>139.94999999999999</v>
      </c>
      <c r="F606" s="70">
        <v>14.33</v>
      </c>
      <c r="G606" s="70">
        <v>-4.4000000000000003E-3</v>
      </c>
      <c r="H606" s="70">
        <v>142.22185897435898</v>
      </c>
      <c r="I606" s="70">
        <v>141.50678062678062</v>
      </c>
      <c r="J606" s="70">
        <v>0.71507834757835553</v>
      </c>
      <c r="K606" s="70">
        <v>-0.16320465337130882</v>
      </c>
      <c r="L606" s="70">
        <v>0.87828300094966438</v>
      </c>
      <c r="M606" s="70">
        <v>0.18150197760454978</v>
      </c>
      <c r="N606" s="70">
        <v>0.19158878504672605</v>
      </c>
      <c r="O606" s="70">
        <v>0</v>
      </c>
      <c r="P606" s="70">
        <v>0.2189917208370919</v>
      </c>
      <c r="Q606" s="70">
        <v>0.13861094526779399</v>
      </c>
      <c r="R606" s="70">
        <v>0.22477677933676812</v>
      </c>
      <c r="S606" s="70">
        <v>6.2960970057290344E-2</v>
      </c>
      <c r="T606" s="70">
        <v>50.162678421494533</v>
      </c>
      <c r="U606" s="70"/>
      <c r="V606" s="70">
        <v>-37.799999999999983</v>
      </c>
      <c r="W606" s="70">
        <v>107.00000000000003</v>
      </c>
    </row>
    <row r="607" spans="1:23" x14ac:dyDescent="0.25">
      <c r="A607" s="68">
        <v>43327</v>
      </c>
      <c r="B607" s="70">
        <v>141.5</v>
      </c>
      <c r="C607" s="70">
        <v>141</v>
      </c>
      <c r="D607" s="70">
        <v>141.68</v>
      </c>
      <c r="E607" s="70">
        <v>139.5</v>
      </c>
      <c r="F607" s="70">
        <v>20.93</v>
      </c>
      <c r="G607" s="70">
        <v>1.8E-3</v>
      </c>
      <c r="H607" s="70">
        <v>142.52243589743591</v>
      </c>
      <c r="I607" s="70">
        <v>141.69123931623926</v>
      </c>
      <c r="J607" s="70">
        <v>0.83119658119665019</v>
      </c>
      <c r="K607" s="70">
        <v>-0.40661728395059771</v>
      </c>
      <c r="L607" s="70">
        <v>1.2378138651472479</v>
      </c>
      <c r="M607" s="70">
        <v>5.6015132066429663E-2</v>
      </c>
      <c r="N607" s="70">
        <v>0</v>
      </c>
      <c r="O607" s="70">
        <v>0.16055045871559323</v>
      </c>
      <c r="P607" s="70">
        <v>0.18639798883141112</v>
      </c>
      <c r="Q607" s="70">
        <v>0.16154672508430731</v>
      </c>
      <c r="R607" s="70">
        <v>7.1423024271388844E-2</v>
      </c>
      <c r="S607" s="70">
        <v>-2.0330484394993041E-3</v>
      </c>
      <c r="T607" s="70">
        <v>50.142504939588392</v>
      </c>
      <c r="U607" s="70"/>
      <c r="V607" s="70">
        <v>-37.799999999999983</v>
      </c>
      <c r="W607" s="70">
        <v>107.00000000000003</v>
      </c>
    </row>
    <row r="608" spans="1:23" x14ac:dyDescent="0.25">
      <c r="A608" s="68">
        <v>43326</v>
      </c>
      <c r="B608" s="70">
        <v>141.24</v>
      </c>
      <c r="C608" s="70">
        <v>143.49</v>
      </c>
      <c r="D608" s="70">
        <v>143.49</v>
      </c>
      <c r="E608" s="70">
        <v>139.85</v>
      </c>
      <c r="F608" s="70">
        <v>22.38</v>
      </c>
      <c r="G608" s="70">
        <v>-1.1599999999999999E-2</v>
      </c>
      <c r="H608" s="70">
        <v>142.29910256410258</v>
      </c>
      <c r="I608" s="70">
        <v>141.87853276353275</v>
      </c>
      <c r="J608" s="70">
        <v>0.42056980056983662</v>
      </c>
      <c r="K608" s="70">
        <v>-0.79430199430198956</v>
      </c>
      <c r="L608" s="70">
        <v>1.2148717948718262</v>
      </c>
      <c r="M608" s="70">
        <v>-0.15356108658671783</v>
      </c>
      <c r="N608" s="70">
        <v>0</v>
      </c>
      <c r="O608" s="70">
        <v>0.73901098901098539</v>
      </c>
      <c r="P608" s="70">
        <v>0.18639798883141112</v>
      </c>
      <c r="Q608" s="70">
        <v>0.25921589357474034</v>
      </c>
      <c r="R608" s="70">
        <v>-0.16341031466555586</v>
      </c>
      <c r="S608" s="70">
        <v>-7.7954287840585418E-2</v>
      </c>
      <c r="T608" s="70">
        <v>50.181268618252666</v>
      </c>
      <c r="U608" s="70"/>
      <c r="V608" s="70">
        <v>-37.799999999999983</v>
      </c>
      <c r="W608" s="70">
        <v>107.00000000000003</v>
      </c>
    </row>
    <row r="609" spans="1:23" x14ac:dyDescent="0.25">
      <c r="A609" s="68">
        <v>43325</v>
      </c>
      <c r="B609" s="70">
        <v>142.9</v>
      </c>
      <c r="C609" s="70">
        <v>143.9</v>
      </c>
      <c r="D609" s="70">
        <v>145.15</v>
      </c>
      <c r="E609" s="70">
        <v>142.54</v>
      </c>
      <c r="F609" s="70">
        <v>22.82</v>
      </c>
      <c r="G609" s="70">
        <v>-1.3100000000000001E-2</v>
      </c>
      <c r="H609" s="70">
        <v>142.32532051282053</v>
      </c>
      <c r="I609" s="70">
        <v>142.24223646723647</v>
      </c>
      <c r="J609" s="70">
        <v>8.3084045584058686E-2</v>
      </c>
      <c r="K609" s="70">
        <v>-1.0829058246280543</v>
      </c>
      <c r="L609" s="70">
        <v>1.165989870212113</v>
      </c>
      <c r="M609" s="70">
        <v>-0.35818612093825153</v>
      </c>
      <c r="N609" s="70">
        <v>0</v>
      </c>
      <c r="O609" s="70">
        <v>0.56321839080459435</v>
      </c>
      <c r="P609" s="70">
        <v>0.19976923297188587</v>
      </c>
      <c r="Q609" s="70">
        <v>0.18537666598409203</v>
      </c>
      <c r="R609" s="70">
        <v>3.7369129534568689E-2</v>
      </c>
      <c r="S609" s="70">
        <v>-6.6506795920570502E-2</v>
      </c>
      <c r="T609" s="70">
        <v>50.219875331124385</v>
      </c>
      <c r="U609" s="70"/>
      <c r="V609" s="70">
        <v>-37.799999999999983</v>
      </c>
      <c r="W609" s="70">
        <v>107.00000000000003</v>
      </c>
    </row>
    <row r="610" spans="1:23" x14ac:dyDescent="0.25">
      <c r="A610" s="68">
        <v>43322</v>
      </c>
      <c r="B610" s="70">
        <v>144.80000000000001</v>
      </c>
      <c r="C610" s="70">
        <v>144.69</v>
      </c>
      <c r="D610" s="70">
        <v>146.19999999999999</v>
      </c>
      <c r="E610" s="70">
        <v>144.01</v>
      </c>
      <c r="F610" s="70">
        <v>27.2</v>
      </c>
      <c r="G610" s="70">
        <v>-2.8E-3</v>
      </c>
      <c r="H610" s="70">
        <v>142.28480769230771</v>
      </c>
      <c r="I610" s="70">
        <v>142.45633903133904</v>
      </c>
      <c r="J610" s="70">
        <v>-0.17153133903133266</v>
      </c>
      <c r="K610" s="70">
        <v>-1.2698915796138144</v>
      </c>
      <c r="L610" s="70">
        <v>1.0983602405824817</v>
      </c>
      <c r="M610" s="70">
        <v>-0.54516851556167456</v>
      </c>
      <c r="N610" s="70">
        <v>0.33789954337898698</v>
      </c>
      <c r="O610" s="70">
        <v>0</v>
      </c>
      <c r="P610" s="70">
        <v>0.24804059631174113</v>
      </c>
      <c r="Q610" s="70">
        <v>8.2669954823543945E-2</v>
      </c>
      <c r="R610" s="70">
        <v>0.50004646335141678</v>
      </c>
      <c r="S610" s="70">
        <v>-3.1853608493150526E-2</v>
      </c>
      <c r="T610" s="70">
        <v>50.253265329332407</v>
      </c>
      <c r="U610" s="70">
        <v>1</v>
      </c>
      <c r="V610" s="70">
        <v>-37.799999999999983</v>
      </c>
      <c r="W610" s="70">
        <v>107.00000000000003</v>
      </c>
    </row>
    <row r="611" spans="1:23" x14ac:dyDescent="0.25">
      <c r="A611" s="68">
        <v>43321</v>
      </c>
      <c r="B611" s="70">
        <v>145.19999999999999</v>
      </c>
      <c r="C611" s="70">
        <v>143.26</v>
      </c>
      <c r="D611" s="70">
        <v>145.46</v>
      </c>
      <c r="E611" s="70">
        <v>143.26</v>
      </c>
      <c r="F611" s="70">
        <v>29.2</v>
      </c>
      <c r="G611" s="70">
        <v>7.6E-3</v>
      </c>
      <c r="H611" s="70">
        <v>141.88166666666666</v>
      </c>
      <c r="I611" s="70">
        <v>142.51267806267805</v>
      </c>
      <c r="J611" s="70">
        <v>-0.63101139601138811</v>
      </c>
      <c r="K611" s="70">
        <v>-1.4694096232985268</v>
      </c>
      <c r="L611" s="70">
        <v>0.83839822728713864</v>
      </c>
      <c r="M611" s="70">
        <v>-0.72234013406662734</v>
      </c>
      <c r="N611" s="70">
        <v>0.57727272727272749</v>
      </c>
      <c r="O611" s="70">
        <v>0</v>
      </c>
      <c r="P611" s="70">
        <v>0.27773764750332963</v>
      </c>
      <c r="Q611" s="70">
        <v>8.2669954823543945E-2</v>
      </c>
      <c r="R611" s="70">
        <v>0.54124189229190567</v>
      </c>
      <c r="S611" s="70">
        <v>-7.8991191309523812E-2</v>
      </c>
      <c r="T611" s="70">
        <v>62.888114459835734</v>
      </c>
      <c r="U611" s="70"/>
      <c r="V611" s="70">
        <v>-37.799999999999983</v>
      </c>
      <c r="W611" s="70">
        <v>107.4</v>
      </c>
    </row>
    <row r="612" spans="1:23" x14ac:dyDescent="0.25">
      <c r="A612" s="68">
        <v>43320</v>
      </c>
      <c r="B612" s="70">
        <v>144.1</v>
      </c>
      <c r="C612" s="70">
        <v>142.71</v>
      </c>
      <c r="D612" s="70">
        <v>144.19</v>
      </c>
      <c r="E612" s="70">
        <v>142.19999999999999</v>
      </c>
      <c r="F612" s="70">
        <v>27.01</v>
      </c>
      <c r="G612" s="70">
        <v>9.4999999999999998E-3</v>
      </c>
      <c r="H612" s="70">
        <v>141.26467948717948</v>
      </c>
      <c r="I612" s="70">
        <v>142.32578347578351</v>
      </c>
      <c r="J612" s="70">
        <v>-1.0611039886040317</v>
      </c>
      <c r="K612" s="70">
        <v>-1.5831508388730882</v>
      </c>
      <c r="L612" s="70">
        <v>0.52204685026905651</v>
      </c>
      <c r="M612" s="70">
        <v>-0.86838058364554405</v>
      </c>
      <c r="N612" s="70">
        <v>0.57788944723618108</v>
      </c>
      <c r="O612" s="70">
        <v>0</v>
      </c>
      <c r="P612" s="70">
        <v>0.26901456154406278</v>
      </c>
      <c r="Q612" s="70">
        <v>8.2669954823543945E-2</v>
      </c>
      <c r="R612" s="70">
        <v>0.52986298244002772</v>
      </c>
      <c r="S612" s="70">
        <v>-0.13072499290373313</v>
      </c>
      <c r="T612" s="70">
        <v>62.682256814820029</v>
      </c>
      <c r="U612" s="70"/>
      <c r="V612" s="70">
        <v>-37.799999999999983</v>
      </c>
      <c r="W612" s="70">
        <v>106.30000000000001</v>
      </c>
    </row>
    <row r="613" spans="1:23" x14ac:dyDescent="0.25">
      <c r="A613" s="68">
        <v>43319</v>
      </c>
      <c r="B613" s="70">
        <v>142.74</v>
      </c>
      <c r="C613" s="70">
        <v>141.35</v>
      </c>
      <c r="D613" s="70">
        <v>143.04</v>
      </c>
      <c r="E613" s="70">
        <v>140.94999999999999</v>
      </c>
      <c r="F613" s="70">
        <v>14.05</v>
      </c>
      <c r="G613" s="70">
        <v>9.9000000000000008E-3</v>
      </c>
      <c r="H613" s="70">
        <v>140.65141025641026</v>
      </c>
      <c r="I613" s="70">
        <v>142.16770655270656</v>
      </c>
      <c r="J613" s="70">
        <v>-1.5162962962963036</v>
      </c>
      <c r="K613" s="70">
        <v>-1.6084742006964405</v>
      </c>
      <c r="L613" s="70">
        <v>9.2177904400136956E-2</v>
      </c>
      <c r="M613" s="70">
        <v>-0.98787243841944505</v>
      </c>
      <c r="N613" s="70">
        <v>0.22009569377989416</v>
      </c>
      <c r="O613" s="70">
        <v>0</v>
      </c>
      <c r="P613" s="70">
        <v>0.17979856727649335</v>
      </c>
      <c r="Q613" s="70">
        <v>0.10061403605876455</v>
      </c>
      <c r="R613" s="70">
        <v>0.28238577822786637</v>
      </c>
      <c r="S613" s="70">
        <v>-0.22961050790901066</v>
      </c>
      <c r="T613" s="70">
        <v>50.265126366573718</v>
      </c>
      <c r="U613" s="70"/>
      <c r="V613" s="70">
        <v>-37.799999999999983</v>
      </c>
      <c r="W613" s="70">
        <v>104.94000000000003</v>
      </c>
    </row>
    <row r="614" spans="1:23" x14ac:dyDescent="0.25">
      <c r="A614" s="68">
        <v>43318</v>
      </c>
      <c r="B614" s="70">
        <v>141.34</v>
      </c>
      <c r="C614" s="70">
        <v>142.44</v>
      </c>
      <c r="D614" s="70">
        <v>142.58000000000001</v>
      </c>
      <c r="E614" s="70">
        <v>140.32</v>
      </c>
      <c r="F614" s="70">
        <v>15.24</v>
      </c>
      <c r="G614" s="70">
        <v>-7.4000000000000003E-3</v>
      </c>
      <c r="H614" s="70">
        <v>139.99391025641026</v>
      </c>
      <c r="I614" s="70">
        <v>142.10887464387463</v>
      </c>
      <c r="J614" s="70">
        <v>-2.1149643874643687</v>
      </c>
      <c r="K614" s="70">
        <v>-1.5606358024691511</v>
      </c>
      <c r="L614" s="70">
        <v>-0.55432858499521753</v>
      </c>
      <c r="M614" s="70">
        <v>-1.0812859960552226</v>
      </c>
      <c r="N614" s="70">
        <v>8.4070796460187835E-2</v>
      </c>
      <c r="O614" s="70">
        <v>0</v>
      </c>
      <c r="P614" s="70">
        <v>0.14585463510247637</v>
      </c>
      <c r="Q614" s="70">
        <v>0.12247063250099613</v>
      </c>
      <c r="R614" s="70">
        <v>8.7147970857656257E-2</v>
      </c>
      <c r="S614" s="70">
        <v>-0.30419020655981543</v>
      </c>
      <c r="T614" s="70">
        <v>37.781866339581718</v>
      </c>
      <c r="U614" s="70"/>
      <c r="V614" s="70">
        <v>-37.799999999999983</v>
      </c>
      <c r="W614" s="70">
        <v>103.54000000000002</v>
      </c>
    </row>
    <row r="615" spans="1:23" x14ac:dyDescent="0.25">
      <c r="A615" s="68">
        <v>43315</v>
      </c>
      <c r="B615" s="70">
        <v>142.38999999999999</v>
      </c>
      <c r="C615" s="70">
        <v>140.19999999999999</v>
      </c>
      <c r="D615" s="70">
        <v>142.38999999999999</v>
      </c>
      <c r="E615" s="70">
        <v>139.5</v>
      </c>
      <c r="F615" s="70">
        <v>21.85</v>
      </c>
      <c r="G615" s="70">
        <v>1.4500000000000001E-2</v>
      </c>
      <c r="H615" s="70">
        <v>139.89032051282049</v>
      </c>
      <c r="I615" s="70">
        <v>142.1749002849003</v>
      </c>
      <c r="J615" s="70">
        <v>-2.2845797720798089</v>
      </c>
      <c r="K615" s="70">
        <v>-1.2992932890155411</v>
      </c>
      <c r="L615" s="70">
        <v>-0.9852864830642678</v>
      </c>
      <c r="M615" s="70">
        <v>-1.0699000727034946</v>
      </c>
      <c r="N615" s="70">
        <v>0</v>
      </c>
      <c r="O615" s="70">
        <v>8.9965397923872717E-2</v>
      </c>
      <c r="P615" s="70">
        <v>0.12830139188551404</v>
      </c>
      <c r="Q615" s="70">
        <v>0.42217883334611889</v>
      </c>
      <c r="R615" s="70">
        <v>-0.53385649109728883</v>
      </c>
      <c r="S615" s="70">
        <v>-0.43936408381701203</v>
      </c>
      <c r="T615" s="70">
        <v>37.887268708331852</v>
      </c>
      <c r="U615" s="70"/>
      <c r="V615" s="70">
        <v>-37.799999999999983</v>
      </c>
      <c r="W615" s="70">
        <v>104.59</v>
      </c>
    </row>
    <row r="616" spans="1:23" x14ac:dyDescent="0.25">
      <c r="A616" s="68">
        <v>43314</v>
      </c>
      <c r="B616" s="70">
        <v>140.36000000000001</v>
      </c>
      <c r="C616" s="70">
        <v>141.75</v>
      </c>
      <c r="D616" s="70">
        <v>142.88999999999999</v>
      </c>
      <c r="E616" s="70">
        <v>139.76</v>
      </c>
      <c r="F616" s="70">
        <v>12.67</v>
      </c>
      <c r="G616" s="70">
        <v>-1.2500000000000001E-2</v>
      </c>
      <c r="H616" s="70">
        <v>139.28891025641025</v>
      </c>
      <c r="I616" s="70">
        <v>141.89525641025642</v>
      </c>
      <c r="J616" s="70">
        <v>-2.6063461538461752</v>
      </c>
      <c r="K616" s="70">
        <v>-1.0110356125356348</v>
      </c>
      <c r="L616" s="70">
        <v>-1.5953105413105404</v>
      </c>
      <c r="M616" s="70">
        <v>-0.9911379731379768</v>
      </c>
      <c r="N616" s="70">
        <v>0</v>
      </c>
      <c r="O616" s="70">
        <v>0.54952076677316342</v>
      </c>
      <c r="P616" s="70">
        <v>0.12830139188551404</v>
      </c>
      <c r="Q616" s="70">
        <v>0.53249837807456113</v>
      </c>
      <c r="R616" s="70">
        <v>-0.61167846080434962</v>
      </c>
      <c r="S616" s="70">
        <v>-0.41115029603671244</v>
      </c>
      <c r="T616" s="70">
        <v>37.690670767690136</v>
      </c>
      <c r="U616" s="70"/>
      <c r="V616" s="70">
        <v>-37.799999999999983</v>
      </c>
      <c r="W616" s="70">
        <v>102.56000000000003</v>
      </c>
    </row>
    <row r="617" spans="1:23" x14ac:dyDescent="0.25">
      <c r="A617" s="68">
        <v>43313</v>
      </c>
      <c r="B617" s="70">
        <v>142.13999999999999</v>
      </c>
      <c r="C617" s="70">
        <v>143.01</v>
      </c>
      <c r="D617" s="70">
        <v>143.31</v>
      </c>
      <c r="E617" s="70">
        <v>141.47999999999999</v>
      </c>
      <c r="F617" s="70">
        <v>18.309999999999999</v>
      </c>
      <c r="G617" s="70">
        <v>-1.15E-2</v>
      </c>
      <c r="H617" s="70">
        <v>139.91179487179485</v>
      </c>
      <c r="I617" s="70">
        <v>141.97867521367525</v>
      </c>
      <c r="J617" s="70">
        <v>-2.0668803418803918</v>
      </c>
      <c r="K617" s="70">
        <v>-0.48837385248499082</v>
      </c>
      <c r="L617" s="70">
        <v>-1.5785064893954011</v>
      </c>
      <c r="M617" s="70">
        <v>-0.75788609554422071</v>
      </c>
      <c r="N617" s="70">
        <v>0</v>
      </c>
      <c r="O617" s="70">
        <v>0</v>
      </c>
      <c r="P617" s="70">
        <v>0.17711573543669945</v>
      </c>
      <c r="Q617" s="70">
        <v>0.41776327292412041</v>
      </c>
      <c r="R617" s="70">
        <v>-0.40453190330336519</v>
      </c>
      <c r="S617" s="70">
        <v>-0.29616470092513109</v>
      </c>
      <c r="T617" s="70">
        <v>50.151823222235159</v>
      </c>
      <c r="U617" s="70"/>
      <c r="V617" s="70">
        <v>-37.799999999999983</v>
      </c>
      <c r="W617" s="70">
        <v>104.34</v>
      </c>
    </row>
    <row r="618" spans="1:23" x14ac:dyDescent="0.25">
      <c r="A618" s="68">
        <v>43312</v>
      </c>
      <c r="B618" s="70">
        <v>143.79</v>
      </c>
      <c r="C618" s="70">
        <v>138.88999999999999</v>
      </c>
      <c r="D618" s="70">
        <v>143.79</v>
      </c>
      <c r="E618" s="70">
        <v>138.46</v>
      </c>
      <c r="F618" s="70">
        <v>31.49</v>
      </c>
      <c r="G618" s="70">
        <v>3.5200000000000002E-2</v>
      </c>
      <c r="H618" s="70">
        <v>140.50833333333333</v>
      </c>
      <c r="I618" s="70">
        <v>141.95595441595444</v>
      </c>
      <c r="J618" s="70">
        <v>-1.4476210826211116</v>
      </c>
      <c r="K618" s="70">
        <v>3.7055080721727252E-2</v>
      </c>
      <c r="L618" s="70">
        <v>-1.4846761633428387</v>
      </c>
      <c r="M618" s="70">
        <v>-0.50535658453607568</v>
      </c>
      <c r="N618" s="70">
        <v>0.91744840525328353</v>
      </c>
      <c r="O618" s="70">
        <v>0</v>
      </c>
      <c r="P618" s="70">
        <v>0.34675122190145474</v>
      </c>
      <c r="Q618" s="70">
        <v>0.41776327292412041</v>
      </c>
      <c r="R618" s="70">
        <v>-9.2885159801799635E-2</v>
      </c>
      <c r="S618" s="70">
        <v>-0.18235135172933786</v>
      </c>
      <c r="T618" s="70">
        <v>50.407828873924153</v>
      </c>
      <c r="U618" s="70"/>
      <c r="V618" s="70">
        <v>-37.799999999999983</v>
      </c>
      <c r="W618" s="70">
        <v>105.99000000000001</v>
      </c>
    </row>
    <row r="619" spans="1:23" x14ac:dyDescent="0.25">
      <c r="A619" s="68">
        <v>43311</v>
      </c>
      <c r="B619" s="70">
        <v>138.9</v>
      </c>
      <c r="C619" s="70">
        <v>137.59</v>
      </c>
      <c r="D619" s="70">
        <v>138.9</v>
      </c>
      <c r="E619" s="70">
        <v>137.12</v>
      </c>
      <c r="F619" s="70">
        <v>13.23</v>
      </c>
      <c r="G619" s="70">
        <v>6.6E-3</v>
      </c>
      <c r="H619" s="70">
        <v>139.97320512820514</v>
      </c>
      <c r="I619" s="70">
        <v>141.35548433048436</v>
      </c>
      <c r="J619" s="70">
        <v>-1.3822792022792214</v>
      </c>
      <c r="K619" s="70">
        <v>0.42163849319403218</v>
      </c>
      <c r="L619" s="70">
        <v>-1.8039176954732536</v>
      </c>
      <c r="M619" s="70">
        <v>-0.3209682157032604</v>
      </c>
      <c r="N619" s="70">
        <v>0.11235955056180726</v>
      </c>
      <c r="O619" s="70">
        <v>0</v>
      </c>
      <c r="P619" s="70">
        <v>0.17124742473102739</v>
      </c>
      <c r="Q619" s="70">
        <v>0.42825278341363077</v>
      </c>
      <c r="R619" s="70">
        <v>-0.42869936522288671</v>
      </c>
      <c r="S619" s="70">
        <v>-0.19667157380321842</v>
      </c>
      <c r="T619" s="70">
        <v>37.673260603865828</v>
      </c>
      <c r="U619" s="70"/>
      <c r="V619" s="70">
        <v>-37.799999999999983</v>
      </c>
      <c r="W619" s="70">
        <v>101.10000000000002</v>
      </c>
    </row>
    <row r="620" spans="1:23" x14ac:dyDescent="0.25">
      <c r="A620" s="68">
        <v>43308</v>
      </c>
      <c r="B620" s="70">
        <v>137.99</v>
      </c>
      <c r="C620" s="70">
        <v>138.44999999999999</v>
      </c>
      <c r="D620" s="70">
        <v>138.69999999999999</v>
      </c>
      <c r="E620" s="70">
        <v>137.13</v>
      </c>
      <c r="F620" s="70">
        <v>9.52</v>
      </c>
      <c r="G620" s="70">
        <v>-1.4E-3</v>
      </c>
      <c r="H620" s="70">
        <v>140.26897435897433</v>
      </c>
      <c r="I620" s="70">
        <v>141.21186609686609</v>
      </c>
      <c r="J620" s="70">
        <v>-0.94289173789175607</v>
      </c>
      <c r="K620" s="70">
        <v>0.9481592276036529</v>
      </c>
      <c r="L620" s="70">
        <v>-1.8910509654954089</v>
      </c>
      <c r="M620" s="70">
        <v>-8.1241587788595276E-2</v>
      </c>
      <c r="N620" s="70">
        <v>0</v>
      </c>
      <c r="O620" s="70">
        <v>0.38853503184714411</v>
      </c>
      <c r="P620" s="70">
        <v>0.1477877383499907</v>
      </c>
      <c r="Q620" s="70">
        <v>0.54159073999412677</v>
      </c>
      <c r="R620" s="70">
        <v>-0.57124353894837021</v>
      </c>
      <c r="S620" s="70">
        <v>-0.17780926903186722</v>
      </c>
      <c r="T620" s="70">
        <v>25.111872022030184</v>
      </c>
      <c r="U620" s="70"/>
      <c r="V620" s="70">
        <v>-37.799999999999983</v>
      </c>
      <c r="W620" s="70">
        <v>100.19000000000003</v>
      </c>
    </row>
    <row r="621" spans="1:23" x14ac:dyDescent="0.25">
      <c r="A621" s="68">
        <v>43307</v>
      </c>
      <c r="B621" s="70">
        <v>138.18</v>
      </c>
      <c r="C621" s="70">
        <v>138.84</v>
      </c>
      <c r="D621" s="70">
        <v>139.16999999999999</v>
      </c>
      <c r="E621" s="70">
        <v>137.74</v>
      </c>
      <c r="F621" s="70">
        <v>10.8</v>
      </c>
      <c r="G621" s="70">
        <v>-2.0000000000000001E-4</v>
      </c>
      <c r="H621" s="70">
        <v>140.77628205128204</v>
      </c>
      <c r="I621" s="70">
        <v>141.09809116809117</v>
      </c>
      <c r="J621" s="70">
        <v>-0.32180911680913482</v>
      </c>
      <c r="K621" s="70">
        <v>1.4608879392212564</v>
      </c>
      <c r="L621" s="70">
        <v>-1.7826970560303912</v>
      </c>
      <c r="M621" s="70">
        <v>0.2024148690815365</v>
      </c>
      <c r="N621" s="70">
        <v>0.20279720279720029</v>
      </c>
      <c r="O621" s="70">
        <v>0</v>
      </c>
      <c r="P621" s="70">
        <v>0.18588809952727486</v>
      </c>
      <c r="Q621" s="70">
        <v>0.46046804103703076</v>
      </c>
      <c r="R621" s="70">
        <v>-0.42481214964559938</v>
      </c>
      <c r="S621" s="70">
        <v>-5.5222350996840697E-2</v>
      </c>
      <c r="T621" s="70">
        <v>24.946457174738583</v>
      </c>
      <c r="U621" s="70"/>
      <c r="V621" s="70">
        <v>-37.799999999999983</v>
      </c>
      <c r="W621" s="70">
        <v>100.38000000000002</v>
      </c>
    </row>
    <row r="622" spans="1:23" x14ac:dyDescent="0.25">
      <c r="A622" s="68">
        <v>43306</v>
      </c>
      <c r="B622" s="70">
        <v>138.21</v>
      </c>
      <c r="C622" s="70">
        <v>138.1</v>
      </c>
      <c r="D622" s="70">
        <v>138.88</v>
      </c>
      <c r="E622" s="70">
        <v>137.63999999999999</v>
      </c>
      <c r="F622" s="70">
        <v>13.72</v>
      </c>
      <c r="G622" s="70">
        <v>-4.5999999999999999E-3</v>
      </c>
      <c r="H622" s="70">
        <v>141.42397435897433</v>
      </c>
      <c r="I622" s="70">
        <v>141.05508547008549</v>
      </c>
      <c r="J622" s="70">
        <v>0.36888888888884708</v>
      </c>
      <c r="K622" s="70">
        <v>1.8922678062677816</v>
      </c>
      <c r="L622" s="70">
        <v>-1.5233789173789345</v>
      </c>
      <c r="M622" s="70">
        <v>0.49401586257996399</v>
      </c>
      <c r="N622" s="70">
        <v>0</v>
      </c>
      <c r="O622" s="70">
        <v>0.2258064516129025</v>
      </c>
      <c r="P622" s="70">
        <v>0.19184147980696614</v>
      </c>
      <c r="Q622" s="70">
        <v>0.49272610555315971</v>
      </c>
      <c r="R622" s="70">
        <v>-0.43952508441939919</v>
      </c>
      <c r="S622" s="70">
        <v>2.4051110186703292E-2</v>
      </c>
      <c r="T622" s="70">
        <v>37.874080422826935</v>
      </c>
      <c r="U622" s="70"/>
      <c r="V622" s="70">
        <v>-37.799999999999983</v>
      </c>
      <c r="W622" s="70">
        <v>100.41000000000003</v>
      </c>
    </row>
    <row r="623" spans="1:23" x14ac:dyDescent="0.25">
      <c r="A623" s="68">
        <v>43305</v>
      </c>
      <c r="B623" s="70">
        <v>138.85</v>
      </c>
      <c r="C623" s="70">
        <v>138.78</v>
      </c>
      <c r="D623" s="70">
        <v>139.69999999999999</v>
      </c>
      <c r="E623" s="70">
        <v>137.91999999999999</v>
      </c>
      <c r="F623" s="70">
        <v>13.4</v>
      </c>
      <c r="G623" s="70">
        <v>3.5000000000000001E-3</v>
      </c>
      <c r="H623" s="70">
        <v>142.21275641025642</v>
      </c>
      <c r="I623" s="70">
        <v>141.00598290598293</v>
      </c>
      <c r="J623" s="70">
        <v>1.2067735042734853</v>
      </c>
      <c r="K623" s="70">
        <v>2.232265115542877</v>
      </c>
      <c r="L623" s="70">
        <v>-1.0254916112693917</v>
      </c>
      <c r="M623" s="70">
        <v>0.77095462815121119</v>
      </c>
      <c r="N623" s="70">
        <v>0.26966292134830866</v>
      </c>
      <c r="O623" s="70">
        <v>0</v>
      </c>
      <c r="P623" s="70">
        <v>0.23775646571288178</v>
      </c>
      <c r="Q623" s="70">
        <v>0.4455797035680481</v>
      </c>
      <c r="R623" s="70">
        <v>-0.30413030540130392</v>
      </c>
      <c r="S623" s="70">
        <v>0.12213138762917458</v>
      </c>
      <c r="T623" s="70">
        <v>50.595354111664328</v>
      </c>
      <c r="U623" s="70">
        <v>-1</v>
      </c>
      <c r="V623" s="70">
        <v>-37.799999999999983</v>
      </c>
      <c r="W623" s="70">
        <v>101.05000000000001</v>
      </c>
    </row>
    <row r="624" spans="1:23" x14ac:dyDescent="0.25">
      <c r="A624" s="68">
        <v>43304</v>
      </c>
      <c r="B624" s="70">
        <v>138.37</v>
      </c>
      <c r="C624" s="70">
        <v>136.59</v>
      </c>
      <c r="D624" s="70">
        <v>139.22</v>
      </c>
      <c r="E624" s="70">
        <v>136.58000000000001</v>
      </c>
      <c r="F624" s="70">
        <v>17.91</v>
      </c>
      <c r="G624" s="70">
        <v>1.3899999999999999E-2</v>
      </c>
      <c r="H624" s="70">
        <v>142.56974358974361</v>
      </c>
      <c r="I624" s="70">
        <v>140.88745014245015</v>
      </c>
      <c r="J624" s="70">
        <v>1.6822934472934605</v>
      </c>
      <c r="K624" s="70">
        <v>2.3734140550807155</v>
      </c>
      <c r="L624" s="70">
        <v>-0.69112060778725493</v>
      </c>
      <c r="M624" s="70">
        <v>0.98239059515983185</v>
      </c>
      <c r="N624" s="70">
        <v>0.44363636363636322</v>
      </c>
      <c r="O624" s="70">
        <v>0</v>
      </c>
      <c r="P624" s="70">
        <v>0.28563813833779539</v>
      </c>
      <c r="Q624" s="70">
        <v>0.4455797035680481</v>
      </c>
      <c r="R624" s="70">
        <v>-0.21873312720786681</v>
      </c>
      <c r="S624" s="70">
        <v>0.19038372083593624</v>
      </c>
      <c r="T624" s="70">
        <v>50.866542728001619</v>
      </c>
      <c r="U624" s="70"/>
      <c r="V624" s="70">
        <v>-43.91</v>
      </c>
      <c r="W624" s="70">
        <v>101.05000000000001</v>
      </c>
    </row>
    <row r="625" spans="1:23" x14ac:dyDescent="0.25">
      <c r="A625" s="68">
        <v>43301</v>
      </c>
      <c r="B625" s="70">
        <v>136.47</v>
      </c>
      <c r="C625" s="70">
        <v>137.58000000000001</v>
      </c>
      <c r="D625" s="70">
        <v>138</v>
      </c>
      <c r="E625" s="70">
        <v>136.41999999999999</v>
      </c>
      <c r="F625" s="70">
        <v>18.7</v>
      </c>
      <c r="G625" s="70">
        <v>-8.0999999999999996E-3</v>
      </c>
      <c r="H625" s="70">
        <v>142.78371794871796</v>
      </c>
      <c r="I625" s="70">
        <v>140.72391737891741</v>
      </c>
      <c r="J625" s="70">
        <v>2.0598005698005579</v>
      </c>
      <c r="K625" s="70">
        <v>2.4186641342196751</v>
      </c>
      <c r="L625" s="70">
        <v>-0.35886356441911715</v>
      </c>
      <c r="M625" s="70">
        <v>1.1378759240126775</v>
      </c>
      <c r="N625" s="70">
        <v>0</v>
      </c>
      <c r="O625" s="70">
        <v>0.27215189873417939</v>
      </c>
      <c r="P625" s="70">
        <v>0.1930107657104228</v>
      </c>
      <c r="Q625" s="70">
        <v>0.48864483614493426</v>
      </c>
      <c r="R625" s="70">
        <v>-0.43370005268033157</v>
      </c>
      <c r="S625" s="70">
        <v>0.18343146906897728</v>
      </c>
      <c r="T625" s="70">
        <v>38.458168692010481</v>
      </c>
      <c r="U625" s="70"/>
      <c r="V625" s="70">
        <v>-43.91</v>
      </c>
      <c r="W625" s="70">
        <v>101.05000000000001</v>
      </c>
    </row>
    <row r="626" spans="1:23" x14ac:dyDescent="0.25">
      <c r="A626" s="68">
        <v>43300</v>
      </c>
      <c r="B626" s="70">
        <v>137.58000000000001</v>
      </c>
      <c r="C626" s="70">
        <v>138.38999999999999</v>
      </c>
      <c r="D626" s="70">
        <v>138.66</v>
      </c>
      <c r="E626" s="70">
        <v>136.85</v>
      </c>
      <c r="F626" s="70">
        <v>18.37</v>
      </c>
      <c r="G626" s="70">
        <v>-5.1000000000000004E-3</v>
      </c>
      <c r="H626" s="70">
        <v>143.36134615384614</v>
      </c>
      <c r="I626" s="70">
        <v>140.91048433048434</v>
      </c>
      <c r="J626" s="70">
        <v>2.4508618233618051</v>
      </c>
      <c r="K626" s="70">
        <v>2.3746921494143551</v>
      </c>
      <c r="L626" s="70">
        <v>7.6169673947450001E-2</v>
      </c>
      <c r="M626" s="70">
        <v>1.2700574461941976</v>
      </c>
      <c r="N626" s="70">
        <v>0</v>
      </c>
      <c r="O626" s="70">
        <v>0.33149171270717875</v>
      </c>
      <c r="P626" s="70">
        <v>0.1930107657104228</v>
      </c>
      <c r="Q626" s="70">
        <v>0.47917787119157068</v>
      </c>
      <c r="R626" s="70">
        <v>-0.42572440200721756</v>
      </c>
      <c r="S626" s="70">
        <v>0.21903366284520473</v>
      </c>
      <c r="T626" s="70">
        <v>38.096684603367464</v>
      </c>
      <c r="U626" s="70"/>
      <c r="V626" s="70">
        <v>-43.91</v>
      </c>
      <c r="W626" s="70">
        <v>101.05000000000001</v>
      </c>
    </row>
    <row r="627" spans="1:23" x14ac:dyDescent="0.25">
      <c r="A627" s="68">
        <v>43299</v>
      </c>
      <c r="B627" s="70">
        <v>138.29</v>
      </c>
      <c r="C627" s="70">
        <v>138.88999999999999</v>
      </c>
      <c r="D627" s="70">
        <v>138.99</v>
      </c>
      <c r="E627" s="70">
        <v>137.44999999999999</v>
      </c>
      <c r="F627" s="70">
        <v>28.75</v>
      </c>
      <c r="G627" s="70">
        <v>-4.8300000000000003E-2</v>
      </c>
      <c r="H627" s="70">
        <v>143.81679487179488</v>
      </c>
      <c r="I627" s="70">
        <v>141.08487179487182</v>
      </c>
      <c r="J627" s="70">
        <v>2.7319230769230671</v>
      </c>
      <c r="K627" s="70">
        <v>2.1798230452674741</v>
      </c>
      <c r="L627" s="70">
        <v>0.55210003165559307</v>
      </c>
      <c r="M627" s="70">
        <v>1.364826370843466</v>
      </c>
      <c r="N627" s="70">
        <v>0</v>
      </c>
      <c r="O627" s="70">
        <v>4.350649350649304</v>
      </c>
      <c r="P627" s="70">
        <v>0.24393804666191682</v>
      </c>
      <c r="Q627" s="70">
        <v>1.0314866515982142</v>
      </c>
      <c r="R627" s="70">
        <v>-0.61747949997411133</v>
      </c>
      <c r="S627" s="70">
        <v>0.2322973666922932</v>
      </c>
      <c r="T627" s="70">
        <v>50.48511121432626</v>
      </c>
      <c r="U627" s="70"/>
      <c r="V627" s="70">
        <v>-43.91</v>
      </c>
      <c r="W627" s="70">
        <v>101.05000000000001</v>
      </c>
    </row>
    <row r="628" spans="1:23" x14ac:dyDescent="0.25">
      <c r="A628" s="68">
        <v>43298</v>
      </c>
      <c r="B628" s="70">
        <v>145.31</v>
      </c>
      <c r="C628" s="70">
        <v>146.6</v>
      </c>
      <c r="D628" s="70">
        <v>146.72999999999999</v>
      </c>
      <c r="E628" s="70">
        <v>144.15</v>
      </c>
      <c r="F628" s="70">
        <v>25.69</v>
      </c>
      <c r="G628" s="70">
        <v>-1.15E-2</v>
      </c>
      <c r="H628" s="70">
        <v>145.29942307692306</v>
      </c>
      <c r="I628" s="70">
        <v>141.74696581196585</v>
      </c>
      <c r="J628" s="70">
        <v>3.5524572649572121</v>
      </c>
      <c r="K628" s="70">
        <v>2.0214664450775324</v>
      </c>
      <c r="L628" s="70">
        <v>1.5309908198796798</v>
      </c>
      <c r="M628" s="70">
        <v>1.4674740441577983</v>
      </c>
      <c r="N628" s="70">
        <v>0</v>
      </c>
      <c r="O628" s="70">
        <v>0.76744186046511709</v>
      </c>
      <c r="P628" s="70">
        <v>0.26386478658865614</v>
      </c>
      <c r="Q628" s="70">
        <v>0.23274386614447515</v>
      </c>
      <c r="R628" s="70">
        <v>6.2666891269220051E-2</v>
      </c>
      <c r="S628" s="70">
        <v>0.36336757470187409</v>
      </c>
      <c r="T628" s="70">
        <v>50.197128171796564</v>
      </c>
      <c r="U628" s="70"/>
      <c r="V628" s="70">
        <v>-43.91</v>
      </c>
      <c r="W628" s="70">
        <v>101.05000000000001</v>
      </c>
    </row>
    <row r="629" spans="1:23" x14ac:dyDescent="0.25">
      <c r="A629" s="68">
        <v>43297</v>
      </c>
      <c r="B629" s="70">
        <v>147</v>
      </c>
      <c r="C629" s="70">
        <v>146.80000000000001</v>
      </c>
      <c r="D629" s="70">
        <v>148.97999999999999</v>
      </c>
      <c r="E629" s="70">
        <v>146.13</v>
      </c>
      <c r="F629" s="70">
        <v>25.87</v>
      </c>
      <c r="G629" s="70">
        <v>8.9999999999999998E-4</v>
      </c>
      <c r="H629" s="70">
        <v>145.25621794871796</v>
      </c>
      <c r="I629" s="70">
        <v>141.82834757834758</v>
      </c>
      <c r="J629" s="70">
        <v>3.4278703703703854</v>
      </c>
      <c r="K629" s="70">
        <v>1.5219362139917609</v>
      </c>
      <c r="L629" s="70">
        <v>1.9059341563786245</v>
      </c>
      <c r="M629" s="70">
        <v>1.396654338380837</v>
      </c>
      <c r="N629" s="70">
        <v>0.74035087719297876</v>
      </c>
      <c r="O629" s="70">
        <v>0</v>
      </c>
      <c r="P629" s="70">
        <v>0.38561321360024098</v>
      </c>
      <c r="Q629" s="70">
        <v>7.2508752420989142E-2</v>
      </c>
      <c r="R629" s="70">
        <v>0.68345219046916883</v>
      </c>
      <c r="S629" s="70">
        <v>0.43088529853494595</v>
      </c>
      <c r="T629" s="70">
        <v>62.631997469068779</v>
      </c>
      <c r="U629" s="70"/>
      <c r="V629" s="70">
        <v>-43.91</v>
      </c>
      <c r="W629" s="70">
        <v>101.05000000000001</v>
      </c>
    </row>
    <row r="630" spans="1:23" x14ac:dyDescent="0.25">
      <c r="A630" s="68">
        <v>43294</v>
      </c>
      <c r="B630" s="70">
        <v>146.87</v>
      </c>
      <c r="C630" s="70">
        <v>145.30000000000001</v>
      </c>
      <c r="D630" s="70">
        <v>146.87</v>
      </c>
      <c r="E630" s="70">
        <v>144.87</v>
      </c>
      <c r="F630" s="70">
        <v>13.54</v>
      </c>
      <c r="G630" s="70">
        <v>1.23E-2</v>
      </c>
      <c r="H630" s="70">
        <v>144.65519230769229</v>
      </c>
      <c r="I630" s="70">
        <v>141.67804843304847</v>
      </c>
      <c r="J630" s="70">
        <v>2.977143874643815</v>
      </c>
      <c r="K630" s="70">
        <v>0.92891848686290301</v>
      </c>
      <c r="L630" s="70">
        <v>2.0482253877809118</v>
      </c>
      <c r="M630" s="70">
        <v>1.2600705189081194</v>
      </c>
      <c r="N630" s="70">
        <v>0.58500000000000796</v>
      </c>
      <c r="O630" s="70">
        <v>0</v>
      </c>
      <c r="P630" s="70">
        <v>0.33761165880012689</v>
      </c>
      <c r="Q630" s="70">
        <v>7.2508752420989142E-2</v>
      </c>
      <c r="R630" s="70">
        <v>0.64640261524610576</v>
      </c>
      <c r="S630" s="70">
        <v>0.36335522344927701</v>
      </c>
      <c r="T630" s="70">
        <v>50.267434772530187</v>
      </c>
      <c r="U630" s="70"/>
      <c r="V630" s="70">
        <v>-43.91</v>
      </c>
      <c r="W630" s="70">
        <v>101.05000000000001</v>
      </c>
    </row>
    <row r="631" spans="1:23" x14ac:dyDescent="0.25">
      <c r="A631" s="68">
        <v>43293</v>
      </c>
      <c r="B631" s="70">
        <v>145.08000000000001</v>
      </c>
      <c r="C631" s="70">
        <v>144.76</v>
      </c>
      <c r="D631" s="70">
        <v>145.69999999999999</v>
      </c>
      <c r="E631" s="70">
        <v>143.5</v>
      </c>
      <c r="F631" s="70">
        <v>19.73</v>
      </c>
      <c r="G631" s="70">
        <v>2.0999999999999999E-3</v>
      </c>
      <c r="H631" s="70">
        <v>143.8248717948718</v>
      </c>
      <c r="I631" s="70">
        <v>141.51625356125356</v>
      </c>
      <c r="J631" s="70">
        <v>2.3086182336182333</v>
      </c>
      <c r="K631" s="70">
        <v>0.30504748338080517</v>
      </c>
      <c r="L631" s="70">
        <v>2.003570750237428</v>
      </c>
      <c r="M631" s="70">
        <v>1.0788777224674677</v>
      </c>
      <c r="N631" s="70">
        <v>0</v>
      </c>
      <c r="O631" s="70">
        <v>0.15909090909090734</v>
      </c>
      <c r="P631" s="70">
        <v>0.23176711009040787</v>
      </c>
      <c r="Q631" s="70">
        <v>9.5236025148261613E-2</v>
      </c>
      <c r="R631" s="70">
        <v>0.41752225049003416</v>
      </c>
      <c r="S631" s="70">
        <v>0.25876923082268621</v>
      </c>
      <c r="T631" s="70">
        <v>37.800222339041177</v>
      </c>
      <c r="U631" s="70"/>
      <c r="V631" s="70">
        <v>-43.91</v>
      </c>
      <c r="W631" s="70">
        <v>101.05000000000001</v>
      </c>
    </row>
    <row r="632" spans="1:23" x14ac:dyDescent="0.25">
      <c r="A632" s="68">
        <v>43292</v>
      </c>
      <c r="B632" s="70">
        <v>144.77000000000001</v>
      </c>
      <c r="C632" s="70">
        <v>146.78</v>
      </c>
      <c r="D632" s="70">
        <v>146.78</v>
      </c>
      <c r="E632" s="70">
        <v>143.85</v>
      </c>
      <c r="F632" s="70">
        <v>23.49</v>
      </c>
      <c r="G632" s="70">
        <v>-1.72E-2</v>
      </c>
      <c r="H632" s="70">
        <v>143.28288461538463</v>
      </c>
      <c r="I632" s="70">
        <v>141.55810541310541</v>
      </c>
      <c r="J632" s="70">
        <v>1.7247792022792225</v>
      </c>
      <c r="K632" s="70">
        <v>-0.29594571066794456</v>
      </c>
      <c r="L632" s="70">
        <v>2.0207249129471672</v>
      </c>
      <c r="M632" s="70">
        <v>0.89692327868396726</v>
      </c>
      <c r="N632" s="70">
        <v>0</v>
      </c>
      <c r="O632" s="70">
        <v>0.8771331058020434</v>
      </c>
      <c r="P632" s="70">
        <v>0.26201521250345833</v>
      </c>
      <c r="Q632" s="70">
        <v>0.1873239713317707</v>
      </c>
      <c r="R632" s="70">
        <v>0.16622463354782036</v>
      </c>
      <c r="S632" s="70">
        <v>0.17359184652803283</v>
      </c>
      <c r="T632" s="70">
        <v>37.742277734169463</v>
      </c>
      <c r="U632" s="70"/>
      <c r="V632" s="70">
        <v>-43.91</v>
      </c>
      <c r="W632" s="70">
        <v>101.05000000000001</v>
      </c>
    </row>
    <row r="633" spans="1:23" x14ac:dyDescent="0.25">
      <c r="A633" s="68">
        <v>43291</v>
      </c>
      <c r="B633" s="70">
        <v>147.30000000000001</v>
      </c>
      <c r="C633" s="70">
        <v>148.27000000000001</v>
      </c>
      <c r="D633" s="70">
        <v>148.37</v>
      </c>
      <c r="E633" s="70">
        <v>146.41999999999999</v>
      </c>
      <c r="F633" s="70">
        <v>18.13</v>
      </c>
      <c r="G633" s="70">
        <v>-4.7000000000000002E-3</v>
      </c>
      <c r="H633" s="70">
        <v>143.13128205128203</v>
      </c>
      <c r="I633" s="70">
        <v>141.78931623931624</v>
      </c>
      <c r="J633" s="70">
        <v>1.3419658119657925</v>
      </c>
      <c r="K633" s="70">
        <v>-0.83433934789492614</v>
      </c>
      <c r="L633" s="70">
        <v>2.1763051598607186</v>
      </c>
      <c r="M633" s="70">
        <v>0.73689562352810056</v>
      </c>
      <c r="N633" s="70">
        <v>0.13846153846154249</v>
      </c>
      <c r="O633" s="70">
        <v>0</v>
      </c>
      <c r="P633" s="70">
        <v>0.2817954322836787</v>
      </c>
      <c r="Q633" s="70">
        <v>4.1862899005748119E-3</v>
      </c>
      <c r="R633" s="70">
        <v>0.97072337442686196</v>
      </c>
      <c r="S633" s="70">
        <v>0.2398766836860069</v>
      </c>
      <c r="T633" s="70">
        <v>50.067933018908739</v>
      </c>
      <c r="U633" s="70"/>
      <c r="V633" s="70">
        <v>-43.91</v>
      </c>
      <c r="W633" s="70">
        <v>101.05000000000001</v>
      </c>
    </row>
    <row r="634" spans="1:23" x14ac:dyDescent="0.25">
      <c r="A634" s="68">
        <v>43290</v>
      </c>
      <c r="B634" s="70">
        <v>148</v>
      </c>
      <c r="C634" s="70">
        <v>145.75</v>
      </c>
      <c r="D634" s="70">
        <v>148.1</v>
      </c>
      <c r="E634" s="70">
        <v>145.53</v>
      </c>
      <c r="F634" s="70">
        <v>17.77</v>
      </c>
      <c r="G634" s="70">
        <v>2.1000000000000001E-2</v>
      </c>
      <c r="H634" s="70">
        <v>142.49576923076921</v>
      </c>
      <c r="I634" s="70">
        <v>141.81054131054131</v>
      </c>
      <c r="J634" s="70">
        <v>0.68522792022790213</v>
      </c>
      <c r="K634" s="70">
        <v>-1.3928341247230347</v>
      </c>
      <c r="L634" s="70">
        <v>2.0780620449509368</v>
      </c>
      <c r="M634" s="70">
        <v>0.52615713694345922</v>
      </c>
      <c r="N634" s="70">
        <v>0.73248407643311875</v>
      </c>
      <c r="O634" s="70">
        <v>0</v>
      </c>
      <c r="P634" s="70">
        <v>0.35752646264479115</v>
      </c>
      <c r="Q634" s="70">
        <v>3.7665763794556495E-2</v>
      </c>
      <c r="R634" s="70">
        <v>0.80938003698138394</v>
      </c>
      <c r="S634" s="70">
        <v>0.11107641013873121</v>
      </c>
      <c r="T634" s="70">
        <v>50.440711066163324</v>
      </c>
      <c r="U634" s="70"/>
      <c r="V634" s="70">
        <v>-43.91</v>
      </c>
      <c r="W634" s="70">
        <v>101.05000000000001</v>
      </c>
    </row>
    <row r="635" spans="1:23" x14ac:dyDescent="0.25">
      <c r="A635" s="68">
        <v>43287</v>
      </c>
      <c r="B635" s="70">
        <v>144.96</v>
      </c>
      <c r="C635" s="70">
        <v>145.80000000000001</v>
      </c>
      <c r="D635" s="70">
        <v>145.80000000000001</v>
      </c>
      <c r="E635" s="70">
        <v>143.57</v>
      </c>
      <c r="F635" s="70">
        <v>17.190000000000001</v>
      </c>
      <c r="G635" s="70">
        <v>-4.1000000000000003E-3</v>
      </c>
      <c r="H635" s="70">
        <v>141.06910256410256</v>
      </c>
      <c r="I635" s="70">
        <v>141.44290598290601</v>
      </c>
      <c r="J635" s="70">
        <v>-0.37380341880344758</v>
      </c>
      <c r="K635" s="70">
        <v>-1.9719066160177503</v>
      </c>
      <c r="L635" s="70">
        <v>1.5981031972143027</v>
      </c>
      <c r="M635" s="70">
        <v>0.28257723789347344</v>
      </c>
      <c r="N635" s="70">
        <v>0.11210762331838474</v>
      </c>
      <c r="O635" s="70">
        <v>0</v>
      </c>
      <c r="P635" s="70">
        <v>0.26939681045698616</v>
      </c>
      <c r="Q635" s="70">
        <v>3.7665763794556495E-2</v>
      </c>
      <c r="R635" s="70">
        <v>0.75467043558554248</v>
      </c>
      <c r="S635" s="70">
        <v>4.0576369901233283E-2</v>
      </c>
      <c r="T635" s="70">
        <v>50.048769342975888</v>
      </c>
      <c r="U635" s="70">
        <v>1</v>
      </c>
      <c r="V635" s="70">
        <v>-43.91</v>
      </c>
      <c r="W635" s="70">
        <v>101.05000000000001</v>
      </c>
    </row>
    <row r="636" spans="1:23" x14ac:dyDescent="0.25">
      <c r="A636" s="68">
        <v>43286</v>
      </c>
      <c r="B636" s="70">
        <v>145.55000000000001</v>
      </c>
      <c r="C636" s="70">
        <v>142.15</v>
      </c>
      <c r="D636" s="70">
        <v>145.55000000000001</v>
      </c>
      <c r="E636" s="70">
        <v>141.63999999999999</v>
      </c>
      <c r="F636" s="70">
        <v>19.510000000000002</v>
      </c>
      <c r="G636" s="70">
        <v>2.3300000000000001E-2</v>
      </c>
      <c r="H636" s="70">
        <v>140.59224358974359</v>
      </c>
      <c r="I636" s="70">
        <v>141.48803418803419</v>
      </c>
      <c r="J636" s="70">
        <v>-0.8957905982906027</v>
      </c>
      <c r="K636" s="70">
        <v>-2.3526073124406608</v>
      </c>
      <c r="L636" s="70">
        <v>1.4568167141500581</v>
      </c>
      <c r="M636" s="70">
        <v>0.11436577857090703</v>
      </c>
      <c r="N636" s="70">
        <v>0.61892583120204614</v>
      </c>
      <c r="O636" s="70">
        <v>0</v>
      </c>
      <c r="P636" s="70">
        <v>0.3344077001556377</v>
      </c>
      <c r="Q636" s="70">
        <v>9.8201719067353824E-2</v>
      </c>
      <c r="R636" s="70">
        <v>0.546002862148801</v>
      </c>
      <c r="S636" s="70">
        <v>-8.3379002289058937E-2</v>
      </c>
      <c r="T636" s="70">
        <v>62.560117405757126</v>
      </c>
      <c r="U636" s="70"/>
      <c r="V636" s="70">
        <v>-43.91</v>
      </c>
      <c r="W636" s="70">
        <v>101.64000000000001</v>
      </c>
    </row>
    <row r="637" spans="1:23" x14ac:dyDescent="0.25">
      <c r="A637" s="68">
        <v>43285</v>
      </c>
      <c r="B637" s="70">
        <v>142.24</v>
      </c>
      <c r="C637" s="70">
        <v>142.4</v>
      </c>
      <c r="D637" s="70">
        <v>143.13</v>
      </c>
      <c r="E637" s="70">
        <v>141.87</v>
      </c>
      <c r="F637" s="70">
        <v>6.35</v>
      </c>
      <c r="G637" s="70">
        <v>-1.8E-3</v>
      </c>
      <c r="H637" s="70">
        <v>139.37435897435896</v>
      </c>
      <c r="I637" s="70">
        <v>141.16129629629631</v>
      </c>
      <c r="J637" s="70">
        <v>-1.7869373219373585</v>
      </c>
      <c r="K637" s="70">
        <v>-2.7341206077872968</v>
      </c>
      <c r="L637" s="70">
        <v>0.94718328584993827</v>
      </c>
      <c r="M637" s="70">
        <v>-0.10130281873871971</v>
      </c>
      <c r="N637" s="70">
        <v>0</v>
      </c>
      <c r="O637" s="70">
        <v>6.3492063492051318E-2</v>
      </c>
      <c r="P637" s="70">
        <v>0.20518142770685882</v>
      </c>
      <c r="Q637" s="70">
        <v>0.15428586956143986</v>
      </c>
      <c r="R637" s="70">
        <v>0.14158605951692904</v>
      </c>
      <c r="S637" s="70">
        <v>-0.21393175697014336</v>
      </c>
      <c r="T637" s="70">
        <v>62.278318651072894</v>
      </c>
      <c r="U637" s="70"/>
      <c r="V637" s="70">
        <v>-43.91</v>
      </c>
      <c r="W637" s="70">
        <v>98.330000000000013</v>
      </c>
    </row>
    <row r="638" spans="1:23" x14ac:dyDescent="0.25">
      <c r="A638" s="68">
        <v>43284</v>
      </c>
      <c r="B638" s="70">
        <v>142.49</v>
      </c>
      <c r="C638" s="70">
        <v>144.11000000000001</v>
      </c>
      <c r="D638" s="70">
        <v>144.19999999999999</v>
      </c>
      <c r="E638" s="70">
        <v>141.94999999999999</v>
      </c>
      <c r="F638" s="70">
        <v>15.04</v>
      </c>
      <c r="G638" s="70">
        <v>-1.0500000000000001E-2</v>
      </c>
      <c r="H638" s="70">
        <v>139.00948717948719</v>
      </c>
      <c r="I638" s="70">
        <v>141.23893162393168</v>
      </c>
      <c r="J638" s="70">
        <v>-2.2294444444444821</v>
      </c>
      <c r="K638" s="70">
        <v>-2.9327619499841946</v>
      </c>
      <c r="L638" s="70">
        <v>0.70331750553971251</v>
      </c>
      <c r="M638" s="70">
        <v>-0.24569243988047668</v>
      </c>
      <c r="N638" s="70">
        <v>0</v>
      </c>
      <c r="O638" s="70">
        <v>0</v>
      </c>
      <c r="P638" s="70">
        <v>0.20518142770685882</v>
      </c>
      <c r="Q638" s="70">
        <v>0.17164882013978422</v>
      </c>
      <c r="R638" s="70">
        <v>8.8985976467370054E-2</v>
      </c>
      <c r="S638" s="70">
        <v>-0.26192148822373978</v>
      </c>
      <c r="T638" s="70">
        <v>74.825231160321877</v>
      </c>
      <c r="U638" s="70"/>
      <c r="V638" s="70">
        <v>-43.91</v>
      </c>
      <c r="W638" s="70">
        <v>98.580000000000013</v>
      </c>
    </row>
    <row r="639" spans="1:23" x14ac:dyDescent="0.25">
      <c r="A639" s="68">
        <v>43283</v>
      </c>
      <c r="B639" s="70">
        <v>144</v>
      </c>
      <c r="C639" s="70">
        <v>140.82</v>
      </c>
      <c r="D639" s="70">
        <v>144.19999999999999</v>
      </c>
      <c r="E639" s="70">
        <v>140.07</v>
      </c>
      <c r="F639" s="70">
        <v>25.21</v>
      </c>
      <c r="G639" s="70">
        <v>2.12E-2</v>
      </c>
      <c r="H639" s="70">
        <v>138.90615384615384</v>
      </c>
      <c r="I639" s="70">
        <v>141.44337606837607</v>
      </c>
      <c r="J639" s="70">
        <v>-2.5372222222222263</v>
      </c>
      <c r="K639" s="70">
        <v>-3.0195381449826026</v>
      </c>
      <c r="L639" s="70">
        <v>0.48231592276037638</v>
      </c>
      <c r="M639" s="70">
        <v>-0.36893895341758565</v>
      </c>
      <c r="N639" s="70">
        <v>0.77239709443099303</v>
      </c>
      <c r="O639" s="70">
        <v>0</v>
      </c>
      <c r="P639" s="70">
        <v>0.31552386976842928</v>
      </c>
      <c r="Q639" s="70">
        <v>0.21436262807098347</v>
      </c>
      <c r="R639" s="70">
        <v>0.19091115193522765</v>
      </c>
      <c r="S639" s="70">
        <v>-0.28779148708067631</v>
      </c>
      <c r="T639" s="70">
        <v>75.3710215490037</v>
      </c>
      <c r="U639" s="70"/>
      <c r="V639" s="70">
        <v>-43.91</v>
      </c>
      <c r="W639" s="70">
        <v>100.09</v>
      </c>
    </row>
    <row r="640" spans="1:23" x14ac:dyDescent="0.25">
      <c r="A640" s="68">
        <v>43280</v>
      </c>
      <c r="B640" s="70">
        <v>141.01</v>
      </c>
      <c r="C640" s="70">
        <v>139.30000000000001</v>
      </c>
      <c r="D640" s="70">
        <v>141.01</v>
      </c>
      <c r="E640" s="70">
        <v>139.16999999999999</v>
      </c>
      <c r="F640" s="70">
        <v>25.81</v>
      </c>
      <c r="G640" s="70">
        <v>1.6199999999999999E-2</v>
      </c>
      <c r="H640" s="70">
        <v>138.12179487179486</v>
      </c>
      <c r="I640" s="70">
        <v>141.26071225071229</v>
      </c>
      <c r="J640" s="70">
        <v>-3.1389173789174265</v>
      </c>
      <c r="K640" s="70">
        <v>-3.1269104146882132</v>
      </c>
      <c r="L640" s="70">
        <v>-1.2006964229213324E-2</v>
      </c>
      <c r="M640" s="70">
        <v>-0.51225224980781114</v>
      </c>
      <c r="N640" s="70">
        <v>0.30222222222221262</v>
      </c>
      <c r="O640" s="70">
        <v>0</v>
      </c>
      <c r="P640" s="70">
        <v>0.19742874992996656</v>
      </c>
      <c r="Q640" s="70">
        <v>0.24288294496339355</v>
      </c>
      <c r="R640" s="70">
        <v>-0.10323185952268568</v>
      </c>
      <c r="S640" s="70">
        <v>-0.37019800623635474</v>
      </c>
      <c r="T640" s="70">
        <v>75.212566129163989</v>
      </c>
      <c r="U640" s="70"/>
      <c r="V640" s="70">
        <v>-43.91</v>
      </c>
      <c r="W640" s="70">
        <v>97.1</v>
      </c>
    </row>
    <row r="641" spans="1:23" x14ac:dyDescent="0.25">
      <c r="A641" s="68">
        <v>43279</v>
      </c>
      <c r="B641" s="70">
        <v>138.76</v>
      </c>
      <c r="C641" s="70">
        <v>139</v>
      </c>
      <c r="D641" s="70">
        <v>140.33000000000001</v>
      </c>
      <c r="E641" s="70">
        <v>138.35</v>
      </c>
      <c r="F641" s="70">
        <v>22.69</v>
      </c>
      <c r="G641" s="70">
        <v>-1.6999999999999999E-3</v>
      </c>
      <c r="H641" s="70">
        <v>137.77493589743588</v>
      </c>
      <c r="I641" s="70">
        <v>141.24575498575499</v>
      </c>
      <c r="J641" s="70">
        <v>-3.4708190883191037</v>
      </c>
      <c r="K641" s="70">
        <v>-3.1153338081671516</v>
      </c>
      <c r="L641" s="70">
        <v>-0.35548528015195213</v>
      </c>
      <c r="M641" s="70">
        <v>-0.59549271051835451</v>
      </c>
      <c r="N641" s="70">
        <v>0.2424242424242494</v>
      </c>
      <c r="O641" s="70">
        <v>0</v>
      </c>
      <c r="P641" s="70">
        <v>0.16895944146066111</v>
      </c>
      <c r="Q641" s="70">
        <v>0.28667121775930005</v>
      </c>
      <c r="R641" s="70">
        <v>-0.25834911219574486</v>
      </c>
      <c r="S641" s="70">
        <v>-0.41585283536251727</v>
      </c>
      <c r="T641" s="70">
        <v>62.730506155950756</v>
      </c>
      <c r="U641" s="70"/>
      <c r="V641" s="70">
        <v>-43.91</v>
      </c>
      <c r="W641" s="70">
        <v>94.85</v>
      </c>
    </row>
    <row r="642" spans="1:23" x14ac:dyDescent="0.25">
      <c r="A642" s="68">
        <v>43278</v>
      </c>
      <c r="B642" s="70">
        <v>139</v>
      </c>
      <c r="C642" s="70">
        <v>138.01</v>
      </c>
      <c r="D642" s="70">
        <v>139.85</v>
      </c>
      <c r="E642" s="70">
        <v>137.07</v>
      </c>
      <c r="F642" s="70">
        <v>18.95</v>
      </c>
      <c r="G642" s="70">
        <v>6.7000000000000002E-3</v>
      </c>
      <c r="H642" s="70">
        <v>138.06006410256413</v>
      </c>
      <c r="I642" s="70">
        <v>141.5235042735043</v>
      </c>
      <c r="J642" s="70">
        <v>-3.4634401709401743</v>
      </c>
      <c r="K642" s="70">
        <v>-2.9895553972776265</v>
      </c>
      <c r="L642" s="70">
        <v>-0.47388477366254778</v>
      </c>
      <c r="M642" s="70">
        <v>-0.61701805064198567</v>
      </c>
      <c r="N642" s="70">
        <v>0.34892086330935196</v>
      </c>
      <c r="O642" s="70">
        <v>0</v>
      </c>
      <c r="P642" s="70">
        <v>0.16818922846023074</v>
      </c>
      <c r="Q642" s="70">
        <v>0.28667121775930005</v>
      </c>
      <c r="R642" s="70">
        <v>-0.26047986868017525</v>
      </c>
      <c r="S642" s="70">
        <v>-0.40555980522158369</v>
      </c>
      <c r="T642" s="70">
        <v>62.858918355783814</v>
      </c>
      <c r="U642" s="70"/>
      <c r="V642" s="70">
        <v>-43.91</v>
      </c>
      <c r="W642" s="70">
        <v>95.09</v>
      </c>
    </row>
    <row r="643" spans="1:23" x14ac:dyDescent="0.25">
      <c r="A643" s="68">
        <v>43277</v>
      </c>
      <c r="B643" s="70">
        <v>138.07</v>
      </c>
      <c r="C643" s="70">
        <v>137.44</v>
      </c>
      <c r="D643" s="70">
        <v>138.88</v>
      </c>
      <c r="E643" s="70">
        <v>137.36000000000001</v>
      </c>
      <c r="F643" s="70">
        <v>13.72</v>
      </c>
      <c r="G643" s="70">
        <v>7.1000000000000004E-3</v>
      </c>
      <c r="H643" s="70">
        <v>138.27519230769229</v>
      </c>
      <c r="I643" s="70">
        <v>141.7217094017094</v>
      </c>
      <c r="J643" s="70">
        <v>-3.4465170940171106</v>
      </c>
      <c r="K643" s="70">
        <v>-2.8434034504590189</v>
      </c>
      <c r="L643" s="70">
        <v>-0.60311364355809172</v>
      </c>
      <c r="M643" s="70">
        <v>-0.63962412642755073</v>
      </c>
      <c r="N643" s="70">
        <v>0.24719101123595363</v>
      </c>
      <c r="O643" s="70">
        <v>0</v>
      </c>
      <c r="P643" s="70">
        <v>0.13065062124253524</v>
      </c>
      <c r="Q643" s="70">
        <v>0.33924027032835258</v>
      </c>
      <c r="R643" s="70">
        <v>-0.44391081595236553</v>
      </c>
      <c r="S643" s="70">
        <v>-0.44558380603856512</v>
      </c>
      <c r="T643" s="70">
        <v>50.214549080961397</v>
      </c>
      <c r="U643" s="70"/>
      <c r="V643" s="70">
        <v>-43.91</v>
      </c>
      <c r="W643" s="70">
        <v>94.16</v>
      </c>
    </row>
    <row r="644" spans="1:23" x14ac:dyDescent="0.25">
      <c r="A644" s="68">
        <v>43276</v>
      </c>
      <c r="B644" s="70">
        <v>137.1</v>
      </c>
      <c r="C644" s="70">
        <v>136.5</v>
      </c>
      <c r="D644" s="70">
        <v>138.44</v>
      </c>
      <c r="E644" s="70">
        <v>136.5</v>
      </c>
      <c r="F644" s="70">
        <v>17.18</v>
      </c>
      <c r="G644" s="70">
        <v>2.5000000000000001E-3</v>
      </c>
      <c r="H644" s="70">
        <v>138.47711538461539</v>
      </c>
      <c r="I644" s="70">
        <v>141.95933048433048</v>
      </c>
      <c r="J644" s="70">
        <v>-3.4822150997150914</v>
      </c>
      <c r="K644" s="70">
        <v>-2.6889761000316623</v>
      </c>
      <c r="L644" s="70">
        <v>-0.79323899968342904</v>
      </c>
      <c r="M644" s="70">
        <v>-0.65512936003534772</v>
      </c>
      <c r="N644" s="70">
        <v>0.45876288659793163</v>
      </c>
      <c r="O644" s="70">
        <v>0</v>
      </c>
      <c r="P644" s="70">
        <v>0.17095049280616126</v>
      </c>
      <c r="Q644" s="70">
        <v>0.33924027032835258</v>
      </c>
      <c r="R644" s="70">
        <v>-0.32985657460407813</v>
      </c>
      <c r="S644" s="70">
        <v>-0.39131893401051271</v>
      </c>
      <c r="T644" s="70">
        <v>37.536552379559915</v>
      </c>
      <c r="U644" s="70"/>
      <c r="V644" s="70">
        <v>-43.91</v>
      </c>
      <c r="W644" s="70">
        <v>93.19</v>
      </c>
    </row>
    <row r="645" spans="1:23" x14ac:dyDescent="0.25">
      <c r="A645" s="68">
        <v>43273</v>
      </c>
      <c r="B645" s="70">
        <v>136.76</v>
      </c>
      <c r="C645" s="70">
        <v>135</v>
      </c>
      <c r="D645" s="70">
        <v>137.55000000000001</v>
      </c>
      <c r="E645" s="70">
        <v>135</v>
      </c>
      <c r="F645" s="70">
        <v>23.96</v>
      </c>
      <c r="G645" s="70">
        <v>1.7600000000000001E-2</v>
      </c>
      <c r="H645" s="70">
        <v>139.05589743589741</v>
      </c>
      <c r="I645" s="70">
        <v>142.23863247863247</v>
      </c>
      <c r="J645" s="70">
        <v>-3.1827350427350609</v>
      </c>
      <c r="K645" s="70">
        <v>-2.4392833175055548</v>
      </c>
      <c r="L645" s="70">
        <v>-0.74345172522950609</v>
      </c>
      <c r="M645" s="70">
        <v>-0.62997220569870938</v>
      </c>
      <c r="N645" s="70">
        <v>0</v>
      </c>
      <c r="O645" s="70">
        <v>0</v>
      </c>
      <c r="P645" s="70">
        <v>9.2490575118312671E-2</v>
      </c>
      <c r="Q645" s="70">
        <v>0.33924027032835258</v>
      </c>
      <c r="R645" s="70">
        <v>-0.57153594146083009</v>
      </c>
      <c r="S645" s="70">
        <v>-0.40408198788690397</v>
      </c>
      <c r="T645" s="70">
        <v>24.919415053450123</v>
      </c>
      <c r="U645" s="70"/>
      <c r="V645" s="70">
        <v>-43.91</v>
      </c>
      <c r="W645" s="70">
        <v>92.85</v>
      </c>
    </row>
    <row r="646" spans="1:23" x14ac:dyDescent="0.25">
      <c r="A646" s="68">
        <v>43272</v>
      </c>
      <c r="B646" s="70">
        <v>134.4</v>
      </c>
      <c r="C646" s="70">
        <v>136.51</v>
      </c>
      <c r="D646" s="70">
        <v>137.9</v>
      </c>
      <c r="E646" s="70">
        <v>134.04</v>
      </c>
      <c r="F646" s="70">
        <v>28.73</v>
      </c>
      <c r="G646" s="70">
        <v>-1.83E-2</v>
      </c>
      <c r="H646" s="70">
        <v>139.40782051282051</v>
      </c>
      <c r="I646" s="70">
        <v>142.43383190883193</v>
      </c>
      <c r="J646" s="70">
        <v>-3.0260113960114268</v>
      </c>
      <c r="K646" s="70">
        <v>-2.2189762583096102</v>
      </c>
      <c r="L646" s="70">
        <v>-0.80703513770181656</v>
      </c>
      <c r="M646" s="70">
        <v>-0.63504741032947165</v>
      </c>
      <c r="N646" s="70">
        <v>0</v>
      </c>
      <c r="O646" s="70">
        <v>0.50777202072538885</v>
      </c>
      <c r="P646" s="70">
        <v>9.2490575118312671E-2</v>
      </c>
      <c r="Q646" s="70">
        <v>0.41177913043197956</v>
      </c>
      <c r="R646" s="70">
        <v>-0.63317020990828354</v>
      </c>
      <c r="S646" s="70">
        <v>-0.40328180534248237</v>
      </c>
      <c r="T646" s="70">
        <v>12.404189392429387</v>
      </c>
      <c r="U646" s="70"/>
      <c r="V646" s="70">
        <v>-43.91</v>
      </c>
      <c r="W646" s="70">
        <v>90.490000000000009</v>
      </c>
    </row>
    <row r="647" spans="1:23" x14ac:dyDescent="0.25">
      <c r="A647" s="68">
        <v>43271</v>
      </c>
      <c r="B647" s="70">
        <v>136.91</v>
      </c>
      <c r="C647" s="70">
        <v>136.5</v>
      </c>
      <c r="D647" s="70">
        <v>138.5</v>
      </c>
      <c r="E647" s="70">
        <v>136</v>
      </c>
      <c r="F647" s="70">
        <v>27.07</v>
      </c>
      <c r="G647" s="70">
        <v>1.04E-2</v>
      </c>
      <c r="H647" s="70">
        <v>140.61192307692309</v>
      </c>
      <c r="I647" s="70">
        <v>143.12509971509974</v>
      </c>
      <c r="J647" s="70">
        <v>-2.5131766381766454</v>
      </c>
      <c r="K647" s="70">
        <v>-1.9368543842988397</v>
      </c>
      <c r="L647" s="70">
        <v>-0.57632225387780567</v>
      </c>
      <c r="M647" s="70">
        <v>-0.60225097662705118</v>
      </c>
      <c r="N647" s="70">
        <v>0.73999999999999966</v>
      </c>
      <c r="O647" s="70">
        <v>0</v>
      </c>
      <c r="P647" s="70">
        <v>0.23003509955938886</v>
      </c>
      <c r="Q647" s="70">
        <v>0.30576079643437087</v>
      </c>
      <c r="R647" s="70">
        <v>-0.14133310359634402</v>
      </c>
      <c r="S647" s="70">
        <v>-0.30342902913812897</v>
      </c>
      <c r="T647" s="70">
        <v>25.236658224210103</v>
      </c>
      <c r="U647" s="70"/>
      <c r="V647" s="70">
        <v>-43.91</v>
      </c>
      <c r="W647" s="70">
        <v>93</v>
      </c>
    </row>
    <row r="648" spans="1:23" x14ac:dyDescent="0.25">
      <c r="A648" s="68">
        <v>43270</v>
      </c>
      <c r="B648" s="70">
        <v>135.5</v>
      </c>
      <c r="C648" s="70">
        <v>136</v>
      </c>
      <c r="D648" s="70">
        <v>136.28</v>
      </c>
      <c r="E648" s="70">
        <v>132.86000000000001</v>
      </c>
      <c r="F648" s="70">
        <v>36.4</v>
      </c>
      <c r="G648" s="70">
        <v>-7.4999999999999997E-3</v>
      </c>
      <c r="H648" s="70">
        <v>141.0669871794872</v>
      </c>
      <c r="I648" s="70">
        <v>143.45833333333334</v>
      </c>
      <c r="J648" s="70">
        <v>-2.3913461538461434</v>
      </c>
      <c r="K648" s="70">
        <v>-1.7443629313073847</v>
      </c>
      <c r="L648" s="70">
        <v>-0.64698322253875862</v>
      </c>
      <c r="M648" s="70">
        <v>-0.64509340485409261</v>
      </c>
      <c r="N648" s="70">
        <v>0</v>
      </c>
      <c r="O648" s="70">
        <v>0.91812865497075957</v>
      </c>
      <c r="P648" s="70">
        <v>8.5335184090242475E-2</v>
      </c>
      <c r="Q648" s="70">
        <v>0.43692203285876507</v>
      </c>
      <c r="R648" s="70">
        <v>-0.67320630018761629</v>
      </c>
      <c r="S648" s="70">
        <v>-0.40618127808914367</v>
      </c>
      <c r="T648" s="70">
        <v>12.869341527028482</v>
      </c>
      <c r="U648" s="70"/>
      <c r="V648" s="70">
        <v>-43.91</v>
      </c>
      <c r="W648" s="70">
        <v>91.59</v>
      </c>
    </row>
    <row r="649" spans="1:23" x14ac:dyDescent="0.25">
      <c r="A649" s="68">
        <v>43269</v>
      </c>
      <c r="B649" s="70">
        <v>136.52000000000001</v>
      </c>
      <c r="C649" s="70">
        <v>138.05000000000001</v>
      </c>
      <c r="D649" s="70">
        <v>138.30000000000001</v>
      </c>
      <c r="E649" s="70">
        <v>136</v>
      </c>
      <c r="F649" s="70">
        <v>23.08</v>
      </c>
      <c r="G649" s="70">
        <v>-8.8000000000000005E-3</v>
      </c>
      <c r="H649" s="70">
        <v>141.82326923076923</v>
      </c>
      <c r="I649" s="70">
        <v>144.08517094017094</v>
      </c>
      <c r="J649" s="70">
        <v>-2.2619017094017124</v>
      </c>
      <c r="K649" s="70">
        <v>-1.5519504590060245</v>
      </c>
      <c r="L649" s="70">
        <v>-0.70995125039568796</v>
      </c>
      <c r="M649" s="70">
        <v>-0.67002334164727861</v>
      </c>
      <c r="N649" s="70">
        <v>0</v>
      </c>
      <c r="O649" s="70">
        <v>0.71304347826086012</v>
      </c>
      <c r="P649" s="70">
        <v>9.8521997277056059E-2</v>
      </c>
      <c r="Q649" s="70">
        <v>0.34708819519883932</v>
      </c>
      <c r="R649" s="70">
        <v>-0.557810844811924</v>
      </c>
      <c r="S649" s="70">
        <v>-0.38246397734520476</v>
      </c>
      <c r="T649" s="70">
        <v>12.749201405172954</v>
      </c>
      <c r="U649" s="70"/>
      <c r="V649" s="70">
        <v>-43.91</v>
      </c>
      <c r="W649" s="70">
        <v>92.610000000000014</v>
      </c>
    </row>
    <row r="650" spans="1:23" x14ac:dyDescent="0.25">
      <c r="A650" s="68">
        <v>43266</v>
      </c>
      <c r="B650" s="70">
        <v>137.72999999999999</v>
      </c>
      <c r="C650" s="70">
        <v>139.69999999999999</v>
      </c>
      <c r="D650" s="70">
        <v>140.87</v>
      </c>
      <c r="E650" s="70">
        <v>137.63999999999999</v>
      </c>
      <c r="F650" s="70">
        <v>42.41</v>
      </c>
      <c r="G650" s="70">
        <v>-1.2E-2</v>
      </c>
      <c r="H650" s="70">
        <v>142.6073717948718</v>
      </c>
      <c r="I650" s="70">
        <v>144.67978632478633</v>
      </c>
      <c r="J650" s="70">
        <v>-2.0724145299145391</v>
      </c>
      <c r="K650" s="70">
        <v>-1.3580644191199851</v>
      </c>
      <c r="L650" s="70">
        <v>-0.71435011079455402</v>
      </c>
      <c r="M650" s="70">
        <v>-0.68034019668208301</v>
      </c>
      <c r="N650" s="70">
        <v>0</v>
      </c>
      <c r="O650" s="70">
        <v>0.46439628482971873</v>
      </c>
      <c r="P650" s="70">
        <v>9.8521997277056059E-2</v>
      </c>
      <c r="Q650" s="70">
        <v>0.27487342652425228</v>
      </c>
      <c r="R650" s="70">
        <v>-0.47229135122190613</v>
      </c>
      <c r="S650" s="70">
        <v>-0.38960552877191607</v>
      </c>
      <c r="T650" s="70">
        <v>25.513595033713585</v>
      </c>
      <c r="U650" s="70"/>
      <c r="V650" s="70">
        <v>-43.91</v>
      </c>
      <c r="W650" s="70">
        <v>93.82</v>
      </c>
    </row>
    <row r="651" spans="1:23" x14ac:dyDescent="0.25">
      <c r="A651" s="68">
        <v>43265</v>
      </c>
      <c r="B651" s="70">
        <v>139.4</v>
      </c>
      <c r="C651" s="70">
        <v>140.9</v>
      </c>
      <c r="D651" s="70">
        <v>141.44</v>
      </c>
      <c r="E651" s="70">
        <v>139.13999999999999</v>
      </c>
      <c r="F651" s="70">
        <v>24.99</v>
      </c>
      <c r="G651" s="70">
        <v>-1.1299999999999999E-2</v>
      </c>
      <c r="H651" s="70">
        <v>143.25423076923076</v>
      </c>
      <c r="I651" s="70">
        <v>145.11153846153849</v>
      </c>
      <c r="J651" s="70">
        <v>-1.8573076923077281</v>
      </c>
      <c r="K651" s="70">
        <v>-1.1702231718898508</v>
      </c>
      <c r="L651" s="70">
        <v>-0.68708452041787726</v>
      </c>
      <c r="M651" s="70">
        <v>-0.66342397962911714</v>
      </c>
      <c r="N651" s="70">
        <v>0</v>
      </c>
      <c r="O651" s="70">
        <v>0.64782608695652244</v>
      </c>
      <c r="P651" s="70">
        <v>9.8521997277056059E-2</v>
      </c>
      <c r="Q651" s="70">
        <v>0.3156217762886504</v>
      </c>
      <c r="R651" s="70">
        <v>-0.52421355304319239</v>
      </c>
      <c r="S651" s="70">
        <v>-0.40518866240552154</v>
      </c>
      <c r="T651" s="70">
        <v>25.329920958250639</v>
      </c>
      <c r="U651" s="70">
        <v>-1</v>
      </c>
      <c r="V651" s="70">
        <v>-43.91</v>
      </c>
      <c r="W651" s="70">
        <v>95.490000000000009</v>
      </c>
    </row>
    <row r="652" spans="1:23" x14ac:dyDescent="0.25">
      <c r="A652" s="68">
        <v>43264</v>
      </c>
      <c r="B652" s="70">
        <v>141</v>
      </c>
      <c r="C652" s="70">
        <v>142.69999999999999</v>
      </c>
      <c r="D652" s="70">
        <v>142.78</v>
      </c>
      <c r="E652" s="70">
        <v>140.63</v>
      </c>
      <c r="F652" s="70">
        <v>23.52</v>
      </c>
      <c r="G652" s="70">
        <v>-8.9999999999999993E-3</v>
      </c>
      <c r="H652" s="70">
        <v>143.81769230769231</v>
      </c>
      <c r="I652" s="70">
        <v>145.44658119658121</v>
      </c>
      <c r="J652" s="70">
        <v>-1.6288888888888948</v>
      </c>
      <c r="K652" s="70">
        <v>-1.0086527382082946</v>
      </c>
      <c r="L652" s="70">
        <v>-0.62023615068060023</v>
      </c>
      <c r="M652" s="70">
        <v>-0.61818161262606242</v>
      </c>
      <c r="N652" s="70">
        <v>0</v>
      </c>
      <c r="O652" s="70">
        <v>0.43255813953488575</v>
      </c>
      <c r="P652" s="70">
        <v>9.8521997277056059E-2</v>
      </c>
      <c r="Q652" s="70">
        <v>0.24215540444007447</v>
      </c>
      <c r="R652" s="70">
        <v>-0.42161119710041517</v>
      </c>
      <c r="S652" s="70">
        <v>-0.35758506282760594</v>
      </c>
      <c r="T652" s="70">
        <v>37.84564803599239</v>
      </c>
      <c r="U652" s="70"/>
      <c r="V652" s="70">
        <v>-48.41</v>
      </c>
      <c r="W652" s="70">
        <v>95.490000000000009</v>
      </c>
    </row>
    <row r="653" spans="1:23" x14ac:dyDescent="0.25">
      <c r="A653" s="68">
        <v>43262</v>
      </c>
      <c r="B653" s="70">
        <v>142.28</v>
      </c>
      <c r="C653" s="70">
        <v>143.80000000000001</v>
      </c>
      <c r="D653" s="70">
        <v>144.18</v>
      </c>
      <c r="E653" s="70">
        <v>141.56</v>
      </c>
      <c r="F653" s="70">
        <v>12.7</v>
      </c>
      <c r="G653" s="70">
        <v>-1.2500000000000001E-2</v>
      </c>
      <c r="H653" s="70">
        <v>144.30301282051281</v>
      </c>
      <c r="I653" s="70">
        <v>145.65001424501426</v>
      </c>
      <c r="J653" s="70">
        <v>-1.3470014245014568</v>
      </c>
      <c r="K653" s="70">
        <v>-0.81671715732826944</v>
      </c>
      <c r="L653" s="70">
        <v>-0.53028426717318733</v>
      </c>
      <c r="M653" s="70">
        <v>-0.56913134981511959</v>
      </c>
      <c r="N653" s="70">
        <v>0</v>
      </c>
      <c r="O653" s="70">
        <v>0.66412213740458248</v>
      </c>
      <c r="P653" s="70">
        <v>9.8521997277056059E-2</v>
      </c>
      <c r="Q653" s="70">
        <v>0.26608803886902904</v>
      </c>
      <c r="R653" s="70">
        <v>-0.45957605381118954</v>
      </c>
      <c r="S653" s="70">
        <v>-0.34265724223332872</v>
      </c>
      <c r="T653" s="70">
        <v>37.747670003451852</v>
      </c>
      <c r="U653" s="70"/>
      <c r="V653" s="70">
        <v>-48.41</v>
      </c>
      <c r="W653" s="70">
        <v>95.490000000000009</v>
      </c>
    </row>
    <row r="654" spans="1:23" x14ac:dyDescent="0.25">
      <c r="A654" s="68">
        <v>43260</v>
      </c>
      <c r="B654" s="70">
        <v>144.08000000000001</v>
      </c>
      <c r="C654" s="70">
        <v>143.31</v>
      </c>
      <c r="D654" s="70">
        <v>144.15</v>
      </c>
      <c r="E654" s="70">
        <v>143.30000000000001</v>
      </c>
      <c r="F654" s="70">
        <v>1.58</v>
      </c>
      <c r="G654" s="70">
        <v>7.1999999999999998E-3</v>
      </c>
      <c r="H654" s="70">
        <v>144.77807692307692</v>
      </c>
      <c r="I654" s="70">
        <v>145.83498575498578</v>
      </c>
      <c r="J654" s="70">
        <v>-1.0569088319088564</v>
      </c>
      <c r="K654" s="70">
        <v>-0.63148812915479013</v>
      </c>
      <c r="L654" s="70">
        <v>-0.42542070275406629</v>
      </c>
      <c r="M654" s="70">
        <v>-0.52410886739092466</v>
      </c>
      <c r="N654" s="70">
        <v>0</v>
      </c>
      <c r="O654" s="70">
        <v>0</v>
      </c>
      <c r="P654" s="70">
        <v>0.10475900351406255</v>
      </c>
      <c r="Q654" s="70">
        <v>0.12742517501532499</v>
      </c>
      <c r="R654" s="70">
        <v>-9.7621516008652542E-2</v>
      </c>
      <c r="S654" s="70">
        <v>-0.24595620527960202</v>
      </c>
      <c r="T654" s="70">
        <v>50.142916178800199</v>
      </c>
      <c r="U654" s="70"/>
      <c r="V654" s="70">
        <v>-48.41</v>
      </c>
      <c r="W654" s="70">
        <v>95.490000000000009</v>
      </c>
    </row>
    <row r="655" spans="1:23" x14ac:dyDescent="0.25">
      <c r="A655" s="68">
        <v>43259</v>
      </c>
      <c r="B655" s="70">
        <v>143.05000000000001</v>
      </c>
      <c r="C655" s="70">
        <v>145.97999999999999</v>
      </c>
      <c r="D655" s="70">
        <v>146.75</v>
      </c>
      <c r="E655" s="70">
        <v>143.05000000000001</v>
      </c>
      <c r="F655" s="70">
        <v>24.41</v>
      </c>
      <c r="G655" s="70">
        <v>-2.0500000000000001E-2</v>
      </c>
      <c r="H655" s="70">
        <v>144.70352564102564</v>
      </c>
      <c r="I655" s="70">
        <v>145.70954415954415</v>
      </c>
      <c r="J655" s="70">
        <v>-1.0060185185185162</v>
      </c>
      <c r="K655" s="70">
        <v>-0.46927081354857658</v>
      </c>
      <c r="L655" s="70">
        <v>-0.53674770496993962</v>
      </c>
      <c r="M655" s="70">
        <v>-0.51409923852659056</v>
      </c>
      <c r="N655" s="70">
        <v>0</v>
      </c>
      <c r="O655" s="70">
        <v>0.7972972972972967</v>
      </c>
      <c r="P655" s="70">
        <v>0.10475900351406255</v>
      </c>
      <c r="Q655" s="70">
        <v>0.29061530422487131</v>
      </c>
      <c r="R655" s="70">
        <v>-0.47007682864798067</v>
      </c>
      <c r="S655" s="70">
        <v>-0.30132895424808476</v>
      </c>
      <c r="T655" s="70">
        <v>37.765141724821234</v>
      </c>
      <c r="U655" s="70"/>
      <c r="V655" s="70">
        <v>-48.41</v>
      </c>
      <c r="W655" s="70">
        <v>95.490000000000009</v>
      </c>
    </row>
    <row r="656" spans="1:23" x14ac:dyDescent="0.25">
      <c r="A656" s="68">
        <v>43258</v>
      </c>
      <c r="B656" s="70">
        <v>146.05000000000001</v>
      </c>
      <c r="C656" s="70">
        <v>147.1</v>
      </c>
      <c r="D656" s="70">
        <v>147.5</v>
      </c>
      <c r="E656" s="70">
        <v>146</v>
      </c>
      <c r="F656" s="70">
        <v>12.32</v>
      </c>
      <c r="G656" s="70">
        <v>-5.7999999999999996E-3</v>
      </c>
      <c r="H656" s="70">
        <v>145.37730769230768</v>
      </c>
      <c r="I656" s="70">
        <v>145.99907407407409</v>
      </c>
      <c r="J656" s="70">
        <v>-0.62176638176640608</v>
      </c>
      <c r="K656" s="70">
        <v>-0.19542830009495699</v>
      </c>
      <c r="L656" s="70">
        <v>-0.4263380816714491</v>
      </c>
      <c r="M656" s="70">
        <v>-0.46171451530426239</v>
      </c>
      <c r="N656" s="70">
        <v>0.39999999999999619</v>
      </c>
      <c r="O656" s="70">
        <v>0</v>
      </c>
      <c r="P656" s="70">
        <v>0.16190186065691914</v>
      </c>
      <c r="Q656" s="70">
        <v>0.12414663775620496</v>
      </c>
      <c r="R656" s="70">
        <v>0.13198888688514068</v>
      </c>
      <c r="S656" s="70">
        <v>-0.16600354822911356</v>
      </c>
      <c r="T656" s="70">
        <v>37.73750591881538</v>
      </c>
      <c r="U656" s="70"/>
      <c r="V656" s="70">
        <v>-48.41</v>
      </c>
      <c r="W656" s="70">
        <v>95.490000000000009</v>
      </c>
    </row>
    <row r="657" spans="1:23" x14ac:dyDescent="0.25">
      <c r="A657" s="68">
        <v>43257</v>
      </c>
      <c r="B657" s="70">
        <v>146.9</v>
      </c>
      <c r="C657" s="70">
        <v>146.44</v>
      </c>
      <c r="D657" s="70">
        <v>146.9</v>
      </c>
      <c r="E657" s="70">
        <v>145.53</v>
      </c>
      <c r="F657" s="70">
        <v>17.2</v>
      </c>
      <c r="G657" s="70">
        <v>6.1999999999999998E-3</v>
      </c>
      <c r="H657" s="70">
        <v>145.53980769230768</v>
      </c>
      <c r="I657" s="70">
        <v>146.05776353276349</v>
      </c>
      <c r="J657" s="70">
        <v>-0.51795584045581222</v>
      </c>
      <c r="K657" s="70">
        <v>1.6054131054356047E-3</v>
      </c>
      <c r="L657" s="70">
        <v>-0.51956125356124783</v>
      </c>
      <c r="M657" s="70">
        <v>-0.4492615551589853</v>
      </c>
      <c r="N657" s="70">
        <v>0.26277372262774629</v>
      </c>
      <c r="O657" s="70">
        <v>0</v>
      </c>
      <c r="P657" s="70">
        <v>0.12419855923528564</v>
      </c>
      <c r="Q657" s="70">
        <v>0.12414663775620496</v>
      </c>
      <c r="R657" s="70">
        <v>2.0906979361655787E-4</v>
      </c>
      <c r="S657" s="70">
        <v>-0.17235547369533755</v>
      </c>
      <c r="T657" s="70">
        <v>37.768721081518876</v>
      </c>
      <c r="U657" s="70"/>
      <c r="V657" s="70">
        <v>-48.41</v>
      </c>
      <c r="W657" s="70">
        <v>95.490000000000009</v>
      </c>
    </row>
    <row r="658" spans="1:23" x14ac:dyDescent="0.25">
      <c r="A658" s="68">
        <v>43256</v>
      </c>
      <c r="B658" s="70">
        <v>146</v>
      </c>
      <c r="C658" s="70">
        <v>146.51</v>
      </c>
      <c r="D658" s="70">
        <v>146.54</v>
      </c>
      <c r="E658" s="70">
        <v>145.22</v>
      </c>
      <c r="F658" s="70">
        <v>12.72</v>
      </c>
      <c r="G658" s="70">
        <v>-3.0000000000000001E-3</v>
      </c>
      <c r="H658" s="70">
        <v>145.39147435897436</v>
      </c>
      <c r="I658" s="70">
        <v>145.89850427350427</v>
      </c>
      <c r="J658" s="70">
        <v>-0.50702991452990887</v>
      </c>
      <c r="K658" s="70">
        <v>0.1756316872428158</v>
      </c>
      <c r="L658" s="70">
        <v>-0.68266160177272472</v>
      </c>
      <c r="M658" s="70">
        <v>-0.44911629427868338</v>
      </c>
      <c r="N658" s="70">
        <v>0</v>
      </c>
      <c r="O658" s="70">
        <v>0</v>
      </c>
      <c r="P658" s="70">
        <v>6.9333716049272659E-2</v>
      </c>
      <c r="Q658" s="70">
        <v>0.17218781590890753</v>
      </c>
      <c r="R658" s="70">
        <v>-0.42585892456762076</v>
      </c>
      <c r="S658" s="70">
        <v>-0.23061945965066577</v>
      </c>
      <c r="T658" s="70">
        <v>25.150589413003317</v>
      </c>
      <c r="U658" s="70"/>
      <c r="V658" s="70">
        <v>-48.41</v>
      </c>
      <c r="W658" s="70">
        <v>95.490000000000009</v>
      </c>
    </row>
    <row r="659" spans="1:23" x14ac:dyDescent="0.25">
      <c r="A659" s="68">
        <v>43255</v>
      </c>
      <c r="B659" s="70">
        <v>146.44</v>
      </c>
      <c r="C659" s="70">
        <v>144.51</v>
      </c>
      <c r="D659" s="70">
        <v>146.9</v>
      </c>
      <c r="E659" s="70">
        <v>144.51</v>
      </c>
      <c r="F659" s="70">
        <v>12.82</v>
      </c>
      <c r="G659" s="70">
        <v>1.6899999999999998E-2</v>
      </c>
      <c r="H659" s="70">
        <v>145.43448717948721</v>
      </c>
      <c r="I659" s="70">
        <v>145.87767806267806</v>
      </c>
      <c r="J659" s="70">
        <v>-0.44319088319085154</v>
      </c>
      <c r="K659" s="70">
        <v>0.36630959164294774</v>
      </c>
      <c r="L659" s="70">
        <v>-0.80950047483379928</v>
      </c>
      <c r="M659" s="70">
        <v>-0.4244996295252641</v>
      </c>
      <c r="N659" s="70">
        <v>0.48275862068965619</v>
      </c>
      <c r="O659" s="70">
        <v>0</v>
      </c>
      <c r="P659" s="70">
        <v>0.13829923329065211</v>
      </c>
      <c r="Q659" s="70">
        <v>0.20082885812461052</v>
      </c>
      <c r="R659" s="70">
        <v>-0.18438350115145971</v>
      </c>
      <c r="S659" s="70">
        <v>-0.14716401695390333</v>
      </c>
      <c r="T659" s="70">
        <v>25.166443590518554</v>
      </c>
      <c r="U659" s="70"/>
      <c r="V659" s="70">
        <v>-48.41</v>
      </c>
      <c r="W659" s="70">
        <v>95.490000000000009</v>
      </c>
    </row>
    <row r="660" spans="1:23" x14ac:dyDescent="0.25">
      <c r="A660" s="68">
        <v>43252</v>
      </c>
      <c r="B660" s="70">
        <v>144</v>
      </c>
      <c r="C660" s="70">
        <v>144.58000000000001</v>
      </c>
      <c r="D660" s="70">
        <v>145.5</v>
      </c>
      <c r="E660" s="70">
        <v>143.55000000000001</v>
      </c>
      <c r="F660" s="70">
        <v>17.54</v>
      </c>
      <c r="G660" s="70">
        <v>-6.8999999999999999E-3</v>
      </c>
      <c r="H660" s="70">
        <v>145.10916666666668</v>
      </c>
      <c r="I660" s="70">
        <v>145.66274928774928</v>
      </c>
      <c r="J660" s="70">
        <v>-0.55358262108259737</v>
      </c>
      <c r="K660" s="70">
        <v>0.51941769547327055</v>
      </c>
      <c r="L660" s="70">
        <v>-1.0730003165558679</v>
      </c>
      <c r="M660" s="70">
        <v>-0.40430148642113889</v>
      </c>
      <c r="N660" s="70">
        <v>0.1487179487179455</v>
      </c>
      <c r="O660" s="70">
        <v>0</v>
      </c>
      <c r="P660" s="70">
        <v>5.8748898567902927E-2</v>
      </c>
      <c r="Q660" s="70">
        <v>0.20082885812461052</v>
      </c>
      <c r="R660" s="70">
        <v>-0.5473502867389769</v>
      </c>
      <c r="S660" s="70">
        <v>-0.13376770930474685</v>
      </c>
      <c r="T660" s="70">
        <v>12.525158292086687</v>
      </c>
      <c r="U660" s="70"/>
      <c r="V660" s="70">
        <v>-48.41</v>
      </c>
      <c r="W660" s="70">
        <v>95.490000000000009</v>
      </c>
    </row>
    <row r="661" spans="1:23" x14ac:dyDescent="0.25">
      <c r="A661" s="68">
        <v>43251</v>
      </c>
      <c r="B661" s="70">
        <v>145</v>
      </c>
      <c r="C661" s="70">
        <v>143.26</v>
      </c>
      <c r="D661" s="70">
        <v>145.21</v>
      </c>
      <c r="E661" s="70">
        <v>143.26</v>
      </c>
      <c r="F661" s="70">
        <v>33.909999999999997</v>
      </c>
      <c r="G661" s="70">
        <v>1.21E-2</v>
      </c>
      <c r="H661" s="70">
        <v>145.5866666666667</v>
      </c>
      <c r="I661" s="70">
        <v>145.69052706552705</v>
      </c>
      <c r="J661" s="70">
        <v>-0.10386039886034837</v>
      </c>
      <c r="K661" s="70">
        <v>0.78479613801838544</v>
      </c>
      <c r="L661" s="70">
        <v>-0.8886565368787338</v>
      </c>
      <c r="M661" s="70">
        <v>-0.28943192483362662</v>
      </c>
      <c r="N661" s="70">
        <v>0.20000000000000584</v>
      </c>
      <c r="O661" s="70">
        <v>0</v>
      </c>
      <c r="P661" s="70">
        <v>5.6269326857563494E-2</v>
      </c>
      <c r="Q661" s="70">
        <v>0.20156145885721127</v>
      </c>
      <c r="R661" s="70">
        <v>-0.5635173922185428</v>
      </c>
      <c r="S661" s="70">
        <v>-4.5843341697171351E-2</v>
      </c>
      <c r="T661" s="70">
        <v>12.498168371876545</v>
      </c>
      <c r="U661" s="70"/>
      <c r="V661" s="70">
        <v>-48.41</v>
      </c>
      <c r="W661" s="70">
        <v>95.490000000000009</v>
      </c>
    </row>
    <row r="662" spans="1:23" x14ac:dyDescent="0.25">
      <c r="A662" s="68">
        <v>43250</v>
      </c>
      <c r="B662" s="70">
        <v>143.26</v>
      </c>
      <c r="C662" s="70">
        <v>144</v>
      </c>
      <c r="D662" s="70">
        <v>144.82</v>
      </c>
      <c r="E662" s="70">
        <v>142.52000000000001</v>
      </c>
      <c r="F662" s="70">
        <v>21.86</v>
      </c>
      <c r="G662" s="70">
        <v>-4.4000000000000003E-3</v>
      </c>
      <c r="H662" s="70">
        <v>145.61512820512823</v>
      </c>
      <c r="I662" s="70">
        <v>145.53101139601139</v>
      </c>
      <c r="J662" s="70">
        <v>8.4116809116835611E-2</v>
      </c>
      <c r="K662" s="70">
        <v>0.9410094966761815</v>
      </c>
      <c r="L662" s="70">
        <v>-0.85689268755934589</v>
      </c>
      <c r="M662" s="70">
        <v>-0.19841599615958194</v>
      </c>
      <c r="N662" s="70">
        <v>0</v>
      </c>
      <c r="O662" s="70">
        <v>0.15652173913042952</v>
      </c>
      <c r="P662" s="70">
        <v>1.7970588558824288E-2</v>
      </c>
      <c r="Q662" s="70">
        <v>0.22392170730441549</v>
      </c>
      <c r="R662" s="70">
        <v>-0.85141661089541731</v>
      </c>
      <c r="S662" s="70">
        <v>-1.3533978015784001E-2</v>
      </c>
      <c r="T662" s="70">
        <v>12.630709250987579</v>
      </c>
      <c r="U662" s="70"/>
      <c r="V662" s="70">
        <v>-48.41</v>
      </c>
      <c r="W662" s="70">
        <v>95.490000000000009</v>
      </c>
    </row>
    <row r="663" spans="1:23" x14ac:dyDescent="0.25">
      <c r="A663" s="68">
        <v>43249</v>
      </c>
      <c r="B663" s="70">
        <v>143.9</v>
      </c>
      <c r="C663" s="70">
        <v>145.58000000000001</v>
      </c>
      <c r="D663" s="70">
        <v>145.61000000000001</v>
      </c>
      <c r="E663" s="70">
        <v>142.88</v>
      </c>
      <c r="F663" s="70">
        <v>17.600000000000001</v>
      </c>
      <c r="G663" s="70">
        <v>-8.2000000000000007E-3</v>
      </c>
      <c r="H663" s="70">
        <v>146.25794871794875</v>
      </c>
      <c r="I663" s="70">
        <v>145.60441595441597</v>
      </c>
      <c r="J663" s="70">
        <v>0.65353276353278034</v>
      </c>
      <c r="K663" s="70">
        <v>1.1703956948401506</v>
      </c>
      <c r="L663" s="70">
        <v>-0.51686293130737027</v>
      </c>
      <c r="M663" s="70">
        <v>-7.4314774810496878E-2</v>
      </c>
      <c r="N663" s="70">
        <v>0</v>
      </c>
      <c r="O663" s="70">
        <v>0.6849816849816821</v>
      </c>
      <c r="P663" s="70">
        <v>7.3148461533307299E-2</v>
      </c>
      <c r="Q663" s="70">
        <v>0.28909587061522546</v>
      </c>
      <c r="R663" s="70">
        <v>-0.59613744071880259</v>
      </c>
      <c r="S663" s="70">
        <v>0.12427506116475205</v>
      </c>
      <c r="T663" s="70">
        <v>12.604782190463098</v>
      </c>
      <c r="U663" s="70">
        <v>1</v>
      </c>
      <c r="V663" s="70">
        <v>-48.41</v>
      </c>
      <c r="W663" s="70">
        <v>95.490000000000009</v>
      </c>
    </row>
    <row r="664" spans="1:23" x14ac:dyDescent="0.25">
      <c r="A664" s="68">
        <v>43248</v>
      </c>
      <c r="B664" s="70">
        <v>145.09</v>
      </c>
      <c r="C664" s="70">
        <v>145.65</v>
      </c>
      <c r="D664" s="70">
        <v>145.75</v>
      </c>
      <c r="E664" s="70">
        <v>144.75</v>
      </c>
      <c r="F664" s="70">
        <v>6.69</v>
      </c>
      <c r="G664" s="70">
        <v>0</v>
      </c>
      <c r="H664" s="70">
        <v>146.92051282051281</v>
      </c>
      <c r="I664" s="70">
        <v>145.71037037037036</v>
      </c>
      <c r="J664" s="70">
        <v>1.210142450142456</v>
      </c>
      <c r="K664" s="70">
        <v>1.3558892054447691</v>
      </c>
      <c r="L664" s="70">
        <v>-0.14574675530231307</v>
      </c>
      <c r="M664" s="70">
        <v>9.7852151014572106E-3</v>
      </c>
      <c r="N664" s="70">
        <v>0</v>
      </c>
      <c r="O664" s="70">
        <v>0</v>
      </c>
      <c r="P664" s="70">
        <v>0.13908252746737323</v>
      </c>
      <c r="Q664" s="70">
        <v>0.14607771660806104</v>
      </c>
      <c r="R664" s="70">
        <v>-2.4530730654155807E-2</v>
      </c>
      <c r="S664" s="70">
        <v>0.28382939062820112</v>
      </c>
      <c r="T664" s="70">
        <v>12.569696035355477</v>
      </c>
      <c r="U664" s="70"/>
      <c r="V664" s="70">
        <v>-48.41</v>
      </c>
      <c r="W664" s="70">
        <v>96.68</v>
      </c>
    </row>
    <row r="665" spans="1:23" x14ac:dyDescent="0.25">
      <c r="A665" s="68">
        <v>43245</v>
      </c>
      <c r="B665" s="70">
        <v>145.09</v>
      </c>
      <c r="C665" s="70">
        <v>145.62</v>
      </c>
      <c r="D665" s="70">
        <v>146.30000000000001</v>
      </c>
      <c r="E665" s="70">
        <v>144.36000000000001</v>
      </c>
      <c r="F665" s="70">
        <v>18.13</v>
      </c>
      <c r="G665" s="70">
        <v>-1.1999999999999999E-3</v>
      </c>
      <c r="H665" s="70">
        <v>147.01147435897434</v>
      </c>
      <c r="I665" s="70">
        <v>145.65018518518517</v>
      </c>
      <c r="J665" s="70">
        <v>1.3612891737891744</v>
      </c>
      <c r="K665" s="70">
        <v>1.4324920861032024</v>
      </c>
      <c r="L665" s="70">
        <v>-7.1202912314028088E-2</v>
      </c>
      <c r="M665" s="70">
        <v>2.0671689816990146E-2</v>
      </c>
      <c r="N665" s="70">
        <v>0</v>
      </c>
      <c r="O665" s="70">
        <v>0.29381443298968757</v>
      </c>
      <c r="P665" s="70">
        <v>0.14988207274967705</v>
      </c>
      <c r="Q665" s="70">
        <v>0.18805120703515926</v>
      </c>
      <c r="R665" s="70">
        <v>-0.11294872854719924</v>
      </c>
      <c r="S665" s="70">
        <v>0.29539791744428456</v>
      </c>
      <c r="T665" s="70">
        <v>12.532128736967039</v>
      </c>
      <c r="U665" s="70"/>
      <c r="V665" s="70">
        <v>-48.41</v>
      </c>
      <c r="W665" s="70">
        <v>96.68</v>
      </c>
    </row>
    <row r="666" spans="1:23" x14ac:dyDescent="0.25">
      <c r="A666" s="68">
        <v>43244</v>
      </c>
      <c r="B666" s="70">
        <v>145.27000000000001</v>
      </c>
      <c r="C666" s="70">
        <v>146.29</v>
      </c>
      <c r="D666" s="70">
        <v>147.15</v>
      </c>
      <c r="E666" s="70">
        <v>144.93</v>
      </c>
      <c r="F666" s="70">
        <v>20.56</v>
      </c>
      <c r="G666" s="70">
        <v>-5.4000000000000003E-3</v>
      </c>
      <c r="H666" s="70">
        <v>147.06666666666666</v>
      </c>
      <c r="I666" s="70">
        <v>145.65141025641023</v>
      </c>
      <c r="J666" s="70">
        <v>1.4152564102564327</v>
      </c>
      <c r="K666" s="70">
        <v>1.4899040835707607</v>
      </c>
      <c r="L666" s="70">
        <v>-7.4647673314327978E-2</v>
      </c>
      <c r="M666" s="70">
        <v>1.3277522098039835E-2</v>
      </c>
      <c r="N666" s="70">
        <v>9.4594594594598222E-2</v>
      </c>
      <c r="O666" s="70">
        <v>0</v>
      </c>
      <c r="P666" s="70">
        <v>0.19935962222722714</v>
      </c>
      <c r="Q666" s="70">
        <v>0.12670533641093878</v>
      </c>
      <c r="R666" s="70">
        <v>0.22282150808150092</v>
      </c>
      <c r="S666" s="70">
        <v>0.37959451753291817</v>
      </c>
      <c r="T666" s="70">
        <v>12.48829966473221</v>
      </c>
      <c r="U666" s="70"/>
      <c r="V666" s="70">
        <v>-48.41</v>
      </c>
      <c r="W666" s="70">
        <v>96.860000000000014</v>
      </c>
    </row>
    <row r="667" spans="1:23" x14ac:dyDescent="0.25">
      <c r="A667" s="68">
        <v>43243</v>
      </c>
      <c r="B667" s="70">
        <v>146.06</v>
      </c>
      <c r="C667" s="70">
        <v>146.19999999999999</v>
      </c>
      <c r="D667" s="70">
        <v>146.94</v>
      </c>
      <c r="E667" s="70">
        <v>144.88</v>
      </c>
      <c r="F667" s="70">
        <v>19.45</v>
      </c>
      <c r="G667" s="70">
        <v>-3.0000000000000001E-3</v>
      </c>
      <c r="H667" s="70">
        <v>147.10217948717951</v>
      </c>
      <c r="I667" s="70">
        <v>145.60772079772082</v>
      </c>
      <c r="J667" s="70">
        <v>1.4944586894586962</v>
      </c>
      <c r="K667" s="70">
        <v>1.526858182969302</v>
      </c>
      <c r="L667" s="70">
        <v>-3.2399493510605781E-2</v>
      </c>
      <c r="M667" s="70">
        <v>1.2636291217490214E-2</v>
      </c>
      <c r="N667" s="70">
        <v>0</v>
      </c>
      <c r="O667" s="70">
        <v>0.74757281553397592</v>
      </c>
      <c r="P667" s="70">
        <v>0.17960910247670661</v>
      </c>
      <c r="Q667" s="70">
        <v>0.2335014529157925</v>
      </c>
      <c r="R667" s="70">
        <v>-0.13045503131209613</v>
      </c>
      <c r="S667" s="70">
        <v>0.33439033776163146</v>
      </c>
      <c r="T667" s="70">
        <v>25.213186664295577</v>
      </c>
      <c r="U667" s="70"/>
      <c r="V667" s="70">
        <v>-48.41</v>
      </c>
      <c r="W667" s="70">
        <v>97.65</v>
      </c>
    </row>
    <row r="668" spans="1:23" x14ac:dyDescent="0.25">
      <c r="A668" s="68">
        <v>43242</v>
      </c>
      <c r="B668" s="70">
        <v>146.5</v>
      </c>
      <c r="C668" s="70">
        <v>146.97</v>
      </c>
      <c r="D668" s="70">
        <v>147.6</v>
      </c>
      <c r="E668" s="70">
        <v>146.41999999999999</v>
      </c>
      <c r="F668" s="70">
        <v>13.15</v>
      </c>
      <c r="G668" s="70">
        <v>-1.8E-3</v>
      </c>
      <c r="H668" s="70">
        <v>147.00557692307692</v>
      </c>
      <c r="I668" s="70">
        <v>145.47792022792021</v>
      </c>
      <c r="J668" s="70">
        <v>1.5276566951567077</v>
      </c>
      <c r="K668" s="70">
        <v>1.5091236150680674</v>
      </c>
      <c r="L668" s="70">
        <v>1.8533080088640297E-2</v>
      </c>
      <c r="M668" s="70">
        <v>1.2407202167887552E-2</v>
      </c>
      <c r="N668" s="70">
        <v>0</v>
      </c>
      <c r="O668" s="70">
        <v>0</v>
      </c>
      <c r="P668" s="70">
        <v>0.17960910247670661</v>
      </c>
      <c r="Q668" s="70">
        <v>0.10149508865953498</v>
      </c>
      <c r="R668" s="70">
        <v>0.27788277898465213</v>
      </c>
      <c r="S668" s="70">
        <v>0.41000011239220718</v>
      </c>
      <c r="T668" s="70">
        <v>37.826119963223199</v>
      </c>
      <c r="U668" s="70"/>
      <c r="V668" s="70">
        <v>-48.41</v>
      </c>
      <c r="W668" s="70">
        <v>98.09</v>
      </c>
    </row>
    <row r="669" spans="1:23" x14ac:dyDescent="0.25">
      <c r="A669" s="68">
        <v>43241</v>
      </c>
      <c r="B669" s="70">
        <v>146.76</v>
      </c>
      <c r="C669" s="70">
        <v>146</v>
      </c>
      <c r="D669" s="70">
        <v>148.19999999999999</v>
      </c>
      <c r="E669" s="70">
        <v>145.9</v>
      </c>
      <c r="F669" s="70">
        <v>16.22</v>
      </c>
      <c r="G669" s="70">
        <v>7.6E-3</v>
      </c>
      <c r="H669" s="70">
        <v>146.77762820512822</v>
      </c>
      <c r="I669" s="70">
        <v>145.35757834757834</v>
      </c>
      <c r="J669" s="70">
        <v>1.4200498575498841</v>
      </c>
      <c r="K669" s="70">
        <v>1.4555345045900672</v>
      </c>
      <c r="L669" s="70">
        <v>-3.5484647040183059E-2</v>
      </c>
      <c r="M669" s="70">
        <v>7.8365597681889256E-3</v>
      </c>
      <c r="N669" s="70">
        <v>0.12549019607842954</v>
      </c>
      <c r="O669" s="70">
        <v>0</v>
      </c>
      <c r="P669" s="70">
        <v>0.19753627334505369</v>
      </c>
      <c r="Q669" s="70">
        <v>0.10149508865953498</v>
      </c>
      <c r="R669" s="70">
        <v>0.32117428767904599</v>
      </c>
      <c r="S669" s="70">
        <v>0.41254049907817397</v>
      </c>
      <c r="T669" s="70">
        <v>50.178419281092623</v>
      </c>
      <c r="U669" s="70"/>
      <c r="V669" s="70">
        <v>-48.41</v>
      </c>
      <c r="W669" s="70">
        <v>98.35</v>
      </c>
    </row>
    <row r="670" spans="1:23" x14ac:dyDescent="0.25">
      <c r="A670" s="68">
        <v>43238</v>
      </c>
      <c r="B670" s="70">
        <v>145.65</v>
      </c>
      <c r="C670" s="70">
        <v>147.19999999999999</v>
      </c>
      <c r="D670" s="70">
        <v>147.88</v>
      </c>
      <c r="E670" s="70">
        <v>145.19</v>
      </c>
      <c r="F670" s="70">
        <v>21.45</v>
      </c>
      <c r="G670" s="70">
        <v>-1.0200000000000001E-2</v>
      </c>
      <c r="H670" s="70">
        <v>146.47852564102567</v>
      </c>
      <c r="I670" s="70">
        <v>145.24793447293447</v>
      </c>
      <c r="J670" s="70">
        <v>1.2305911680911947</v>
      </c>
      <c r="K670" s="70">
        <v>1.3945652105096613</v>
      </c>
      <c r="L670" s="70">
        <v>-0.16397404241846658</v>
      </c>
      <c r="M670" s="70">
        <v>-8.3575620327351607E-4</v>
      </c>
      <c r="N670" s="70">
        <v>0</v>
      </c>
      <c r="O670" s="70">
        <v>0.7286245353159887</v>
      </c>
      <c r="P670" s="70">
        <v>0.22257626148515675</v>
      </c>
      <c r="Q670" s="70">
        <v>0.20558430799039051</v>
      </c>
      <c r="R670" s="70">
        <v>3.9685937253819588E-2</v>
      </c>
      <c r="S670" s="70">
        <v>0.37852348998545332</v>
      </c>
      <c r="T670" s="70">
        <v>50.124564025909329</v>
      </c>
      <c r="U670" s="70"/>
      <c r="V670" s="70">
        <v>-48.41</v>
      </c>
      <c r="W670" s="70">
        <v>97.240000000000009</v>
      </c>
    </row>
    <row r="671" spans="1:23" x14ac:dyDescent="0.25">
      <c r="A671" s="68">
        <v>43237</v>
      </c>
      <c r="B671" s="70">
        <v>147.15</v>
      </c>
      <c r="C671" s="70">
        <v>149.22999999999999</v>
      </c>
      <c r="D671" s="70">
        <v>149.36000000000001</v>
      </c>
      <c r="E671" s="70">
        <v>147.15</v>
      </c>
      <c r="F671" s="70">
        <v>19.18</v>
      </c>
      <c r="G671" s="70">
        <v>-9.7000000000000003E-3</v>
      </c>
      <c r="H671" s="70">
        <v>146.72903846153847</v>
      </c>
      <c r="I671" s="70">
        <v>145.34551282051285</v>
      </c>
      <c r="J671" s="70">
        <v>1.3835256410256136</v>
      </c>
      <c r="K671" s="70">
        <v>1.4180169357391512</v>
      </c>
      <c r="L671" s="70">
        <v>-3.4491294713537624E-2</v>
      </c>
      <c r="M671" s="70">
        <v>3.3967217334736469E-2</v>
      </c>
      <c r="N671" s="70">
        <v>0</v>
      </c>
      <c r="O671" s="70">
        <v>0.43438914027149522</v>
      </c>
      <c r="P671" s="70">
        <v>0.22257626148515675</v>
      </c>
      <c r="Q671" s="70">
        <v>0.11550950197418888</v>
      </c>
      <c r="R671" s="70">
        <v>0.31668520559826091</v>
      </c>
      <c r="S671" s="70">
        <v>0.42243064966862692</v>
      </c>
      <c r="T671" s="70">
        <v>62.373893262750201</v>
      </c>
      <c r="U671" s="70"/>
      <c r="V671" s="70">
        <v>-48.41</v>
      </c>
      <c r="W671" s="70">
        <v>98.740000000000009</v>
      </c>
    </row>
    <row r="672" spans="1:23" x14ac:dyDescent="0.25">
      <c r="A672" s="68">
        <v>43236</v>
      </c>
      <c r="B672" s="70">
        <v>148.59</v>
      </c>
      <c r="C672" s="70">
        <v>148.6</v>
      </c>
      <c r="D672" s="70">
        <v>150.69999999999999</v>
      </c>
      <c r="E672" s="70">
        <v>148.11000000000001</v>
      </c>
      <c r="F672" s="70">
        <v>43.78</v>
      </c>
      <c r="G672" s="70">
        <v>-4.1000000000000003E-3</v>
      </c>
      <c r="H672" s="70">
        <v>146.7496153846154</v>
      </c>
      <c r="I672" s="70">
        <v>145.26165242165243</v>
      </c>
      <c r="J672" s="70">
        <v>1.4879629629629676</v>
      </c>
      <c r="K672" s="70">
        <v>1.4202086103197202</v>
      </c>
      <c r="L672" s="70">
        <v>6.7754352643247362E-2</v>
      </c>
      <c r="M672" s="70">
        <v>7.2833634235347611E-2</v>
      </c>
      <c r="N672" s="70">
        <v>0</v>
      </c>
      <c r="O672" s="70">
        <v>0</v>
      </c>
      <c r="P672" s="70">
        <v>0.22996797291274265</v>
      </c>
      <c r="Q672" s="70">
        <v>2.4812868291129442E-2</v>
      </c>
      <c r="R672" s="70">
        <v>0.80522186696703357</v>
      </c>
      <c r="S672" s="70">
        <v>0.48934840723984407</v>
      </c>
      <c r="T672" s="70">
        <v>74.744510690266395</v>
      </c>
      <c r="U672" s="70"/>
      <c r="V672" s="70">
        <v>-48.41</v>
      </c>
      <c r="W672" s="70">
        <v>100.18</v>
      </c>
    </row>
    <row r="673" spans="1:23" x14ac:dyDescent="0.25">
      <c r="A673" s="68">
        <v>43235</v>
      </c>
      <c r="B673" s="70">
        <v>149.19999999999999</v>
      </c>
      <c r="C673" s="70">
        <v>150.5</v>
      </c>
      <c r="D673" s="70">
        <v>150.69999999999999</v>
      </c>
      <c r="E673" s="70">
        <v>148</v>
      </c>
      <c r="F673" s="70">
        <v>29.1</v>
      </c>
      <c r="G673" s="70">
        <v>-1.18E-2</v>
      </c>
      <c r="H673" s="70">
        <v>146.5550641025641</v>
      </c>
      <c r="I673" s="70">
        <v>144.82321937321939</v>
      </c>
      <c r="J673" s="70">
        <v>1.731844729344715</v>
      </c>
      <c r="K673" s="70">
        <v>1.4620682177904372</v>
      </c>
      <c r="L673" s="70">
        <v>0.26977651155427784</v>
      </c>
      <c r="M673" s="70">
        <v>0.14213876278833576</v>
      </c>
      <c r="N673" s="70">
        <v>0</v>
      </c>
      <c r="O673" s="70">
        <v>1.1111111111111578E-2</v>
      </c>
      <c r="P673" s="70">
        <v>0.26890046898809605</v>
      </c>
      <c r="Q673" s="70">
        <v>2.6400169878431096E-2</v>
      </c>
      <c r="R673" s="70">
        <v>0.82119801718164454</v>
      </c>
      <c r="S673" s="70">
        <v>0.46408494222471208</v>
      </c>
      <c r="T673" s="70">
        <v>75.119755885511665</v>
      </c>
      <c r="U673" s="70"/>
      <c r="V673" s="70">
        <v>-48.41</v>
      </c>
      <c r="W673" s="70">
        <v>100.78999999999999</v>
      </c>
    </row>
    <row r="674" spans="1:23" x14ac:dyDescent="0.25">
      <c r="A674" s="68">
        <v>43234</v>
      </c>
      <c r="B674" s="70">
        <v>150.97999999999999</v>
      </c>
      <c r="C674" s="70">
        <v>151.25</v>
      </c>
      <c r="D674" s="70">
        <v>151.27000000000001</v>
      </c>
      <c r="E674" s="70">
        <v>148.03</v>
      </c>
      <c r="F674" s="70">
        <v>27.96</v>
      </c>
      <c r="G674" s="70">
        <v>1.9E-3</v>
      </c>
      <c r="H674" s="70">
        <v>146.5666025641026</v>
      </c>
      <c r="I674" s="70">
        <v>144.68085470085472</v>
      </c>
      <c r="J674" s="70">
        <v>1.8857478632478717</v>
      </c>
      <c r="K674" s="70">
        <v>1.4628178220956021</v>
      </c>
      <c r="L674" s="70">
        <v>0.42293004115226962</v>
      </c>
      <c r="M674" s="70">
        <v>0.18018685840908394</v>
      </c>
      <c r="N674" s="70">
        <v>5.24691358024739E-2</v>
      </c>
      <c r="O674" s="70">
        <v>0</v>
      </c>
      <c r="P674" s="70">
        <v>0.27639605981702092</v>
      </c>
      <c r="Q674" s="70">
        <v>8.0177396236303128E-2</v>
      </c>
      <c r="R674" s="70">
        <v>0.55028959741572614</v>
      </c>
      <c r="S674" s="70">
        <v>0.35237133598986348</v>
      </c>
      <c r="T674" s="70">
        <v>75.393512181768415</v>
      </c>
      <c r="U674" s="70"/>
      <c r="V674" s="70">
        <v>-48.41</v>
      </c>
      <c r="W674" s="70">
        <v>102.57</v>
      </c>
    </row>
    <row r="675" spans="1:23" x14ac:dyDescent="0.25">
      <c r="A675" s="68">
        <v>43231</v>
      </c>
      <c r="B675" s="70">
        <v>150.69999999999999</v>
      </c>
      <c r="C675" s="70">
        <v>146.4</v>
      </c>
      <c r="D675" s="70">
        <v>151.1</v>
      </c>
      <c r="E675" s="70">
        <v>146.4</v>
      </c>
      <c r="F675" s="70">
        <v>44.79</v>
      </c>
      <c r="G675" s="70">
        <v>2.9499999999999998E-2</v>
      </c>
      <c r="H675" s="70">
        <v>145.93967948717949</v>
      </c>
      <c r="I675" s="70">
        <v>144.28689458689456</v>
      </c>
      <c r="J675" s="70">
        <v>1.652784900284928</v>
      </c>
      <c r="K675" s="70">
        <v>1.364206869262431</v>
      </c>
      <c r="L675" s="70">
        <v>0.28857803102249702</v>
      </c>
      <c r="M675" s="70">
        <v>0.14841001290574521</v>
      </c>
      <c r="N675" s="70">
        <v>0.83686440677965879</v>
      </c>
      <c r="O675" s="70">
        <v>0</v>
      </c>
      <c r="P675" s="70">
        <v>0.42982818847513737</v>
      </c>
      <c r="Q675" s="70">
        <v>8.0177396236303128E-2</v>
      </c>
      <c r="R675" s="70">
        <v>0.68558228129338128</v>
      </c>
      <c r="S675" s="70">
        <v>0.35980368346575808</v>
      </c>
      <c r="T675" s="70">
        <v>75.28674897543624</v>
      </c>
      <c r="U675" s="70"/>
      <c r="V675" s="70">
        <v>-48.41</v>
      </c>
      <c r="W675" s="70">
        <v>102.28999999999999</v>
      </c>
    </row>
    <row r="676" spans="1:23" x14ac:dyDescent="0.25">
      <c r="A676" s="68">
        <v>43230</v>
      </c>
      <c r="B676" s="70">
        <v>146.38</v>
      </c>
      <c r="C676" s="70">
        <v>145.97999999999999</v>
      </c>
      <c r="D676" s="70">
        <v>147.15</v>
      </c>
      <c r="E676" s="70">
        <v>145.57</v>
      </c>
      <c r="F676" s="70">
        <v>24.26</v>
      </c>
      <c r="G676" s="70">
        <v>6.1999999999999998E-3</v>
      </c>
      <c r="H676" s="70">
        <v>144.8125</v>
      </c>
      <c r="I676" s="70">
        <v>143.59225071225072</v>
      </c>
      <c r="J676" s="70">
        <v>1.220249287749283</v>
      </c>
      <c r="K676" s="70">
        <v>1.2656807534029737</v>
      </c>
      <c r="L676" s="70">
        <v>-4.5431465653690717E-2</v>
      </c>
      <c r="M676" s="70">
        <v>9.6784870716495067E-2</v>
      </c>
      <c r="N676" s="70">
        <v>1</v>
      </c>
      <c r="O676" s="70">
        <v>0</v>
      </c>
      <c r="P676" s="70">
        <v>0.3979554002464174</v>
      </c>
      <c r="Q676" s="70">
        <v>0.10410508145431117</v>
      </c>
      <c r="R676" s="70">
        <v>0.58528868433677361</v>
      </c>
      <c r="S676" s="70">
        <v>0.29214379824734271</v>
      </c>
      <c r="T676" s="70">
        <v>62.683691717566148</v>
      </c>
      <c r="U676" s="70"/>
      <c r="V676" s="70">
        <v>-48.41</v>
      </c>
      <c r="W676" s="70">
        <v>97.97</v>
      </c>
    </row>
    <row r="677" spans="1:23" x14ac:dyDescent="0.25">
      <c r="A677" s="68">
        <v>43228</v>
      </c>
      <c r="B677" s="70">
        <v>145.47999999999999</v>
      </c>
      <c r="C677" s="70">
        <v>143.80000000000001</v>
      </c>
      <c r="D677" s="70">
        <v>145.47999999999999</v>
      </c>
      <c r="E677" s="70">
        <v>143.16</v>
      </c>
      <c r="F677" s="70">
        <v>18.3</v>
      </c>
      <c r="G677" s="70">
        <v>9.9000000000000008E-3</v>
      </c>
      <c r="H677" s="70">
        <v>144.50551282051282</v>
      </c>
      <c r="I677" s="70">
        <v>143.33861823361826</v>
      </c>
      <c r="J677" s="70">
        <v>1.1668945868945571</v>
      </c>
      <c r="K677" s="70">
        <v>1.309041468819238</v>
      </c>
      <c r="L677" s="70">
        <v>-0.14214688192468095</v>
      </c>
      <c r="M677" s="70">
        <v>0.10123380955859163</v>
      </c>
      <c r="N677" s="70">
        <v>0.16379310344827439</v>
      </c>
      <c r="O677" s="70">
        <v>0</v>
      </c>
      <c r="P677" s="70">
        <v>0.21256320623353356</v>
      </c>
      <c r="Q677" s="70">
        <v>0.10410508145431117</v>
      </c>
      <c r="R677" s="70">
        <v>0.34249758815803755</v>
      </c>
      <c r="S677" s="70">
        <v>0.22323466104617676</v>
      </c>
      <c r="T677" s="70">
        <v>50.118982719382501</v>
      </c>
      <c r="U677" s="70"/>
      <c r="V677" s="70">
        <v>-48.41</v>
      </c>
      <c r="W677" s="70">
        <v>97.07</v>
      </c>
    </row>
    <row r="678" spans="1:23" x14ac:dyDescent="0.25">
      <c r="A678" s="68">
        <v>43227</v>
      </c>
      <c r="B678" s="70">
        <v>144.05000000000001</v>
      </c>
      <c r="C678" s="70">
        <v>144.75</v>
      </c>
      <c r="D678" s="70">
        <v>145.1</v>
      </c>
      <c r="E678" s="70">
        <v>143.44999999999999</v>
      </c>
      <c r="F678" s="70">
        <v>9.43</v>
      </c>
      <c r="G678" s="70">
        <v>2.2000000000000001E-3</v>
      </c>
      <c r="H678" s="70">
        <v>144.20935897435896</v>
      </c>
      <c r="I678" s="70">
        <v>143.04893162393159</v>
      </c>
      <c r="J678" s="70">
        <v>1.1604273504273692</v>
      </c>
      <c r="K678" s="70">
        <v>1.3363114909781606</v>
      </c>
      <c r="L678" s="70">
        <v>-0.17588414055079138</v>
      </c>
      <c r="M678" s="70">
        <v>0.1202878432109223</v>
      </c>
      <c r="N678" s="70">
        <v>0.54545454545454697</v>
      </c>
      <c r="O678" s="70">
        <v>0</v>
      </c>
      <c r="P678" s="70">
        <v>0.26540967661416182</v>
      </c>
      <c r="Q678" s="70">
        <v>0.10410508145431117</v>
      </c>
      <c r="R678" s="70">
        <v>0.43653086010156067</v>
      </c>
      <c r="S678" s="70">
        <v>0.21660055659394178</v>
      </c>
      <c r="T678" s="70">
        <v>50.118982719382501</v>
      </c>
      <c r="U678" s="70"/>
      <c r="V678" s="70">
        <v>-48.41</v>
      </c>
      <c r="W678" s="70">
        <v>95.640000000000015</v>
      </c>
    </row>
    <row r="679" spans="1:23" x14ac:dyDescent="0.25">
      <c r="A679" s="68">
        <v>43224</v>
      </c>
      <c r="B679" s="70">
        <v>143.72999999999999</v>
      </c>
      <c r="C679" s="70">
        <v>143.38999999999999</v>
      </c>
      <c r="D679" s="70">
        <v>144.19999999999999</v>
      </c>
      <c r="E679" s="70">
        <v>143.09</v>
      </c>
      <c r="F679" s="70">
        <v>11.73</v>
      </c>
      <c r="G679" s="70">
        <v>7.1999999999999998E-3</v>
      </c>
      <c r="H679" s="70">
        <v>144.1142948717949</v>
      </c>
      <c r="I679" s="70">
        <v>142.96397435897438</v>
      </c>
      <c r="J679" s="70">
        <v>1.1503205128205138</v>
      </c>
      <c r="K679" s="70">
        <v>1.3262312440645758</v>
      </c>
      <c r="L679" s="70">
        <v>-0.17591073124406198</v>
      </c>
      <c r="M679" s="70">
        <v>0.1550875468311361</v>
      </c>
      <c r="N679" s="70">
        <v>0</v>
      </c>
      <c r="O679" s="70">
        <v>0</v>
      </c>
      <c r="P679" s="70">
        <v>0.19447144053831056</v>
      </c>
      <c r="Q679" s="70">
        <v>0.10410508145431117</v>
      </c>
      <c r="R679" s="70">
        <v>0.30265728356977939</v>
      </c>
      <c r="S679" s="70">
        <v>0.17549091922976526</v>
      </c>
      <c r="T679" s="70">
        <v>37.697958900786638</v>
      </c>
      <c r="U679" s="70"/>
      <c r="V679" s="70">
        <v>-48.41</v>
      </c>
      <c r="W679" s="70">
        <v>95.32</v>
      </c>
    </row>
    <row r="680" spans="1:23" x14ac:dyDescent="0.25">
      <c r="A680" s="68">
        <v>43223</v>
      </c>
      <c r="B680" s="70">
        <v>142.69999999999999</v>
      </c>
      <c r="C680" s="70">
        <v>144.44</v>
      </c>
      <c r="D680" s="70">
        <v>146.15</v>
      </c>
      <c r="E680" s="70">
        <v>142.69999999999999</v>
      </c>
      <c r="F680" s="70">
        <v>24.05</v>
      </c>
      <c r="G680" s="70">
        <v>-1.55E-2</v>
      </c>
      <c r="H680" s="70">
        <v>144.02775641025642</v>
      </c>
      <c r="I680" s="70">
        <v>142.85455840455845</v>
      </c>
      <c r="J680" s="70">
        <v>1.1731980056979694</v>
      </c>
      <c r="K680" s="70">
        <v>1.3194259259259153</v>
      </c>
      <c r="L680" s="70">
        <v>-0.14622792022794595</v>
      </c>
      <c r="M680" s="70">
        <v>0.17581513832795451</v>
      </c>
      <c r="N680" s="70">
        <v>0</v>
      </c>
      <c r="O680" s="70">
        <v>0.3652173913043516</v>
      </c>
      <c r="P680" s="70">
        <v>0.20362894969581954</v>
      </c>
      <c r="Q680" s="70">
        <v>0.15627899449778998</v>
      </c>
      <c r="R680" s="70">
        <v>0.13156129494201452</v>
      </c>
      <c r="S680" s="70">
        <v>0.12142422450939241</v>
      </c>
      <c r="T680" s="70">
        <v>37.720080714304267</v>
      </c>
      <c r="U680" s="70">
        <v>-1</v>
      </c>
      <c r="V680" s="70">
        <v>-48.41</v>
      </c>
      <c r="W680" s="70">
        <v>94.289999999999992</v>
      </c>
    </row>
    <row r="681" spans="1:23" x14ac:dyDescent="0.25">
      <c r="A681" s="68">
        <v>43222</v>
      </c>
      <c r="B681" s="70">
        <v>144.94</v>
      </c>
      <c r="C681" s="70">
        <v>145.35</v>
      </c>
      <c r="D681" s="70">
        <v>145.77000000000001</v>
      </c>
      <c r="E681" s="70">
        <v>143.96</v>
      </c>
      <c r="F681" s="70">
        <v>16.02</v>
      </c>
      <c r="G681" s="70">
        <v>-6.7999999999999996E-3</v>
      </c>
      <c r="H681" s="70">
        <v>144.35121794871799</v>
      </c>
      <c r="I681" s="70">
        <v>142.94106837606839</v>
      </c>
      <c r="J681" s="70">
        <v>1.4101495726496012</v>
      </c>
      <c r="K681" s="70">
        <v>1.3438994935106061</v>
      </c>
      <c r="L681" s="70">
        <v>6.6250079138995055E-2</v>
      </c>
      <c r="M681" s="70">
        <v>0.22099831286156682</v>
      </c>
      <c r="N681" s="70">
        <v>0</v>
      </c>
      <c r="O681" s="70">
        <v>0</v>
      </c>
      <c r="P681" s="70">
        <v>0.20362894969581954</v>
      </c>
      <c r="Q681" s="70">
        <v>0.12947536334633178</v>
      </c>
      <c r="R681" s="70">
        <v>0.2226137082172944</v>
      </c>
      <c r="S681" s="70">
        <v>0.10263770456218888</v>
      </c>
      <c r="T681" s="70">
        <v>37.677987508434398</v>
      </c>
      <c r="U681" s="70"/>
      <c r="V681" s="70">
        <v>-40.72</v>
      </c>
      <c r="W681" s="70">
        <v>94.289999999999992</v>
      </c>
    </row>
    <row r="682" spans="1:23" x14ac:dyDescent="0.25">
      <c r="A682" s="68">
        <v>43220</v>
      </c>
      <c r="B682" s="70">
        <v>145.93</v>
      </c>
      <c r="C682" s="70">
        <v>144.30000000000001</v>
      </c>
      <c r="D682" s="70">
        <v>147.29</v>
      </c>
      <c r="E682" s="70">
        <v>143.69999999999999</v>
      </c>
      <c r="F682" s="70">
        <v>15.28</v>
      </c>
      <c r="G682" s="70">
        <v>1.1299999999999999E-2</v>
      </c>
      <c r="H682" s="70">
        <v>144.26096153846154</v>
      </c>
      <c r="I682" s="70">
        <v>142.86696581196583</v>
      </c>
      <c r="J682" s="70">
        <v>1.3939957264957172</v>
      </c>
      <c r="K682" s="70">
        <v>1.2826168091167998</v>
      </c>
      <c r="L682" s="70">
        <v>0.11137891737891747</v>
      </c>
      <c r="M682" s="70">
        <v>0.24405345272012016</v>
      </c>
      <c r="N682" s="70">
        <v>0.77715877437325609</v>
      </c>
      <c r="O682" s="70">
        <v>0</v>
      </c>
      <c r="P682" s="70">
        <v>0.31465163174914185</v>
      </c>
      <c r="Q682" s="70">
        <v>0.13004132099383439</v>
      </c>
      <c r="R682" s="70">
        <v>0.41514107569410608</v>
      </c>
      <c r="S682" s="70">
        <v>0.11643830750619791</v>
      </c>
      <c r="T682" s="70">
        <v>50.193000069237691</v>
      </c>
      <c r="U682" s="70"/>
      <c r="V682" s="70">
        <v>-40.72</v>
      </c>
      <c r="W682" s="70">
        <v>94.289999999999992</v>
      </c>
    </row>
    <row r="683" spans="1:23" x14ac:dyDescent="0.25">
      <c r="A683" s="68">
        <v>43218</v>
      </c>
      <c r="B683" s="70">
        <v>144.30000000000001</v>
      </c>
      <c r="C683" s="70">
        <v>144.5</v>
      </c>
      <c r="D683" s="70">
        <v>144.5</v>
      </c>
      <c r="E683" s="70">
        <v>143.83000000000001</v>
      </c>
      <c r="F683" s="70">
        <v>2.2599999999999998</v>
      </c>
      <c r="G683" s="70">
        <v>-1.4E-3</v>
      </c>
      <c r="H683" s="70">
        <v>143.77397435897439</v>
      </c>
      <c r="I683" s="70">
        <v>142.47343304843307</v>
      </c>
      <c r="J683" s="70">
        <v>1.3005413105413197</v>
      </c>
      <c r="K683" s="70">
        <v>1.2172162076606476</v>
      </c>
      <c r="L683" s="70">
        <v>8.3325102880672075E-2</v>
      </c>
      <c r="M683" s="70">
        <v>0.27380233694763778</v>
      </c>
      <c r="N683" s="70">
        <v>0</v>
      </c>
      <c r="O683" s="70">
        <v>0</v>
      </c>
      <c r="P683" s="70">
        <v>0.1606987285394334</v>
      </c>
      <c r="Q683" s="70">
        <v>0.13004132099383439</v>
      </c>
      <c r="R683" s="70">
        <v>0.10544611103566262</v>
      </c>
      <c r="S683" s="70">
        <v>5.0210887820676182E-2</v>
      </c>
      <c r="T683" s="70">
        <v>37.645609804754933</v>
      </c>
      <c r="U683" s="70"/>
      <c r="V683" s="70">
        <v>-40.72</v>
      </c>
      <c r="W683" s="70">
        <v>94.289999999999992</v>
      </c>
    </row>
    <row r="684" spans="1:23" x14ac:dyDescent="0.25">
      <c r="A684" s="68">
        <v>43217</v>
      </c>
      <c r="B684" s="70">
        <v>144.5</v>
      </c>
      <c r="C684" s="70">
        <v>146</v>
      </c>
      <c r="D684" s="70">
        <v>146</v>
      </c>
      <c r="E684" s="70">
        <v>143.77000000000001</v>
      </c>
      <c r="F684" s="70">
        <v>19.54</v>
      </c>
      <c r="G684" s="70">
        <v>-6.7000000000000002E-3</v>
      </c>
      <c r="H684" s="70">
        <v>143.92391025641027</v>
      </c>
      <c r="I684" s="70">
        <v>142.40633903133903</v>
      </c>
      <c r="J684" s="70">
        <v>1.5175712250712365</v>
      </c>
      <c r="K684" s="70">
        <v>1.184120766065206</v>
      </c>
      <c r="L684" s="70">
        <v>0.33345045900603054</v>
      </c>
      <c r="M684" s="70">
        <v>0.34126849851636232</v>
      </c>
      <c r="N684" s="70">
        <v>0.11210762331838617</v>
      </c>
      <c r="O684" s="70">
        <v>0</v>
      </c>
      <c r="P684" s="70">
        <v>0.22775983176428621</v>
      </c>
      <c r="Q684" s="70">
        <v>0.13004132099383439</v>
      </c>
      <c r="R684" s="70">
        <v>0.27310842912938044</v>
      </c>
      <c r="S684" s="70">
        <v>8.614777302497828E-2</v>
      </c>
      <c r="T684" s="70">
        <v>50.181209683013115</v>
      </c>
      <c r="U684" s="70"/>
      <c r="V684" s="70">
        <v>-40.72</v>
      </c>
      <c r="W684" s="70">
        <v>94.289999999999992</v>
      </c>
    </row>
    <row r="685" spans="1:23" x14ac:dyDescent="0.25">
      <c r="A685" s="68">
        <v>43216</v>
      </c>
      <c r="B685" s="70">
        <v>145.47999999999999</v>
      </c>
      <c r="C685" s="70">
        <v>143.07</v>
      </c>
      <c r="D685" s="70">
        <v>145.75</v>
      </c>
      <c r="E685" s="70">
        <v>142.6</v>
      </c>
      <c r="F685" s="70">
        <v>22.3</v>
      </c>
      <c r="G685" s="70">
        <v>1.95E-2</v>
      </c>
      <c r="H685" s="70">
        <v>144.12897435897435</v>
      </c>
      <c r="I685" s="70">
        <v>142.30086894586896</v>
      </c>
      <c r="J685" s="70">
        <v>1.8281054131053907</v>
      </c>
      <c r="K685" s="70">
        <v>1.1469379550490557</v>
      </c>
      <c r="L685" s="70">
        <v>0.68116745805633494</v>
      </c>
      <c r="M685" s="70">
        <v>0.38043302060395678</v>
      </c>
      <c r="N685" s="70">
        <v>0.59047619047619371</v>
      </c>
      <c r="O685" s="70">
        <v>0</v>
      </c>
      <c r="P685" s="70">
        <v>0.29454480460015919</v>
      </c>
      <c r="Q685" s="70">
        <v>0.13004132099383439</v>
      </c>
      <c r="R685" s="70">
        <v>0.38744432210587515</v>
      </c>
      <c r="S685" s="70">
        <v>6.8377368570138042E-2</v>
      </c>
      <c r="T685" s="70">
        <v>62.64180115699321</v>
      </c>
      <c r="U685" s="70"/>
      <c r="V685" s="70">
        <v>-40.72</v>
      </c>
      <c r="W685" s="70">
        <v>94.289999999999992</v>
      </c>
    </row>
    <row r="686" spans="1:23" x14ac:dyDescent="0.25">
      <c r="A686" s="68">
        <v>43215</v>
      </c>
      <c r="B686" s="70">
        <v>142.69999999999999</v>
      </c>
      <c r="C686" s="70">
        <v>143.5</v>
      </c>
      <c r="D686" s="70">
        <v>143.88999999999999</v>
      </c>
      <c r="E686" s="70">
        <v>141.41</v>
      </c>
      <c r="F686" s="70">
        <v>23.81</v>
      </c>
      <c r="G686" s="70">
        <v>-0.01</v>
      </c>
      <c r="H686" s="70">
        <v>143.44179487179485</v>
      </c>
      <c r="I686" s="70">
        <v>141.95356125356125</v>
      </c>
      <c r="J686" s="70">
        <v>1.4882336182336076</v>
      </c>
      <c r="K686" s="70">
        <v>0.97322697056029783</v>
      </c>
      <c r="L686" s="70">
        <v>0.51500664767330973</v>
      </c>
      <c r="M686" s="70">
        <v>0.30591530217171048</v>
      </c>
      <c r="N686" s="70">
        <v>0</v>
      </c>
      <c r="O686" s="70">
        <v>0.85080645161291224</v>
      </c>
      <c r="P686" s="70">
        <v>0.17125856702820663</v>
      </c>
      <c r="Q686" s="70">
        <v>0.30856265792442661</v>
      </c>
      <c r="R686" s="70">
        <v>-0.28615676788740285</v>
      </c>
      <c r="S686" s="70">
        <v>-9.3982867748761065E-2</v>
      </c>
      <c r="T686" s="70">
        <v>50.178683494874839</v>
      </c>
      <c r="U686" s="70"/>
      <c r="V686" s="70">
        <v>-40.72</v>
      </c>
      <c r="W686" s="70">
        <v>94.289999999999992</v>
      </c>
    </row>
    <row r="687" spans="1:23" x14ac:dyDescent="0.25">
      <c r="A687" s="68">
        <v>43214</v>
      </c>
      <c r="B687" s="70">
        <v>144.13999999999999</v>
      </c>
      <c r="C687" s="70">
        <v>144</v>
      </c>
      <c r="D687" s="70">
        <v>146.52000000000001</v>
      </c>
      <c r="E687" s="70">
        <v>143.52000000000001</v>
      </c>
      <c r="F687" s="70">
        <v>29.05</v>
      </c>
      <c r="G687" s="70">
        <v>1E-3</v>
      </c>
      <c r="H687" s="70">
        <v>143.12108974358972</v>
      </c>
      <c r="I687" s="70">
        <v>142.05132478632476</v>
      </c>
      <c r="J687" s="70">
        <v>1.0697649572649652</v>
      </c>
      <c r="K687" s="70">
        <v>0.83768771763215899</v>
      </c>
      <c r="L687" s="70">
        <v>0.23207723963280624</v>
      </c>
      <c r="M687" s="70">
        <v>0.26088614772375446</v>
      </c>
      <c r="N687" s="70">
        <v>0.68000000000000682</v>
      </c>
      <c r="O687" s="70">
        <v>0</v>
      </c>
      <c r="P687" s="70">
        <v>0.28462329753579529</v>
      </c>
      <c r="Q687" s="70">
        <v>0.13092175044480758</v>
      </c>
      <c r="R687" s="70">
        <v>0.36987938573187451</v>
      </c>
      <c r="S687" s="70">
        <v>1.9308029889460253E-2</v>
      </c>
      <c r="T687" s="70">
        <v>50.183932494159485</v>
      </c>
      <c r="U687" s="70"/>
      <c r="V687" s="70">
        <v>-40.72</v>
      </c>
      <c r="W687" s="70">
        <v>94.289999999999992</v>
      </c>
    </row>
    <row r="688" spans="1:23" x14ac:dyDescent="0.25">
      <c r="A688" s="68">
        <v>43213</v>
      </c>
      <c r="B688" s="70">
        <v>143.99</v>
      </c>
      <c r="C688" s="70">
        <v>144.30000000000001</v>
      </c>
      <c r="D688" s="70">
        <v>144.47999999999999</v>
      </c>
      <c r="E688" s="70">
        <v>142</v>
      </c>
      <c r="F688" s="70">
        <v>32.659999999999997</v>
      </c>
      <c r="G688" s="70">
        <v>-2.8E-3</v>
      </c>
      <c r="H688" s="70">
        <v>142.91185897435898</v>
      </c>
      <c r="I688" s="70">
        <v>141.88957264957267</v>
      </c>
      <c r="J688" s="70">
        <v>1.0222863247863074</v>
      </c>
      <c r="K688" s="70">
        <v>0.79300237416903074</v>
      </c>
      <c r="L688" s="70">
        <v>0.22928395061727669</v>
      </c>
      <c r="M688" s="70">
        <v>0.27264836208425575</v>
      </c>
      <c r="N688" s="70">
        <v>0</v>
      </c>
      <c r="O688" s="70">
        <v>0.3629032258064554</v>
      </c>
      <c r="P688" s="70">
        <v>0.1426452755577719</v>
      </c>
      <c r="Q688" s="70">
        <v>0.18276506841715834</v>
      </c>
      <c r="R688" s="70">
        <v>-0.12328985111326789</v>
      </c>
      <c r="S688" s="70">
        <v>-8.3944706158470106E-2</v>
      </c>
      <c r="T688" s="70">
        <v>50.264140433938778</v>
      </c>
      <c r="U688" s="70"/>
      <c r="V688" s="70">
        <v>-40.72</v>
      </c>
      <c r="W688" s="70">
        <v>94.289999999999992</v>
      </c>
    </row>
    <row r="689" spans="1:23" x14ac:dyDescent="0.25">
      <c r="A689" s="68">
        <v>43210</v>
      </c>
      <c r="B689" s="70">
        <v>144.4</v>
      </c>
      <c r="C689" s="70">
        <v>143.38999999999999</v>
      </c>
      <c r="D689" s="70">
        <v>145.5</v>
      </c>
      <c r="E689" s="70">
        <v>142.9</v>
      </c>
      <c r="F689" s="70">
        <v>21.15</v>
      </c>
      <c r="G689" s="70">
        <v>7.0000000000000001E-3</v>
      </c>
      <c r="H689" s="70">
        <v>142.72884615384615</v>
      </c>
      <c r="I689" s="70">
        <v>141.81346153846158</v>
      </c>
      <c r="J689" s="70">
        <v>0.91538461538456772</v>
      </c>
      <c r="K689" s="70">
        <v>0.68379044001264844</v>
      </c>
      <c r="L689" s="70">
        <v>0.23159417537191929</v>
      </c>
      <c r="M689" s="70">
        <v>0.28282116680406583</v>
      </c>
      <c r="N689" s="70">
        <v>0</v>
      </c>
      <c r="O689" s="70">
        <v>0</v>
      </c>
      <c r="P689" s="70">
        <v>0.1426452755577719</v>
      </c>
      <c r="Q689" s="70">
        <v>0.1249281311608649</v>
      </c>
      <c r="R689" s="70">
        <v>6.6214145173018699E-2</v>
      </c>
      <c r="S689" s="70">
        <v>-5.9238769659256355E-2</v>
      </c>
      <c r="T689" s="70">
        <v>62.837197576263378</v>
      </c>
      <c r="U689" s="70"/>
      <c r="V689" s="70">
        <v>-40.72</v>
      </c>
      <c r="W689" s="70">
        <v>94.289999999999992</v>
      </c>
    </row>
    <row r="690" spans="1:23" x14ac:dyDescent="0.25">
      <c r="A690" s="68">
        <v>43209</v>
      </c>
      <c r="B690" s="70">
        <v>143.4</v>
      </c>
      <c r="C690" s="70">
        <v>145.19999999999999</v>
      </c>
      <c r="D690" s="70">
        <v>145.75</v>
      </c>
      <c r="E690" s="70">
        <v>142.57</v>
      </c>
      <c r="F690" s="70">
        <v>20.54</v>
      </c>
      <c r="G690" s="70">
        <v>-9.2999999999999992E-3</v>
      </c>
      <c r="H690" s="70">
        <v>142.27743589743591</v>
      </c>
      <c r="I690" s="70">
        <v>141.52037037037039</v>
      </c>
      <c r="J690" s="70">
        <v>0.75706552706552088</v>
      </c>
      <c r="K690" s="70">
        <v>0.53712883823994784</v>
      </c>
      <c r="L690" s="70">
        <v>0.21993668882557305</v>
      </c>
      <c r="M690" s="70">
        <v>0.28459686435754711</v>
      </c>
      <c r="N690" s="70">
        <v>0.13836477987421283</v>
      </c>
      <c r="O690" s="70">
        <v>0</v>
      </c>
      <c r="P690" s="70">
        <v>0.16241167268265944</v>
      </c>
      <c r="Q690" s="70">
        <v>0.15047758171031528</v>
      </c>
      <c r="R690" s="70">
        <v>3.8141581421506671E-2</v>
      </c>
      <c r="S690" s="70">
        <v>-7.396799514650515E-2</v>
      </c>
      <c r="T690" s="70">
        <v>62.753008216504455</v>
      </c>
      <c r="U690" s="70"/>
      <c r="V690" s="70">
        <v>-40.72</v>
      </c>
      <c r="W690" s="70">
        <v>94.289999999999992</v>
      </c>
    </row>
    <row r="691" spans="1:23" x14ac:dyDescent="0.25">
      <c r="A691" s="68">
        <v>43208</v>
      </c>
      <c r="B691" s="70">
        <v>144.75</v>
      </c>
      <c r="C691" s="70">
        <v>142.63999999999999</v>
      </c>
      <c r="D691" s="70">
        <v>145.31</v>
      </c>
      <c r="E691" s="70">
        <v>142.04</v>
      </c>
      <c r="F691" s="70">
        <v>28.08</v>
      </c>
      <c r="G691" s="70">
        <v>1.6500000000000001E-2</v>
      </c>
      <c r="H691" s="70">
        <v>142.32506410256411</v>
      </c>
      <c r="I691" s="70">
        <v>141.45655270655271</v>
      </c>
      <c r="J691" s="70">
        <v>0.86851139601139948</v>
      </c>
      <c r="K691" s="70">
        <v>0.51654241848686222</v>
      </c>
      <c r="L691" s="70">
        <v>0.35196897752453726</v>
      </c>
      <c r="M691" s="70">
        <v>0.29489566527173555</v>
      </c>
      <c r="N691" s="70">
        <v>0.65137614678898736</v>
      </c>
      <c r="O691" s="70">
        <v>0</v>
      </c>
      <c r="P691" s="70">
        <v>0.22657605829416264</v>
      </c>
      <c r="Q691" s="70">
        <v>0.18422489948130208</v>
      </c>
      <c r="R691" s="70">
        <v>0.10309410923040939</v>
      </c>
      <c r="S691" s="70">
        <v>-7.6764213954887042E-2</v>
      </c>
      <c r="T691" s="70">
        <v>63.215132098657072</v>
      </c>
      <c r="U691" s="70"/>
      <c r="V691" s="70">
        <v>-40.72</v>
      </c>
      <c r="W691" s="70">
        <v>94.289999999999992</v>
      </c>
    </row>
    <row r="692" spans="1:23" x14ac:dyDescent="0.25">
      <c r="A692" s="68">
        <v>43207</v>
      </c>
      <c r="B692" s="70">
        <v>142.4</v>
      </c>
      <c r="C692" s="70">
        <v>142.44999999999999</v>
      </c>
      <c r="D692" s="70">
        <v>143.18</v>
      </c>
      <c r="E692" s="70">
        <v>140.66</v>
      </c>
      <c r="F692" s="70">
        <v>26.72</v>
      </c>
      <c r="G692" s="70">
        <v>6.4000000000000003E-3</v>
      </c>
      <c r="H692" s="70">
        <v>141.65115384615385</v>
      </c>
      <c r="I692" s="70">
        <v>141.21125356125356</v>
      </c>
      <c r="J692" s="70">
        <v>0.43990028490028976</v>
      </c>
      <c r="K692" s="70">
        <v>0.36575530231085684</v>
      </c>
      <c r="L692" s="70">
        <v>7.4144982589432917E-2</v>
      </c>
      <c r="M692" s="70">
        <v>0.23008587360724203</v>
      </c>
      <c r="N692" s="70">
        <v>0.13888888888888606</v>
      </c>
      <c r="O692" s="70">
        <v>0</v>
      </c>
      <c r="P692" s="70">
        <v>0.13710331318576885</v>
      </c>
      <c r="Q692" s="70">
        <v>0.18422489948130208</v>
      </c>
      <c r="R692" s="70">
        <v>-0.14664627766238517</v>
      </c>
      <c r="S692" s="70">
        <v>-9.9219799154922295E-2</v>
      </c>
      <c r="T692" s="70">
        <v>63.109898331939611</v>
      </c>
      <c r="U692" s="70"/>
      <c r="V692" s="70">
        <v>-40.72</v>
      </c>
      <c r="W692" s="70">
        <v>94.289999999999992</v>
      </c>
    </row>
    <row r="693" spans="1:23" x14ac:dyDescent="0.25">
      <c r="A693" s="68">
        <v>43206</v>
      </c>
      <c r="B693" s="70">
        <v>141.5</v>
      </c>
      <c r="C693" s="70">
        <v>141.03</v>
      </c>
      <c r="D693" s="70">
        <v>142.83000000000001</v>
      </c>
      <c r="E693" s="70">
        <v>139.87</v>
      </c>
      <c r="F693" s="70">
        <v>26.74</v>
      </c>
      <c r="G693" s="70">
        <v>-7.6E-3</v>
      </c>
      <c r="H693" s="70">
        <v>141.50775641025641</v>
      </c>
      <c r="I693" s="70">
        <v>141.10719373219371</v>
      </c>
      <c r="J693" s="70">
        <v>0.4005626780626983</v>
      </c>
      <c r="K693" s="70">
        <v>0.32188144982589634</v>
      </c>
      <c r="L693" s="70">
        <v>7.8681228236801959E-2</v>
      </c>
      <c r="M693" s="70">
        <v>0.21335795511863895</v>
      </c>
      <c r="N693" s="70">
        <v>0</v>
      </c>
      <c r="O693" s="70">
        <v>0.74999999999999756</v>
      </c>
      <c r="P693" s="70">
        <v>0.14008114127089413</v>
      </c>
      <c r="Q693" s="70">
        <v>0.29136775662415887</v>
      </c>
      <c r="R693" s="70">
        <v>-0.35064781968701231</v>
      </c>
      <c r="S693" s="70">
        <v>-9.7757616727853769E-2</v>
      </c>
      <c r="T693" s="70">
        <v>63.04809769430851</v>
      </c>
      <c r="U693" s="70"/>
      <c r="V693" s="70">
        <v>-40.72</v>
      </c>
      <c r="W693" s="70">
        <v>94.289999999999992</v>
      </c>
    </row>
    <row r="694" spans="1:23" x14ac:dyDescent="0.25">
      <c r="A694" s="68">
        <v>43203</v>
      </c>
      <c r="B694" s="70">
        <v>142.58000000000001</v>
      </c>
      <c r="C694" s="70">
        <v>146</v>
      </c>
      <c r="D694" s="70">
        <v>146.75</v>
      </c>
      <c r="E694" s="70">
        <v>142.09</v>
      </c>
      <c r="F694" s="70">
        <v>26.4</v>
      </c>
      <c r="G694" s="70">
        <v>-2.3400000000000001E-2</v>
      </c>
      <c r="H694" s="70">
        <v>141.76557692307691</v>
      </c>
      <c r="I694" s="70">
        <v>141.12700854700853</v>
      </c>
      <c r="J694" s="70">
        <v>0.63856837606837757</v>
      </c>
      <c r="K694" s="70">
        <v>0.32042782526115476</v>
      </c>
      <c r="L694" s="70">
        <v>0.31814055080722281</v>
      </c>
      <c r="M694" s="70">
        <v>0.22436323220938209</v>
      </c>
      <c r="N694" s="70">
        <v>0</v>
      </c>
      <c r="O694" s="70">
        <v>8.5836909871227617E-3</v>
      </c>
      <c r="P694" s="70">
        <v>0.14008114127089413</v>
      </c>
      <c r="Q694" s="70">
        <v>0.13600059160034175</v>
      </c>
      <c r="R694" s="70">
        <v>1.4780223335006169E-2</v>
      </c>
      <c r="S694" s="70">
        <v>-7.2420427895291163E-3</v>
      </c>
      <c r="T694" s="70">
        <v>63.121562811719322</v>
      </c>
      <c r="U694" s="70"/>
      <c r="V694" s="70">
        <v>-40.72</v>
      </c>
      <c r="W694" s="70">
        <v>94.289999999999992</v>
      </c>
    </row>
    <row r="695" spans="1:23" x14ac:dyDescent="0.25">
      <c r="A695" s="68">
        <v>43202</v>
      </c>
      <c r="B695" s="70">
        <v>145.99</v>
      </c>
      <c r="C695" s="70">
        <v>145.69999999999999</v>
      </c>
      <c r="D695" s="70">
        <v>146.88999999999999</v>
      </c>
      <c r="E695" s="70">
        <v>142.13</v>
      </c>
      <c r="F695" s="70">
        <v>40.75</v>
      </c>
      <c r="G695" s="70">
        <v>5.0000000000000001E-3</v>
      </c>
      <c r="H695" s="70">
        <v>142.14141025641024</v>
      </c>
      <c r="I695" s="70">
        <v>141.23643874643875</v>
      </c>
      <c r="J695" s="70">
        <v>0.90497150997148879</v>
      </c>
      <c r="K695" s="70">
        <v>0.28161791706235578</v>
      </c>
      <c r="L695" s="70">
        <v>0.62335359290913295</v>
      </c>
      <c r="M695" s="70">
        <v>0.2350311650995332</v>
      </c>
      <c r="N695" s="70">
        <v>0.12605042016806628</v>
      </c>
      <c r="O695" s="70">
        <v>0</v>
      </c>
      <c r="P695" s="70">
        <v>0.15808834415204645</v>
      </c>
      <c r="Q695" s="70">
        <v>0.13420839238325019</v>
      </c>
      <c r="R695" s="70">
        <v>8.1697633890320934E-2</v>
      </c>
      <c r="S695" s="70">
        <v>1.6534998399353146E-2</v>
      </c>
      <c r="T695" s="70">
        <v>75.676607329102509</v>
      </c>
      <c r="U695" s="70"/>
      <c r="V695" s="70">
        <v>-40.72</v>
      </c>
      <c r="W695" s="70">
        <v>94.289999999999992</v>
      </c>
    </row>
    <row r="696" spans="1:23" x14ac:dyDescent="0.25">
      <c r="A696" s="68">
        <v>43201</v>
      </c>
      <c r="B696" s="70">
        <v>145.27000000000001</v>
      </c>
      <c r="C696" s="70">
        <v>141</v>
      </c>
      <c r="D696" s="70">
        <v>146.29</v>
      </c>
      <c r="E696" s="70">
        <v>140.71</v>
      </c>
      <c r="F696" s="70">
        <v>62.15</v>
      </c>
      <c r="G696" s="70">
        <v>2.4500000000000001E-2</v>
      </c>
      <c r="H696" s="70">
        <v>141.66467948717948</v>
      </c>
      <c r="I696" s="70">
        <v>140.99079772079773</v>
      </c>
      <c r="J696" s="70">
        <v>0.67388176638175423</v>
      </c>
      <c r="K696" s="70">
        <v>0.10925815131370389</v>
      </c>
      <c r="L696" s="70">
        <v>0.56462361506805037</v>
      </c>
      <c r="M696" s="70">
        <v>0.15993885253713847</v>
      </c>
      <c r="N696" s="70">
        <v>0.77419354838709775</v>
      </c>
      <c r="O696" s="70">
        <v>0</v>
      </c>
      <c r="P696" s="70">
        <v>0.24236920289753011</v>
      </c>
      <c r="Q696" s="70">
        <v>0.13420839238325019</v>
      </c>
      <c r="R696" s="70">
        <v>0.28722051409785565</v>
      </c>
      <c r="S696" s="70">
        <v>3.7797396971063747E-2</v>
      </c>
      <c r="T696" s="70">
        <v>63.089072674134549</v>
      </c>
      <c r="U696" s="70"/>
      <c r="V696" s="70">
        <v>-40.72</v>
      </c>
      <c r="W696" s="70">
        <v>94.289999999999992</v>
      </c>
    </row>
    <row r="697" spans="1:23" x14ac:dyDescent="0.25">
      <c r="A697" s="68">
        <v>43200</v>
      </c>
      <c r="B697" s="70">
        <v>141.80000000000001</v>
      </c>
      <c r="C697" s="70">
        <v>135</v>
      </c>
      <c r="D697" s="70">
        <v>141.97</v>
      </c>
      <c r="E697" s="70">
        <v>133.5</v>
      </c>
      <c r="F697" s="70">
        <v>64.08</v>
      </c>
      <c r="G697" s="70">
        <v>5.0299999999999997E-2</v>
      </c>
      <c r="H697" s="70">
        <v>140.63724358974358</v>
      </c>
      <c r="I697" s="70">
        <v>140.60306267806266</v>
      </c>
      <c r="J697" s="70">
        <v>3.418091168092019E-2</v>
      </c>
      <c r="K697" s="70">
        <v>-0.13987796771130168</v>
      </c>
      <c r="L697" s="70">
        <v>0.17405887939222187</v>
      </c>
      <c r="M697" s="70">
        <v>4.6044811788399989E-2</v>
      </c>
      <c r="N697" s="70">
        <v>8.8547815820543108E-2</v>
      </c>
      <c r="O697" s="70">
        <v>0</v>
      </c>
      <c r="P697" s="70">
        <v>9.3374084065796073E-2</v>
      </c>
      <c r="Q697" s="70">
        <v>0.15369212064642154</v>
      </c>
      <c r="R697" s="70">
        <v>-0.24413713988476826</v>
      </c>
      <c r="S697" s="70">
        <v>-6.0177517991577945E-2</v>
      </c>
      <c r="T697" s="70">
        <v>50.315736971953299</v>
      </c>
      <c r="U697" s="70"/>
      <c r="V697" s="70">
        <v>-40.72</v>
      </c>
      <c r="W697" s="70">
        <v>94.289999999999992</v>
      </c>
    </row>
    <row r="698" spans="1:23" x14ac:dyDescent="0.25">
      <c r="A698" s="68">
        <v>43199</v>
      </c>
      <c r="B698" s="70">
        <v>135.01</v>
      </c>
      <c r="C698" s="70">
        <v>140.94</v>
      </c>
      <c r="D698" s="70">
        <v>141.22</v>
      </c>
      <c r="E698" s="70">
        <v>128.19</v>
      </c>
      <c r="F698" s="70">
        <v>91.01</v>
      </c>
      <c r="G698" s="70">
        <v>-4.5900000000000003E-2</v>
      </c>
      <c r="H698" s="70">
        <v>139.60673076923078</v>
      </c>
      <c r="I698" s="70">
        <v>139.98507122507124</v>
      </c>
      <c r="J698" s="70">
        <v>-0.37834045584045839</v>
      </c>
      <c r="K698" s="70">
        <v>-0.28933760683761106</v>
      </c>
      <c r="L698" s="70">
        <v>-8.9002849002847328E-2</v>
      </c>
      <c r="M698" s="70">
        <v>-4.4062657190865426E-2</v>
      </c>
      <c r="N698" s="70">
        <v>0</v>
      </c>
      <c r="O698" s="70">
        <v>0.86415963161933917</v>
      </c>
      <c r="P698" s="70">
        <v>7.4886078564803546E-2</v>
      </c>
      <c r="Q698" s="70">
        <v>0.31468928413782898</v>
      </c>
      <c r="R698" s="70">
        <v>-0.61555023374532547</v>
      </c>
      <c r="S698" s="70">
        <v>-9.9227613340328466E-2</v>
      </c>
      <c r="T698" s="70">
        <v>50.359949099904789</v>
      </c>
      <c r="U698" s="70">
        <v>1</v>
      </c>
      <c r="V698" s="70">
        <v>-40.72</v>
      </c>
      <c r="W698" s="70">
        <v>94.289999999999992</v>
      </c>
    </row>
    <row r="699" spans="1:23" x14ac:dyDescent="0.25">
      <c r="A699" s="68">
        <v>43196</v>
      </c>
      <c r="B699" s="70">
        <v>141.5</v>
      </c>
      <c r="C699" s="70">
        <v>140.13999999999999</v>
      </c>
      <c r="D699" s="70">
        <v>141.97</v>
      </c>
      <c r="E699" s="70">
        <v>139.44999999999999</v>
      </c>
      <c r="F699" s="70">
        <v>27.36</v>
      </c>
      <c r="G699" s="70">
        <v>7.1000000000000004E-3</v>
      </c>
      <c r="H699" s="70">
        <v>140.92179487179487</v>
      </c>
      <c r="I699" s="70">
        <v>140.64707977207979</v>
      </c>
      <c r="J699" s="70">
        <v>0.27471509971508112</v>
      </c>
      <c r="K699" s="70">
        <v>-0.17036308958531918</v>
      </c>
      <c r="L699" s="70">
        <v>0.44507818930040033</v>
      </c>
      <c r="M699" s="70">
        <v>8.8474722491774932E-3</v>
      </c>
      <c r="N699" s="70">
        <v>0.24603174603174685</v>
      </c>
      <c r="O699" s="70">
        <v>0</v>
      </c>
      <c r="P699" s="70">
        <v>0.13715824481527036</v>
      </c>
      <c r="Q699" s="70">
        <v>0.13426035006346151</v>
      </c>
      <c r="R699" s="70">
        <v>1.0676846783852854E-2</v>
      </c>
      <c r="S699" s="70">
        <v>4.8840832999861042E-2</v>
      </c>
      <c r="T699" s="70">
        <v>50.116451033004793</v>
      </c>
      <c r="U699" s="70"/>
      <c r="V699" s="70">
        <v>-40.72</v>
      </c>
      <c r="W699" s="70">
        <v>100.78</v>
      </c>
    </row>
    <row r="700" spans="1:23" x14ac:dyDescent="0.25">
      <c r="A700" s="68">
        <v>43195</v>
      </c>
      <c r="B700" s="70">
        <v>140.5</v>
      </c>
      <c r="C700" s="70">
        <v>140.66</v>
      </c>
      <c r="D700" s="70">
        <v>141.35</v>
      </c>
      <c r="E700" s="70">
        <v>139.80000000000001</v>
      </c>
      <c r="F700" s="70">
        <v>20.47</v>
      </c>
      <c r="G700" s="70">
        <v>2.3E-3</v>
      </c>
      <c r="H700" s="70">
        <v>140.76865384615385</v>
      </c>
      <c r="I700" s="70">
        <v>140.63212250712252</v>
      </c>
      <c r="J700" s="70">
        <v>0.13653133903133607</v>
      </c>
      <c r="K700" s="70">
        <v>-0.2799916112693881</v>
      </c>
      <c r="L700" s="70">
        <v>0.41652295030072417</v>
      </c>
      <c r="M700" s="70">
        <v>-5.4000201760885998E-2</v>
      </c>
      <c r="N700" s="70">
        <v>0</v>
      </c>
      <c r="O700" s="70">
        <v>0</v>
      </c>
      <c r="P700" s="70">
        <v>0.10387708574397171</v>
      </c>
      <c r="Q700" s="70">
        <v>0.13426035006346151</v>
      </c>
      <c r="R700" s="70">
        <v>-0.12758709783059408</v>
      </c>
      <c r="S700" s="70">
        <v>2.916374157131588E-2</v>
      </c>
      <c r="T700" s="70">
        <v>50.085509468069084</v>
      </c>
      <c r="U700" s="70"/>
      <c r="V700" s="70">
        <v>-40.72</v>
      </c>
      <c r="W700" s="70">
        <v>99.78</v>
      </c>
    </row>
    <row r="701" spans="1:23" x14ac:dyDescent="0.25">
      <c r="A701" s="68">
        <v>43194</v>
      </c>
      <c r="B701" s="70">
        <v>140.18</v>
      </c>
      <c r="C701" s="70">
        <v>140.82</v>
      </c>
      <c r="D701" s="70">
        <v>141.52000000000001</v>
      </c>
      <c r="E701" s="70">
        <v>139.02000000000001</v>
      </c>
      <c r="F701" s="70">
        <v>22.25</v>
      </c>
      <c r="G701" s="70">
        <v>-6.7000000000000002E-3</v>
      </c>
      <c r="H701" s="70">
        <v>140.85692307692307</v>
      </c>
      <c r="I701" s="70">
        <v>140.822094017094</v>
      </c>
      <c r="J701" s="70">
        <v>3.482905982906459E-2</v>
      </c>
      <c r="K701" s="70">
        <v>-0.34373694207027183</v>
      </c>
      <c r="L701" s="70">
        <v>0.37856600189933642</v>
      </c>
      <c r="M701" s="70">
        <v>-0.12880963860450881</v>
      </c>
      <c r="N701" s="70">
        <v>0</v>
      </c>
      <c r="O701" s="70">
        <v>0.27199999999999136</v>
      </c>
      <c r="P701" s="70">
        <v>0.12557333820945521</v>
      </c>
      <c r="Q701" s="70">
        <v>0.17311749292060313</v>
      </c>
      <c r="R701" s="70">
        <v>-0.15917513949548009</v>
      </c>
      <c r="S701" s="70">
        <v>2.6275635942012005E-2</v>
      </c>
      <c r="T701" s="70">
        <v>37.710201544881471</v>
      </c>
      <c r="U701" s="70"/>
      <c r="V701" s="70">
        <v>-40.72</v>
      </c>
      <c r="W701" s="70">
        <v>99.460000000000008</v>
      </c>
    </row>
    <row r="702" spans="1:23" x14ac:dyDescent="0.25">
      <c r="A702" s="68">
        <v>43193</v>
      </c>
      <c r="B702" s="70">
        <v>141.13</v>
      </c>
      <c r="C702" s="70">
        <v>140.30000000000001</v>
      </c>
      <c r="D702" s="70">
        <v>141.30000000000001</v>
      </c>
      <c r="E702" s="70">
        <v>139.69999999999999</v>
      </c>
      <c r="F702" s="70">
        <v>13.87</v>
      </c>
      <c r="G702" s="70">
        <v>5.7999999999999996E-3</v>
      </c>
      <c r="H702" s="70">
        <v>140.98403846153846</v>
      </c>
      <c r="I702" s="70">
        <v>141.13534188034188</v>
      </c>
      <c r="J702" s="70">
        <v>-0.15130341880342257</v>
      </c>
      <c r="K702" s="70">
        <v>-0.43508689458689231</v>
      </c>
      <c r="L702" s="70">
        <v>0.28378347578346974</v>
      </c>
      <c r="M702" s="70">
        <v>-0.19624144516452235</v>
      </c>
      <c r="N702" s="70">
        <v>0</v>
      </c>
      <c r="O702" s="70">
        <v>0.38749999999999735</v>
      </c>
      <c r="P702" s="70">
        <v>0.14150599167424235</v>
      </c>
      <c r="Q702" s="70">
        <v>0.17168342698653863</v>
      </c>
      <c r="R702" s="70">
        <v>-9.6355219921978902E-2</v>
      </c>
      <c r="S702" s="70">
        <v>2.9809714164106813E-2</v>
      </c>
      <c r="T702" s="70">
        <v>50.236676949260719</v>
      </c>
      <c r="U702" s="70"/>
      <c r="V702" s="70">
        <v>-40.72</v>
      </c>
      <c r="W702" s="70">
        <v>100.41</v>
      </c>
    </row>
    <row r="703" spans="1:23" x14ac:dyDescent="0.25">
      <c r="A703" s="68">
        <v>43192</v>
      </c>
      <c r="B703" s="70">
        <v>140.32</v>
      </c>
      <c r="C703" s="70">
        <v>142.4</v>
      </c>
      <c r="D703" s="70">
        <v>143.69999999999999</v>
      </c>
      <c r="E703" s="70">
        <v>140.32</v>
      </c>
      <c r="F703" s="70">
        <v>18.5</v>
      </c>
      <c r="G703" s="70">
        <v>-1.41E-2</v>
      </c>
      <c r="H703" s="70">
        <v>140.85025641025641</v>
      </c>
      <c r="I703" s="70">
        <v>141.24770655270652</v>
      </c>
      <c r="J703" s="70">
        <v>-0.39745014245011134</v>
      </c>
      <c r="K703" s="70">
        <v>-0.4875153529597861</v>
      </c>
      <c r="L703" s="70">
        <v>9.0065210509674754E-2</v>
      </c>
      <c r="M703" s="70">
        <v>-0.25954137663538995</v>
      </c>
      <c r="N703" s="70">
        <v>0</v>
      </c>
      <c r="O703" s="70">
        <v>0.51183431952663327</v>
      </c>
      <c r="P703" s="70">
        <v>0.14150599167424235</v>
      </c>
      <c r="Q703" s="70">
        <v>0.18950148458241725</v>
      </c>
      <c r="R703" s="70">
        <v>-0.14499821409157451</v>
      </c>
      <c r="S703" s="70">
        <v>1.0752002281897592E-2</v>
      </c>
      <c r="T703" s="70">
        <v>37.781072179957206</v>
      </c>
      <c r="U703" s="70"/>
      <c r="V703" s="70">
        <v>-40.72</v>
      </c>
      <c r="W703" s="70">
        <v>99.6</v>
      </c>
    </row>
    <row r="704" spans="1:23" x14ac:dyDescent="0.25">
      <c r="A704" s="68">
        <v>43189</v>
      </c>
      <c r="B704" s="70">
        <v>142.33000000000001</v>
      </c>
      <c r="C704" s="70">
        <v>143</v>
      </c>
      <c r="D704" s="70">
        <v>143.31</v>
      </c>
      <c r="E704" s="70">
        <v>142.05000000000001</v>
      </c>
      <c r="F704" s="70">
        <v>8.3800000000000008</v>
      </c>
      <c r="G704" s="70">
        <v>-3.3E-3</v>
      </c>
      <c r="H704" s="70">
        <v>141.01352564102564</v>
      </c>
      <c r="I704" s="70">
        <v>141.52764957264958</v>
      </c>
      <c r="J704" s="70">
        <v>-0.5141239316239421</v>
      </c>
      <c r="K704" s="70">
        <v>-0.48509639126305426</v>
      </c>
      <c r="L704" s="70">
        <v>-2.9027540360887838E-2</v>
      </c>
      <c r="M704" s="70">
        <v>-0.2701638437535881</v>
      </c>
      <c r="N704" s="70">
        <v>0.40476190476190049</v>
      </c>
      <c r="O704" s="70">
        <v>0</v>
      </c>
      <c r="P704" s="70">
        <v>0.1993291209259424</v>
      </c>
      <c r="Q704" s="70">
        <v>0.10647905875547942</v>
      </c>
      <c r="R704" s="70">
        <v>0.30362190529759636</v>
      </c>
      <c r="S704" s="70">
        <v>7.3663442326381515E-2</v>
      </c>
      <c r="T704" s="70">
        <v>37.741203178206582</v>
      </c>
      <c r="U704" s="70"/>
      <c r="V704" s="70">
        <v>-40.72</v>
      </c>
      <c r="W704" s="70">
        <v>101.61000000000001</v>
      </c>
    </row>
    <row r="705" spans="1:23" x14ac:dyDescent="0.25">
      <c r="A705" s="68">
        <v>43188</v>
      </c>
      <c r="B705" s="70">
        <v>142.80000000000001</v>
      </c>
      <c r="C705" s="70">
        <v>140.69999999999999</v>
      </c>
      <c r="D705" s="70">
        <v>142.80000000000001</v>
      </c>
      <c r="E705" s="70">
        <v>140.69999999999999</v>
      </c>
      <c r="F705" s="70">
        <v>23.77</v>
      </c>
      <c r="G705" s="70">
        <v>1.66E-2</v>
      </c>
      <c r="H705" s="70">
        <v>140.83692307692306</v>
      </c>
      <c r="I705" s="70">
        <v>141.52649572649574</v>
      </c>
      <c r="J705" s="70">
        <v>-0.68957264957268194</v>
      </c>
      <c r="K705" s="70">
        <v>-0.50018233618233443</v>
      </c>
      <c r="L705" s="70">
        <v>-0.18939031339034751</v>
      </c>
      <c r="M705" s="70">
        <v>-0.23502240589420256</v>
      </c>
      <c r="N705" s="70">
        <v>0.48497854077253982</v>
      </c>
      <c r="O705" s="70">
        <v>0</v>
      </c>
      <c r="P705" s="70">
        <v>0.20556280195665763</v>
      </c>
      <c r="Q705" s="70">
        <v>0.10647905875547942</v>
      </c>
      <c r="R705" s="70">
        <v>0.31753349686817933</v>
      </c>
      <c r="S705" s="70">
        <v>5.8302868185293365E-2</v>
      </c>
      <c r="T705" s="70">
        <v>50.367973044866105</v>
      </c>
      <c r="U705" s="70"/>
      <c r="V705" s="70">
        <v>-40.72</v>
      </c>
      <c r="W705" s="70">
        <v>102.08000000000001</v>
      </c>
    </row>
    <row r="706" spans="1:23" x14ac:dyDescent="0.25">
      <c r="A706" s="68">
        <v>43187</v>
      </c>
      <c r="B706" s="70">
        <v>140.47</v>
      </c>
      <c r="C706" s="70">
        <v>140</v>
      </c>
      <c r="D706" s="70">
        <v>141.66999999999999</v>
      </c>
      <c r="E706" s="70">
        <v>139.13</v>
      </c>
      <c r="F706" s="70">
        <v>21.35</v>
      </c>
      <c r="G706" s="70">
        <v>-2.3E-3</v>
      </c>
      <c r="H706" s="70">
        <v>140.4749358974359</v>
      </c>
      <c r="I706" s="70">
        <v>141.19400284900286</v>
      </c>
      <c r="J706" s="70">
        <v>-0.71906695156695832</v>
      </c>
      <c r="K706" s="70">
        <v>-0.44583301677745346</v>
      </c>
      <c r="L706" s="70">
        <v>-0.27323393478950486</v>
      </c>
      <c r="M706" s="70">
        <v>-0.16749618915430567</v>
      </c>
      <c r="N706" s="70">
        <v>0</v>
      </c>
      <c r="O706" s="70">
        <v>0</v>
      </c>
      <c r="P706" s="70">
        <v>0.17023761212502841</v>
      </c>
      <c r="Q706" s="70">
        <v>0.10647905875547942</v>
      </c>
      <c r="R706" s="70">
        <v>0.2304109584965385</v>
      </c>
      <c r="S706" s="70">
        <v>3.9701330962250037E-2</v>
      </c>
      <c r="T706" s="70">
        <v>37.803024241939362</v>
      </c>
      <c r="U706" s="70"/>
      <c r="V706" s="70">
        <v>-40.72</v>
      </c>
      <c r="W706" s="70">
        <v>99.75</v>
      </c>
    </row>
    <row r="707" spans="1:23" x14ac:dyDescent="0.25">
      <c r="A707" s="68">
        <v>43186</v>
      </c>
      <c r="B707" s="70">
        <v>140.80000000000001</v>
      </c>
      <c r="C707" s="70">
        <v>139.21</v>
      </c>
      <c r="D707" s="70">
        <v>141.69999999999999</v>
      </c>
      <c r="E707" s="70">
        <v>139.01</v>
      </c>
      <c r="F707" s="70">
        <v>25.46</v>
      </c>
      <c r="G707" s="70">
        <v>1.83E-2</v>
      </c>
      <c r="H707" s="70">
        <v>140.58775641025639</v>
      </c>
      <c r="I707" s="70">
        <v>141.09700854700853</v>
      </c>
      <c r="J707" s="70">
        <v>-0.50925213675213854</v>
      </c>
      <c r="K707" s="70">
        <v>-0.32789474517251416</v>
      </c>
      <c r="L707" s="70">
        <v>-0.18135739157962438</v>
      </c>
      <c r="M707" s="70">
        <v>-5.915574896771067E-2</v>
      </c>
      <c r="N707" s="70">
        <v>0</v>
      </c>
      <c r="O707" s="70">
        <v>0</v>
      </c>
      <c r="P707" s="70">
        <v>0.17023761212502841</v>
      </c>
      <c r="Q707" s="70">
        <v>0.10647905875547942</v>
      </c>
      <c r="R707" s="70">
        <v>0.2304109584965385</v>
      </c>
      <c r="S707" s="70">
        <v>1.8118181252729466E-2</v>
      </c>
      <c r="T707" s="70">
        <v>50.313655103781642</v>
      </c>
      <c r="U707" s="70"/>
      <c r="V707" s="70">
        <v>-40.72</v>
      </c>
      <c r="W707" s="70">
        <v>100.08000000000001</v>
      </c>
    </row>
    <row r="708" spans="1:23" x14ac:dyDescent="0.25">
      <c r="A708" s="68">
        <v>43185</v>
      </c>
      <c r="B708" s="70">
        <v>138.27000000000001</v>
      </c>
      <c r="C708" s="70">
        <v>142.02000000000001</v>
      </c>
      <c r="D708" s="70">
        <v>142.08000000000001</v>
      </c>
      <c r="E708" s="70">
        <v>138.27000000000001</v>
      </c>
      <c r="F708" s="70">
        <v>27.59</v>
      </c>
      <c r="G708" s="70">
        <v>-2.63E-2</v>
      </c>
      <c r="H708" s="70">
        <v>140.12871794871793</v>
      </c>
      <c r="I708" s="70">
        <v>140.7764102564102</v>
      </c>
      <c r="J708" s="70">
        <v>-0.64769230769226738</v>
      </c>
      <c r="K708" s="70">
        <v>-0.25939411206075913</v>
      </c>
      <c r="L708" s="70">
        <v>-0.38829819563150825</v>
      </c>
      <c r="M708" s="70">
        <v>5.7272888555045878E-3</v>
      </c>
      <c r="N708" s="70">
        <v>0</v>
      </c>
      <c r="O708" s="70">
        <v>0</v>
      </c>
      <c r="P708" s="70">
        <v>0.17023761212502841</v>
      </c>
      <c r="Q708" s="70">
        <v>0.18483916019250418</v>
      </c>
      <c r="R708" s="70">
        <v>-4.1122228221726988E-2</v>
      </c>
      <c r="S708" s="70">
        <v>-5.7708676754709108E-2</v>
      </c>
      <c r="T708" s="70">
        <v>37.888840402888974</v>
      </c>
      <c r="U708" s="70"/>
      <c r="V708" s="70">
        <v>-40.72</v>
      </c>
      <c r="W708" s="70">
        <v>97.550000000000011</v>
      </c>
    </row>
    <row r="709" spans="1:23" x14ac:dyDescent="0.25">
      <c r="A709" s="68">
        <v>43182</v>
      </c>
      <c r="B709" s="70">
        <v>142</v>
      </c>
      <c r="C709" s="70">
        <v>138.79</v>
      </c>
      <c r="D709" s="70">
        <v>142.49</v>
      </c>
      <c r="E709" s="70">
        <v>137.82</v>
      </c>
      <c r="F709" s="70">
        <v>33.58</v>
      </c>
      <c r="G709" s="70">
        <v>1.7899999999999999E-2</v>
      </c>
      <c r="H709" s="70">
        <v>140.72301282051279</v>
      </c>
      <c r="I709" s="70">
        <v>141.07478632478629</v>
      </c>
      <c r="J709" s="70">
        <v>-0.35177350427349552</v>
      </c>
      <c r="K709" s="70">
        <v>-3.5227761949974165E-2</v>
      </c>
      <c r="L709" s="70">
        <v>-0.31654574232352134</v>
      </c>
      <c r="M709" s="70">
        <v>0.13978841544654155</v>
      </c>
      <c r="N709" s="70">
        <v>0</v>
      </c>
      <c r="O709" s="70">
        <v>0.2955032119914327</v>
      </c>
      <c r="P709" s="70">
        <v>0.20647951591660088</v>
      </c>
      <c r="Q709" s="70">
        <v>0.22705390476270884</v>
      </c>
      <c r="R709" s="70">
        <v>-4.7457445873191638E-2</v>
      </c>
      <c r="S709" s="70">
        <v>-4.2173633154120538E-2</v>
      </c>
      <c r="T709" s="70">
        <v>37.870965444802472</v>
      </c>
      <c r="U709" s="70"/>
      <c r="V709" s="70">
        <v>-40.72</v>
      </c>
      <c r="W709" s="70">
        <v>101.28</v>
      </c>
    </row>
    <row r="710" spans="1:23" x14ac:dyDescent="0.25">
      <c r="A710" s="68">
        <v>43181</v>
      </c>
      <c r="B710" s="70">
        <v>139.5</v>
      </c>
      <c r="C710" s="70">
        <v>141.69999999999999</v>
      </c>
      <c r="D710" s="70">
        <v>142.08000000000001</v>
      </c>
      <c r="E710" s="70">
        <v>139.19999999999999</v>
      </c>
      <c r="F710" s="70">
        <v>20.69</v>
      </c>
      <c r="G710" s="70">
        <v>-1.4200000000000001E-2</v>
      </c>
      <c r="H710" s="70">
        <v>140.23897435897433</v>
      </c>
      <c r="I710" s="70">
        <v>140.81303418803415</v>
      </c>
      <c r="J710" s="70">
        <v>-0.57405982905982</v>
      </c>
      <c r="K710" s="70">
        <v>4.8544159544167076E-2</v>
      </c>
      <c r="L710" s="70">
        <v>-0.62260398860398714</v>
      </c>
      <c r="M710" s="70">
        <v>0.21859401187606986</v>
      </c>
      <c r="N710" s="70">
        <v>0</v>
      </c>
      <c r="O710" s="70">
        <v>0.56944444444444486</v>
      </c>
      <c r="P710" s="70">
        <v>0.23155873117986528</v>
      </c>
      <c r="Q710" s="70">
        <v>0.24670463827853922</v>
      </c>
      <c r="R710" s="70">
        <v>-3.1668549309610494E-2</v>
      </c>
      <c r="S710" s="70">
        <v>-2.8839631969908779E-2</v>
      </c>
      <c r="T710" s="70">
        <v>37.912415382015169</v>
      </c>
      <c r="U710" s="70">
        <v>-1</v>
      </c>
      <c r="V710" s="70">
        <v>-40.72</v>
      </c>
      <c r="W710" s="70">
        <v>98.78</v>
      </c>
    </row>
    <row r="711" spans="1:23" x14ac:dyDescent="0.25">
      <c r="A711" s="68">
        <v>43180</v>
      </c>
      <c r="B711" s="70">
        <v>141.51</v>
      </c>
      <c r="C711" s="70">
        <v>142.69999999999999</v>
      </c>
      <c r="D711" s="70">
        <v>144</v>
      </c>
      <c r="E711" s="70">
        <v>140.84</v>
      </c>
      <c r="F711" s="70">
        <v>31.15</v>
      </c>
      <c r="G711" s="70">
        <v>-6.6E-3</v>
      </c>
      <c r="H711" s="70">
        <v>140.69628205128203</v>
      </c>
      <c r="I711" s="70">
        <v>140.88357549857545</v>
      </c>
      <c r="J711" s="70">
        <v>-0.18729344729342756</v>
      </c>
      <c r="K711" s="70">
        <v>0.25641468819247215</v>
      </c>
      <c r="L711" s="70">
        <v>-0.44370813548589971</v>
      </c>
      <c r="M711" s="70">
        <v>0.37163590508890476</v>
      </c>
      <c r="N711" s="70">
        <v>0.41139240506329516</v>
      </c>
      <c r="O711" s="70">
        <v>0</v>
      </c>
      <c r="P711" s="70">
        <v>0.29032907476033604</v>
      </c>
      <c r="Q711" s="70">
        <v>0.16568666098396564</v>
      </c>
      <c r="R711" s="70">
        <v>0.27332919460099558</v>
      </c>
      <c r="S711" s="70">
        <v>9.4081437643146713E-3</v>
      </c>
      <c r="T711" s="70">
        <v>50.403189996625279</v>
      </c>
      <c r="U711" s="70"/>
      <c r="V711" s="70">
        <v>-41.319999999999993</v>
      </c>
      <c r="W711" s="70">
        <v>98.78</v>
      </c>
    </row>
    <row r="712" spans="1:23" x14ac:dyDescent="0.25">
      <c r="A712" s="68">
        <v>43179</v>
      </c>
      <c r="B712" s="70">
        <v>142.44999999999999</v>
      </c>
      <c r="C712" s="70">
        <v>140.30000000000001</v>
      </c>
      <c r="D712" s="70">
        <v>142.69999999999999</v>
      </c>
      <c r="E712" s="70">
        <v>139.31</v>
      </c>
      <c r="F712" s="70">
        <v>25.94</v>
      </c>
      <c r="G712" s="70">
        <v>1.8200000000000001E-2</v>
      </c>
      <c r="H712" s="70">
        <v>140.63358974358974</v>
      </c>
      <c r="I712" s="70">
        <v>140.7413105413105</v>
      </c>
      <c r="J712" s="70">
        <v>-0.10772079772075926</v>
      </c>
      <c r="K712" s="70">
        <v>0.33852105096550472</v>
      </c>
      <c r="L712" s="70">
        <v>-0.44624184868626399</v>
      </c>
      <c r="M712" s="70">
        <v>0.49486114328850439</v>
      </c>
      <c r="N712" s="70">
        <v>0.27433628318583542</v>
      </c>
      <c r="O712" s="70">
        <v>0</v>
      </c>
      <c r="P712" s="70">
        <v>0.24362485481762447</v>
      </c>
      <c r="Q712" s="70">
        <v>0.23793625047493444</v>
      </c>
      <c r="R712" s="70">
        <v>1.1812840115553098E-2</v>
      </c>
      <c r="S712" s="70">
        <v>-5.2496228078025377E-2</v>
      </c>
      <c r="T712" s="70">
        <v>62.914472747972098</v>
      </c>
      <c r="U712" s="70"/>
      <c r="V712" s="70">
        <v>-41.319999999999993</v>
      </c>
      <c r="W712" s="70">
        <v>98.78</v>
      </c>
    </row>
    <row r="713" spans="1:23" x14ac:dyDescent="0.25">
      <c r="A713" s="68">
        <v>43178</v>
      </c>
      <c r="B713" s="70">
        <v>139.91</v>
      </c>
      <c r="C713" s="70">
        <v>141.44999999999999</v>
      </c>
      <c r="D713" s="70">
        <v>141.77000000000001</v>
      </c>
      <c r="E713" s="70">
        <v>139.43</v>
      </c>
      <c r="F713" s="70">
        <v>21.72</v>
      </c>
      <c r="G713" s="70">
        <v>-7.7000000000000002E-3</v>
      </c>
      <c r="H713" s="70">
        <v>140.07711538461538</v>
      </c>
      <c r="I713" s="70">
        <v>140.36619658119656</v>
      </c>
      <c r="J713" s="70">
        <v>-0.28908119658117926</v>
      </c>
      <c r="K713" s="70">
        <v>0.34676559037670246</v>
      </c>
      <c r="L713" s="70">
        <v>-0.63584678695788166</v>
      </c>
      <c r="M713" s="70">
        <v>0.59314099259398945</v>
      </c>
      <c r="N713" s="70">
        <v>0.32905982905983294</v>
      </c>
      <c r="O713" s="70">
        <v>0</v>
      </c>
      <c r="P713" s="70">
        <v>0.23335439764451413</v>
      </c>
      <c r="Q713" s="70">
        <v>0.286915842311669</v>
      </c>
      <c r="R713" s="70">
        <v>-0.10294927626778304</v>
      </c>
      <c r="S713" s="70">
        <v>-7.0773285544376868E-2</v>
      </c>
      <c r="T713" s="70">
        <v>50.419035548851774</v>
      </c>
      <c r="U713" s="70"/>
      <c r="V713" s="70">
        <v>-41.319999999999993</v>
      </c>
      <c r="W713" s="70">
        <v>98.78</v>
      </c>
    </row>
    <row r="714" spans="1:23" x14ac:dyDescent="0.25">
      <c r="A714" s="68">
        <v>43175</v>
      </c>
      <c r="B714" s="70">
        <v>141</v>
      </c>
      <c r="C714" s="70">
        <v>138.66</v>
      </c>
      <c r="D714" s="70">
        <v>141</v>
      </c>
      <c r="E714" s="70">
        <v>137.11000000000001</v>
      </c>
      <c r="F714" s="70">
        <v>42.46</v>
      </c>
      <c r="G714" s="70">
        <v>1.9900000000000001E-2</v>
      </c>
      <c r="H714" s="70">
        <v>140.47397435897432</v>
      </c>
      <c r="I714" s="70">
        <v>140.48575498575497</v>
      </c>
      <c r="J714" s="70">
        <v>-1.1780626780648618E-2</v>
      </c>
      <c r="K714" s="70">
        <v>0.42700696422917628</v>
      </c>
      <c r="L714" s="70">
        <v>-0.4387875910098249</v>
      </c>
      <c r="M714" s="70">
        <v>0.74329787907565614</v>
      </c>
      <c r="N714" s="70">
        <v>0.24164524421593855</v>
      </c>
      <c r="O714" s="70">
        <v>0</v>
      </c>
      <c r="P714" s="70">
        <v>0.19917034734418856</v>
      </c>
      <c r="Q714" s="70">
        <v>0.3261266315224578</v>
      </c>
      <c r="R714" s="70">
        <v>-0.24168477886962828</v>
      </c>
      <c r="S714" s="70">
        <v>-8.4722436941775489E-2</v>
      </c>
      <c r="T714" s="70">
        <v>50.388454299756489</v>
      </c>
      <c r="U714" s="70"/>
      <c r="V714" s="70">
        <v>-41.319999999999993</v>
      </c>
      <c r="W714" s="70">
        <v>98.78</v>
      </c>
    </row>
    <row r="715" spans="1:23" x14ac:dyDescent="0.25">
      <c r="A715" s="68">
        <v>43174</v>
      </c>
      <c r="B715" s="70">
        <v>138.25</v>
      </c>
      <c r="C715" s="70">
        <v>138.59</v>
      </c>
      <c r="D715" s="70">
        <v>140.06</v>
      </c>
      <c r="E715" s="70">
        <v>138</v>
      </c>
      <c r="F715" s="70">
        <v>34.270000000000003</v>
      </c>
      <c r="G715" s="70">
        <v>-4.0000000000000001E-3</v>
      </c>
      <c r="H715" s="70">
        <v>140.43871794871794</v>
      </c>
      <c r="I715" s="70">
        <v>140.30306267806267</v>
      </c>
      <c r="J715" s="70">
        <v>0.13565527065526339</v>
      </c>
      <c r="K715" s="70">
        <v>0.39219784742006264</v>
      </c>
      <c r="L715" s="70">
        <v>-0.25654257676479925</v>
      </c>
      <c r="M715" s="70">
        <v>0.84697399023894715</v>
      </c>
      <c r="N715" s="70">
        <v>0</v>
      </c>
      <c r="O715" s="70">
        <v>0.3883495145631119</v>
      </c>
      <c r="P715" s="70">
        <v>0.21465101063976186</v>
      </c>
      <c r="Q715" s="70">
        <v>0.38160513360290238</v>
      </c>
      <c r="R715" s="70">
        <v>-0.28000402943469466</v>
      </c>
      <c r="S715" s="70">
        <v>-4.2602913679124749E-2</v>
      </c>
      <c r="T715" s="70">
        <v>50.414991397063417</v>
      </c>
      <c r="U715" s="70"/>
      <c r="V715" s="70">
        <v>-41.319999999999993</v>
      </c>
      <c r="W715" s="70">
        <v>98.78</v>
      </c>
    </row>
    <row r="716" spans="1:23" x14ac:dyDescent="0.25">
      <c r="A716" s="68">
        <v>43173</v>
      </c>
      <c r="B716" s="70">
        <v>138.80000000000001</v>
      </c>
      <c r="C716" s="70">
        <v>141.82</v>
      </c>
      <c r="D716" s="70">
        <v>141.97999999999999</v>
      </c>
      <c r="E716" s="70">
        <v>138.80000000000001</v>
      </c>
      <c r="F716" s="70">
        <v>31.8</v>
      </c>
      <c r="G716" s="70">
        <v>-2.7699999999999999E-2</v>
      </c>
      <c r="H716" s="70">
        <v>141.14032051282052</v>
      </c>
      <c r="I716" s="70">
        <v>140.56745014245013</v>
      </c>
      <c r="J716" s="70">
        <v>0.57287037037039568</v>
      </c>
      <c r="K716" s="70">
        <v>0.38587828426717391</v>
      </c>
      <c r="L716" s="70">
        <v>0.18699208610322177</v>
      </c>
      <c r="M716" s="70">
        <v>0.94250356038390681</v>
      </c>
      <c r="N716" s="70">
        <v>0</v>
      </c>
      <c r="O716" s="70">
        <v>0.36163522012578148</v>
      </c>
      <c r="P716" s="70">
        <v>0.25354026509787853</v>
      </c>
      <c r="Q716" s="70">
        <v>0.3521833433274742</v>
      </c>
      <c r="R716" s="70">
        <v>-0.1628516320934387</v>
      </c>
      <c r="S716" s="70">
        <v>5.6308456922134799E-3</v>
      </c>
      <c r="T716" s="70">
        <v>50.400613174335803</v>
      </c>
      <c r="U716" s="70"/>
      <c r="V716" s="70">
        <v>-41.319999999999993</v>
      </c>
      <c r="W716" s="70">
        <v>98.78</v>
      </c>
    </row>
    <row r="717" spans="1:23" x14ac:dyDescent="0.25">
      <c r="A717" s="68">
        <v>43172</v>
      </c>
      <c r="B717" s="70">
        <v>142.75</v>
      </c>
      <c r="C717" s="70">
        <v>141</v>
      </c>
      <c r="D717" s="70">
        <v>142.93</v>
      </c>
      <c r="E717" s="70">
        <v>139.94999999999999</v>
      </c>
      <c r="F717" s="70">
        <v>22.92</v>
      </c>
      <c r="G717" s="70">
        <v>9.9000000000000008E-3</v>
      </c>
      <c r="H717" s="70">
        <v>142.25358974358974</v>
      </c>
      <c r="I717" s="70">
        <v>141.04522792022792</v>
      </c>
      <c r="J717" s="70">
        <v>1.2083618233618267</v>
      </c>
      <c r="K717" s="70">
        <v>0.35695821462487126</v>
      </c>
      <c r="L717" s="70">
        <v>0.85140360873695542</v>
      </c>
      <c r="M717" s="70">
        <v>1.0018132598645437</v>
      </c>
      <c r="N717" s="70">
        <v>0.32550335570469563</v>
      </c>
      <c r="O717" s="70">
        <v>0</v>
      </c>
      <c r="P717" s="70">
        <v>0.3000407444842636</v>
      </c>
      <c r="Q717" s="70">
        <v>0.27667708857593737</v>
      </c>
      <c r="R717" s="70">
        <v>4.0511415754829631E-2</v>
      </c>
      <c r="S717" s="70">
        <v>3.9108570598919722E-2</v>
      </c>
      <c r="T717" s="70">
        <v>50.342285882153959</v>
      </c>
      <c r="U717" s="70"/>
      <c r="V717" s="70">
        <v>-41.319999999999993</v>
      </c>
      <c r="W717" s="70">
        <v>98.78</v>
      </c>
    </row>
    <row r="718" spans="1:23" x14ac:dyDescent="0.25">
      <c r="A718" s="68">
        <v>43171</v>
      </c>
      <c r="B718" s="70">
        <v>141.35</v>
      </c>
      <c r="C718" s="70">
        <v>140.44</v>
      </c>
      <c r="D718" s="70">
        <v>141.96</v>
      </c>
      <c r="E718" s="70">
        <v>140.11000000000001</v>
      </c>
      <c r="F718" s="70">
        <v>16.95</v>
      </c>
      <c r="G718" s="70">
        <v>1.0999999999999999E-2</v>
      </c>
      <c r="H718" s="70">
        <v>142.12634615384616</v>
      </c>
      <c r="I718" s="70">
        <v>141.03554131054133</v>
      </c>
      <c r="J718" s="70">
        <v>1.0908048433048236</v>
      </c>
      <c r="K718" s="70">
        <v>7.4386356441894785E-2</v>
      </c>
      <c r="L718" s="70">
        <v>1.0164184868629289</v>
      </c>
      <c r="M718" s="70">
        <v>0.91481060566530359</v>
      </c>
      <c r="N718" s="70">
        <v>1</v>
      </c>
      <c r="O718" s="70">
        <v>0</v>
      </c>
      <c r="P718" s="70">
        <v>0.4365696663939857</v>
      </c>
      <c r="Q718" s="70">
        <v>0.27667708857593737</v>
      </c>
      <c r="R718" s="70">
        <v>0.22417568212391076</v>
      </c>
      <c r="S718" s="70">
        <v>7.5811877260099803E-2</v>
      </c>
      <c r="T718" s="70">
        <v>37.620801964867319</v>
      </c>
      <c r="U718" s="70"/>
      <c r="V718" s="70">
        <v>-41.319999999999993</v>
      </c>
      <c r="W718" s="70">
        <v>98.78</v>
      </c>
    </row>
    <row r="719" spans="1:23" x14ac:dyDescent="0.25">
      <c r="A719" s="68">
        <v>43168</v>
      </c>
      <c r="B719" s="70">
        <v>139.81</v>
      </c>
      <c r="C719" s="70">
        <v>138.88</v>
      </c>
      <c r="D719" s="70">
        <v>139.81</v>
      </c>
      <c r="E719" s="70">
        <v>137.79</v>
      </c>
      <c r="F719" s="70">
        <v>12.1</v>
      </c>
      <c r="G719" s="70">
        <v>8.9999999999999993E-3</v>
      </c>
      <c r="H719" s="70">
        <v>141.8873076923077</v>
      </c>
      <c r="I719" s="70">
        <v>140.99304843304847</v>
      </c>
      <c r="J719" s="70">
        <v>0.89425925925922911</v>
      </c>
      <c r="K719" s="70">
        <v>-0.27660430515988238</v>
      </c>
      <c r="L719" s="70">
        <v>1.1708635644191114</v>
      </c>
      <c r="M719" s="70"/>
      <c r="N719" s="70">
        <v>0</v>
      </c>
      <c r="O719" s="70">
        <v>0</v>
      </c>
      <c r="P719" s="70">
        <v>0.22777845760277687</v>
      </c>
      <c r="Q719" s="70">
        <v>0.27667708857593737</v>
      </c>
      <c r="R719" s="70">
        <v>-9.693347876452349E-2</v>
      </c>
      <c r="S719" s="70">
        <v>5.9407576592209223E-3</v>
      </c>
      <c r="T719" s="70">
        <v>24.928026645643072</v>
      </c>
      <c r="U719" s="70"/>
      <c r="V719" s="70">
        <v>-41.319999999999993</v>
      </c>
      <c r="W719" s="70">
        <v>98.78</v>
      </c>
    </row>
    <row r="720" spans="1:23" x14ac:dyDescent="0.25">
      <c r="A720" s="68">
        <v>43166</v>
      </c>
      <c r="B720" s="70">
        <v>138.56</v>
      </c>
      <c r="C720" s="70">
        <v>139.97999999999999</v>
      </c>
      <c r="D720" s="70">
        <v>139.97999999999999</v>
      </c>
      <c r="E720" s="70">
        <v>137.38</v>
      </c>
      <c r="F720" s="70">
        <v>28.24</v>
      </c>
      <c r="G720" s="70">
        <v>-1.44E-2</v>
      </c>
      <c r="H720" s="70">
        <v>141.58923076923077</v>
      </c>
      <c r="I720" s="70">
        <v>141.03186609686608</v>
      </c>
      <c r="J720" s="70">
        <v>0.55736467236468457</v>
      </c>
      <c r="K720" s="70">
        <v>-0.69370908515353769</v>
      </c>
      <c r="L720" s="70">
        <v>1.2510737575182223</v>
      </c>
      <c r="M720" s="70"/>
      <c r="N720" s="70">
        <v>0</v>
      </c>
      <c r="O720" s="70">
        <v>1.1884615384615425</v>
      </c>
      <c r="P720" s="70">
        <v>0.22777845760277687</v>
      </c>
      <c r="Q720" s="70">
        <v>0.45348704332706896</v>
      </c>
      <c r="R720" s="70">
        <v>-0.33130781672670478</v>
      </c>
      <c r="S720" s="70">
        <v>-3.4454165260350035E-2</v>
      </c>
      <c r="T720" s="70">
        <v>25.403140623899731</v>
      </c>
      <c r="U720" s="70"/>
      <c r="V720" s="70">
        <v>-41.319999999999993</v>
      </c>
      <c r="W720" s="70">
        <v>98.78</v>
      </c>
    </row>
    <row r="721" spans="1:23" x14ac:dyDescent="0.25">
      <c r="A721" s="68">
        <v>43165</v>
      </c>
      <c r="B721" s="70">
        <v>140.59</v>
      </c>
      <c r="C721" s="70">
        <v>142.25</v>
      </c>
      <c r="D721" s="70">
        <v>143.49</v>
      </c>
      <c r="E721" s="70">
        <v>140.47</v>
      </c>
      <c r="F721" s="70">
        <v>24.4</v>
      </c>
      <c r="G721" s="70">
        <v>-7.1000000000000004E-3</v>
      </c>
      <c r="H721" s="70">
        <v>141.79576923076922</v>
      </c>
      <c r="I721" s="70">
        <v>141.40267806267806</v>
      </c>
      <c r="J721" s="70">
        <v>0.39309116809116063</v>
      </c>
      <c r="K721" s="70">
        <v>-1.0964074074074202</v>
      </c>
      <c r="L721" s="70">
        <v>1.4894985754985808</v>
      </c>
      <c r="M721" s="70"/>
      <c r="N721" s="70">
        <v>0.54966887417218246</v>
      </c>
      <c r="O721" s="70">
        <v>0</v>
      </c>
      <c r="P721" s="70">
        <v>0.31334897121029548</v>
      </c>
      <c r="Q721" s="70">
        <v>0.20534672210982385</v>
      </c>
      <c r="R721" s="70">
        <v>0.20821890463203968</v>
      </c>
      <c r="S721" s="70">
        <v>5.3177804236984108E-2</v>
      </c>
      <c r="T721" s="70">
        <v>38.003830378927674</v>
      </c>
      <c r="U721" s="70"/>
      <c r="V721" s="70">
        <v>-41.319999999999993</v>
      </c>
      <c r="W721" s="70">
        <v>98.78</v>
      </c>
    </row>
    <row r="722" spans="1:23" x14ac:dyDescent="0.25">
      <c r="A722" s="68">
        <v>43164</v>
      </c>
      <c r="B722" s="70">
        <v>141.6</v>
      </c>
      <c r="C722" s="70">
        <v>138.83000000000001</v>
      </c>
      <c r="D722" s="70">
        <v>141.83000000000001</v>
      </c>
      <c r="E722" s="70">
        <v>138.57</v>
      </c>
      <c r="F722" s="70">
        <v>23.25</v>
      </c>
      <c r="G722" s="70">
        <v>2.1899999999999999E-2</v>
      </c>
      <c r="H722" s="70">
        <v>141.70224358974357</v>
      </c>
      <c r="I722" s="70">
        <v>141.71253561253562</v>
      </c>
      <c r="J722" s="70">
        <v>-1.0292022792043554E-2</v>
      </c>
      <c r="K722" s="70">
        <v>-1.5520906932573768</v>
      </c>
      <c r="L722" s="70">
        <v>1.5417986704653333</v>
      </c>
      <c r="M722" s="70"/>
      <c r="N722" s="70">
        <v>0.38036809815950973</v>
      </c>
      <c r="O722" s="70">
        <v>0</v>
      </c>
      <c r="P722" s="70">
        <v>0.26165054114419944</v>
      </c>
      <c r="Q722" s="70">
        <v>0.20534672210982385</v>
      </c>
      <c r="R722" s="70">
        <v>0.1205656295329275</v>
      </c>
      <c r="S722" s="70">
        <v>1.0453095699506164E-2</v>
      </c>
      <c r="T722" s="70">
        <v>50.446420786467876</v>
      </c>
      <c r="U722" s="70"/>
      <c r="V722" s="70">
        <v>-41.319999999999993</v>
      </c>
      <c r="W722" s="70">
        <v>98.78</v>
      </c>
    </row>
    <row r="723" spans="1:23" x14ac:dyDescent="0.25">
      <c r="A723" s="68">
        <v>43161</v>
      </c>
      <c r="B723" s="70">
        <v>138.57</v>
      </c>
      <c r="C723" s="70">
        <v>139.65</v>
      </c>
      <c r="D723" s="70">
        <v>140.59</v>
      </c>
      <c r="E723" s="70">
        <v>137.77000000000001</v>
      </c>
      <c r="F723" s="70">
        <v>26.84</v>
      </c>
      <c r="G723" s="70">
        <v>-1.09E-2</v>
      </c>
      <c r="H723" s="70">
        <v>141.04499999999999</v>
      </c>
      <c r="I723" s="70">
        <v>141.78011396011397</v>
      </c>
      <c r="J723" s="70">
        <v>-0.73511396011397778</v>
      </c>
      <c r="K723" s="70">
        <v>-2.0460376701487988</v>
      </c>
      <c r="L723" s="70">
        <v>1.310923710034821</v>
      </c>
      <c r="M723" s="70"/>
      <c r="N723" s="70">
        <v>0</v>
      </c>
      <c r="O723" s="70">
        <v>0.57446808510637593</v>
      </c>
      <c r="P723" s="70">
        <v>0.22932878752533828</v>
      </c>
      <c r="Q723" s="70">
        <v>0.28741359141073469</v>
      </c>
      <c r="R723" s="70">
        <v>-0.11240572914686793</v>
      </c>
      <c r="S723" s="70">
        <v>-4.2015041172531548E-2</v>
      </c>
      <c r="T723" s="70">
        <v>50.434320001395399</v>
      </c>
      <c r="U723" s="70"/>
      <c r="V723" s="70">
        <v>-41.319999999999993</v>
      </c>
      <c r="W723" s="70">
        <v>98.78</v>
      </c>
    </row>
    <row r="724" spans="1:23" x14ac:dyDescent="0.25">
      <c r="A724" s="68">
        <v>43160</v>
      </c>
      <c r="B724" s="70">
        <v>140.1</v>
      </c>
      <c r="C724" s="70">
        <v>141</v>
      </c>
      <c r="D724" s="70">
        <v>142</v>
      </c>
      <c r="E724" s="70">
        <v>139.38999999999999</v>
      </c>
      <c r="F724" s="70">
        <v>47.45</v>
      </c>
      <c r="G724" s="70">
        <v>-2.1399999999999999E-2</v>
      </c>
      <c r="H724" s="70">
        <v>141.37064102564102</v>
      </c>
      <c r="I724" s="70">
        <v>142.2898148148148</v>
      </c>
      <c r="J724" s="70">
        <v>-0.91917378917378301</v>
      </c>
      <c r="K724" s="70">
        <v>-2.3498714783159333</v>
      </c>
      <c r="L724" s="70">
        <v>1.4306976891421503</v>
      </c>
      <c r="M724" s="70"/>
      <c r="N724" s="70">
        <v>0</v>
      </c>
      <c r="O724" s="70">
        <v>1.0957854406130263</v>
      </c>
      <c r="P724" s="70">
        <v>0.26567039867009928</v>
      </c>
      <c r="Q724" s="70">
        <v>0.32401048273983579</v>
      </c>
      <c r="R724" s="70">
        <v>-9.8935010289369685E-2</v>
      </c>
      <c r="S724" s="70">
        <v>-4.6291877285775045E-2</v>
      </c>
      <c r="T724" s="70">
        <v>62.510904078997868</v>
      </c>
      <c r="U724" s="70">
        <v>1</v>
      </c>
      <c r="V724" s="70">
        <v>-41.319999999999993</v>
      </c>
      <c r="W724" s="70">
        <v>98.78</v>
      </c>
    </row>
    <row r="725" spans="1:23" x14ac:dyDescent="0.25">
      <c r="A725" s="68">
        <v>43159</v>
      </c>
      <c r="B725" s="70">
        <v>143.16</v>
      </c>
      <c r="C725" s="70">
        <v>145.5</v>
      </c>
      <c r="D725" s="70">
        <v>145.75</v>
      </c>
      <c r="E725" s="70">
        <v>142.25</v>
      </c>
      <c r="F725" s="70">
        <v>36.28</v>
      </c>
      <c r="G725" s="70">
        <v>-2.2800000000000001E-2</v>
      </c>
      <c r="H725" s="70">
        <v>141.64397435897433</v>
      </c>
      <c r="I725" s="70">
        <v>142.82631054131056</v>
      </c>
      <c r="J725" s="70">
        <v>-1.1823361823362291</v>
      </c>
      <c r="K725" s="70">
        <v>-2.6374827477049925</v>
      </c>
      <c r="L725" s="70">
        <v>1.4551465653687634</v>
      </c>
      <c r="M725" s="70"/>
      <c r="N725" s="70">
        <v>0</v>
      </c>
      <c r="O725" s="70">
        <v>0.74285714285714122</v>
      </c>
      <c r="P725" s="70">
        <v>0.26567039867009928</v>
      </c>
      <c r="Q725" s="70">
        <v>0.27471534606311504</v>
      </c>
      <c r="R725" s="70">
        <v>-1.6737945960216254E-2</v>
      </c>
      <c r="S725" s="70">
        <v>-7.0556035897562527E-2</v>
      </c>
      <c r="T725" s="70">
        <v>62.677115768113914</v>
      </c>
      <c r="U725" s="70"/>
      <c r="V725" s="70">
        <v>-41.319999999999993</v>
      </c>
      <c r="W725" s="70">
        <v>101.84</v>
      </c>
    </row>
    <row r="726" spans="1:23" x14ac:dyDescent="0.25">
      <c r="A726" s="68">
        <v>43158</v>
      </c>
      <c r="B726" s="70">
        <v>146.5</v>
      </c>
      <c r="C726" s="70">
        <v>147.19999999999999</v>
      </c>
      <c r="D726" s="70">
        <v>147.49</v>
      </c>
      <c r="E726" s="70">
        <v>144.85</v>
      </c>
      <c r="F726" s="70">
        <v>24.78</v>
      </c>
      <c r="G726" s="70">
        <v>-3.3999999999999998E-3</v>
      </c>
      <c r="H726" s="70">
        <v>141.62192307692305</v>
      </c>
      <c r="I726" s="70">
        <v>143.32799145299145</v>
      </c>
      <c r="J726" s="70">
        <v>-1.7060683760684014</v>
      </c>
      <c r="K726" s="70">
        <v>-2.9206394428616758</v>
      </c>
      <c r="L726" s="70">
        <v>1.2145710667932743</v>
      </c>
      <c r="M726" s="70"/>
      <c r="N726" s="70">
        <v>0</v>
      </c>
      <c r="O726" s="70">
        <v>0.59469696969696373</v>
      </c>
      <c r="P726" s="70">
        <v>0.26567039867009928</v>
      </c>
      <c r="Q726" s="70">
        <v>0.27316987895160977</v>
      </c>
      <c r="R726" s="70">
        <v>-1.3917816824330768E-2</v>
      </c>
      <c r="S726" s="70">
        <v>-0.10405187566193111</v>
      </c>
      <c r="T726" s="70">
        <v>63.013313167197204</v>
      </c>
      <c r="U726" s="70"/>
      <c r="V726" s="70">
        <v>-41.319999999999993</v>
      </c>
      <c r="W726" s="70">
        <v>105.18</v>
      </c>
    </row>
    <row r="727" spans="1:23" x14ac:dyDescent="0.25">
      <c r="A727" s="68">
        <v>43157</v>
      </c>
      <c r="B727" s="70">
        <v>147</v>
      </c>
      <c r="C727" s="70">
        <v>148.5</v>
      </c>
      <c r="D727" s="70">
        <v>149.97999999999999</v>
      </c>
      <c r="E727" s="70">
        <v>146.41999999999999</v>
      </c>
      <c r="F727" s="70">
        <v>37.28</v>
      </c>
      <c r="G727" s="70">
        <v>7.1000000000000004E-3</v>
      </c>
      <c r="H727" s="70">
        <v>141.04307692307688</v>
      </c>
      <c r="I727" s="70">
        <v>143.45868945868946</v>
      </c>
      <c r="J727" s="70">
        <v>-2.4156125356125813</v>
      </c>
      <c r="K727" s="70">
        <v>-3.1543817663817793</v>
      </c>
      <c r="L727" s="70">
        <v>0.73876923076919798</v>
      </c>
      <c r="M727" s="70"/>
      <c r="N727" s="70">
        <v>1</v>
      </c>
      <c r="O727" s="70">
        <v>0</v>
      </c>
      <c r="P727" s="70">
        <v>0.42425240244038748</v>
      </c>
      <c r="Q727" s="70">
        <v>0.14900237978411185</v>
      </c>
      <c r="R727" s="70">
        <v>0.48015303350488509</v>
      </c>
      <c r="S727" s="70">
        <v>-4.2325907864699738E-2</v>
      </c>
      <c r="T727" s="70">
        <v>63.437823673657277</v>
      </c>
      <c r="U727" s="70"/>
      <c r="V727" s="70">
        <v>-41.319999999999993</v>
      </c>
      <c r="W727" s="70">
        <v>105.68</v>
      </c>
    </row>
    <row r="728" spans="1:23" x14ac:dyDescent="0.25">
      <c r="A728" s="68">
        <v>43153</v>
      </c>
      <c r="B728" s="70">
        <v>145.97</v>
      </c>
      <c r="C728" s="70">
        <v>143.49</v>
      </c>
      <c r="D728" s="70">
        <v>145.97</v>
      </c>
      <c r="E728" s="70">
        <v>142.63</v>
      </c>
      <c r="F728" s="70">
        <v>29.89</v>
      </c>
      <c r="G728" s="70">
        <v>1.37E-2</v>
      </c>
      <c r="H728" s="70">
        <v>140.46153846153848</v>
      </c>
      <c r="I728" s="70">
        <v>143.50169515669515</v>
      </c>
      <c r="J728" s="70">
        <v>-3.0401566951566679</v>
      </c>
      <c r="K728" s="70">
        <v>-3.2714874960430471</v>
      </c>
      <c r="L728" s="70">
        <v>0.23133080088637925</v>
      </c>
      <c r="M728" s="70"/>
      <c r="N728" s="70">
        <v>0.58982035928143617</v>
      </c>
      <c r="O728" s="70">
        <v>0</v>
      </c>
      <c r="P728" s="70">
        <v>0.29972124497509811</v>
      </c>
      <c r="Q728" s="70">
        <v>0.20076879518689131</v>
      </c>
      <c r="R728" s="70">
        <v>0.19771112679121386</v>
      </c>
      <c r="S728" s="70">
        <v>-0.14242648828286575</v>
      </c>
      <c r="T728" s="70">
        <v>63.204924897101016</v>
      </c>
      <c r="U728" s="70"/>
      <c r="V728" s="70">
        <v>-41.319999999999993</v>
      </c>
      <c r="W728" s="70">
        <v>104.65</v>
      </c>
    </row>
    <row r="729" spans="1:23" x14ac:dyDescent="0.25">
      <c r="A729" s="68">
        <v>43152</v>
      </c>
      <c r="B729" s="70">
        <v>144</v>
      </c>
      <c r="C729" s="70">
        <v>140.9</v>
      </c>
      <c r="D729" s="70">
        <v>144</v>
      </c>
      <c r="E729" s="70">
        <v>140.53</v>
      </c>
      <c r="F729" s="70">
        <v>24.9</v>
      </c>
      <c r="G729" s="70">
        <v>1.9E-2</v>
      </c>
      <c r="H729" s="70">
        <v>139.84961538461539</v>
      </c>
      <c r="I729" s="70">
        <v>143.45299145299145</v>
      </c>
      <c r="J729" s="70">
        <v>-3.6033760683760647</v>
      </c>
      <c r="K729" s="70">
        <v>-3.2503402975625204</v>
      </c>
      <c r="L729" s="70">
        <v>-0.35303577081354431</v>
      </c>
      <c r="M729" s="70"/>
      <c r="N729" s="70">
        <v>0</v>
      </c>
      <c r="O729" s="70">
        <v>0</v>
      </c>
      <c r="P729" s="70">
        <v>0.17657193919106198</v>
      </c>
      <c r="Q729" s="70">
        <v>0.21395560837370425</v>
      </c>
      <c r="R729" s="70">
        <v>-9.5726074679642031E-2</v>
      </c>
      <c r="S729" s="70">
        <v>-0.20356198807435449</v>
      </c>
      <c r="T729" s="70">
        <v>62.918503488090217</v>
      </c>
      <c r="U729" s="70"/>
      <c r="V729" s="70">
        <v>-41.319999999999993</v>
      </c>
      <c r="W729" s="70">
        <v>102.68</v>
      </c>
    </row>
    <row r="730" spans="1:23" x14ac:dyDescent="0.25">
      <c r="A730" s="68">
        <v>43151</v>
      </c>
      <c r="B730" s="70">
        <v>141.32</v>
      </c>
      <c r="C730" s="70">
        <v>138.78</v>
      </c>
      <c r="D730" s="70">
        <v>144.29</v>
      </c>
      <c r="E730" s="70">
        <v>138.78</v>
      </c>
      <c r="F730" s="70">
        <v>62.79</v>
      </c>
      <c r="G730" s="70">
        <v>2.18E-2</v>
      </c>
      <c r="H730" s="70">
        <v>139.47467948717949</v>
      </c>
      <c r="I730" s="70">
        <v>143.30041310541313</v>
      </c>
      <c r="J730" s="70">
        <v>-3.8257336182336417</v>
      </c>
      <c r="K730" s="70">
        <v>-3.0000647356758452</v>
      </c>
      <c r="L730" s="70">
        <v>-0.82566888255779647</v>
      </c>
      <c r="M730" s="70"/>
      <c r="N730" s="70">
        <v>0.93478260869565433</v>
      </c>
      <c r="O730" s="70">
        <v>0</v>
      </c>
      <c r="P730" s="70">
        <v>0.32042507602078796</v>
      </c>
      <c r="Q730" s="70">
        <v>0.21395560837370425</v>
      </c>
      <c r="R730" s="70">
        <v>0.19923898964971845</v>
      </c>
      <c r="S730" s="70">
        <v>-0.14343374852258628</v>
      </c>
      <c r="T730" s="70">
        <v>50.371375582394712</v>
      </c>
      <c r="U730" s="70">
        <v>-1</v>
      </c>
      <c r="V730" s="70">
        <v>-41.319999999999993</v>
      </c>
      <c r="W730" s="70">
        <v>100</v>
      </c>
    </row>
    <row r="731" spans="1:23" x14ac:dyDescent="0.25">
      <c r="A731" s="68">
        <v>43150</v>
      </c>
      <c r="B731" s="70">
        <v>138.31</v>
      </c>
      <c r="C731" s="70">
        <v>137.36000000000001</v>
      </c>
      <c r="D731" s="70">
        <v>138.69999999999999</v>
      </c>
      <c r="E731" s="70">
        <v>137.13</v>
      </c>
      <c r="F731" s="70">
        <v>14.46</v>
      </c>
      <c r="G731" s="70">
        <v>9.1000000000000004E-3</v>
      </c>
      <c r="H731" s="70">
        <v>139.20057692307691</v>
      </c>
      <c r="I731" s="70">
        <v>143.1369230769231</v>
      </c>
      <c r="J731" s="70">
        <v>-3.9363461538461877</v>
      </c>
      <c r="K731" s="70"/>
      <c r="M731" s="70"/>
      <c r="N731" s="70">
        <v>0</v>
      </c>
      <c r="O731" s="70">
        <v>0</v>
      </c>
      <c r="P731" s="70">
        <v>0.16147104378300228</v>
      </c>
      <c r="Q731" s="70">
        <v>0.21395560837370425</v>
      </c>
      <c r="R731" s="70">
        <v>-0.13979978323114478</v>
      </c>
      <c r="S731" s="70">
        <v>-0.19022660285029852</v>
      </c>
      <c r="T731" s="70">
        <v>37.72690536945052</v>
      </c>
      <c r="U731" s="70"/>
      <c r="V731" s="70"/>
      <c r="W731" s="70">
        <v>100</v>
      </c>
    </row>
    <row r="732" spans="1:23" x14ac:dyDescent="0.25">
      <c r="A732" s="68">
        <v>43147</v>
      </c>
      <c r="B732" s="70">
        <v>137.06</v>
      </c>
      <c r="C732" s="70">
        <v>137.84</v>
      </c>
      <c r="D732" s="70">
        <v>139.49</v>
      </c>
      <c r="E732" s="70">
        <v>136.77000000000001</v>
      </c>
      <c r="F732" s="70">
        <v>24.65</v>
      </c>
      <c r="G732" s="70">
        <v>0</v>
      </c>
      <c r="H732" s="70">
        <v>139.50749999999999</v>
      </c>
      <c r="I732" s="70">
        <v>143.24660968660967</v>
      </c>
      <c r="J732" s="70">
        <v>-3.7391096866096802</v>
      </c>
      <c r="K732" s="70"/>
      <c r="M732" s="70"/>
      <c r="N732" s="70">
        <v>0</v>
      </c>
      <c r="O732" s="70">
        <v>0.10661764705882065</v>
      </c>
      <c r="P732" s="70">
        <v>0.16147104378300228</v>
      </c>
      <c r="Q732" s="70">
        <v>0.24310611473009247</v>
      </c>
      <c r="R732" s="70">
        <v>-0.20177874412662364</v>
      </c>
      <c r="S732" s="70">
        <v>-0.19302052333918304</v>
      </c>
      <c r="T732" s="70">
        <v>25.105985941010218</v>
      </c>
      <c r="U732" s="70"/>
      <c r="V732" s="70"/>
      <c r="W732" s="70"/>
    </row>
    <row r="733" spans="1:23" x14ac:dyDescent="0.25">
      <c r="A733" s="68">
        <v>43146</v>
      </c>
      <c r="B733" s="70">
        <v>137.06</v>
      </c>
      <c r="C733" s="70">
        <v>139.77000000000001</v>
      </c>
      <c r="D733" s="70">
        <v>140.99</v>
      </c>
      <c r="E733" s="70">
        <v>137.06</v>
      </c>
      <c r="F733" s="70">
        <v>29.14</v>
      </c>
      <c r="G733" s="70">
        <v>-1.32E-2</v>
      </c>
      <c r="H733" s="70">
        <v>139.95173076923078</v>
      </c>
      <c r="I733" s="70">
        <v>143.51441595441597</v>
      </c>
      <c r="J733" s="70">
        <v>-3.5626851851851882</v>
      </c>
      <c r="K733" s="70"/>
      <c r="M733" s="70"/>
      <c r="N733" s="70">
        <v>0.10687022900763746</v>
      </c>
      <c r="O733" s="70">
        <v>0</v>
      </c>
      <c r="P733" s="70">
        <v>0.17673821935552192</v>
      </c>
      <c r="Q733" s="70">
        <v>0.24975234085980225</v>
      </c>
      <c r="R733" s="70">
        <v>-0.17119750896108313</v>
      </c>
      <c r="S733" s="70">
        <v>-0.18338768175092779</v>
      </c>
      <c r="T733" s="70">
        <v>25.003383102530563</v>
      </c>
      <c r="U733" s="70"/>
      <c r="V733" s="70"/>
      <c r="W733" s="70"/>
    </row>
    <row r="734" spans="1:23" x14ac:dyDescent="0.25">
      <c r="A734" s="68">
        <v>43145</v>
      </c>
      <c r="B734" s="70">
        <v>138.88999999999999</v>
      </c>
      <c r="C734" s="70">
        <v>140.01</v>
      </c>
      <c r="D734" s="70">
        <v>140.57</v>
      </c>
      <c r="E734" s="70">
        <v>137.02000000000001</v>
      </c>
      <c r="F734" s="70">
        <v>34.130000000000003</v>
      </c>
      <c r="G734" s="70">
        <v>-6.8999999999999999E-3</v>
      </c>
      <c r="H734" s="70">
        <v>140.68737179487181</v>
      </c>
      <c r="I734" s="70">
        <v>143.87682336182334</v>
      </c>
      <c r="J734" s="70">
        <v>-3.1894515669515329</v>
      </c>
      <c r="K734" s="70"/>
      <c r="M734" s="70"/>
      <c r="N734" s="70">
        <v>0.13239436619718342</v>
      </c>
      <c r="O734" s="70">
        <v>0</v>
      </c>
      <c r="P734" s="70">
        <v>0.17333813594253589</v>
      </c>
      <c r="Q734" s="70">
        <v>0.28880882577615963</v>
      </c>
      <c r="R734" s="70">
        <v>-0.24985707880496608</v>
      </c>
      <c r="S734" s="70">
        <v>-0.18472707209856368</v>
      </c>
      <c r="T734" s="70">
        <v>37.787655029034347</v>
      </c>
      <c r="U734" s="70"/>
      <c r="V734" s="70"/>
      <c r="W734" s="70"/>
    </row>
    <row r="735" spans="1:23" x14ac:dyDescent="0.25">
      <c r="A735" s="68">
        <v>43144</v>
      </c>
      <c r="B735" s="70">
        <v>139.85</v>
      </c>
      <c r="C735" s="70">
        <v>138.12</v>
      </c>
      <c r="D735" s="70">
        <v>140.1</v>
      </c>
      <c r="E735" s="70">
        <v>137.44999999999999</v>
      </c>
      <c r="F735" s="85">
        <v>36.44</v>
      </c>
      <c r="G735" s="70">
        <v>1.8599999999999998E-2</v>
      </c>
      <c r="H735" s="85">
        <v>141.24826923076924</v>
      </c>
      <c r="I735" s="85">
        <v>143.9874643874644</v>
      </c>
      <c r="J735" s="70">
        <v>-2.7391951566951604</v>
      </c>
      <c r="K735" s="70"/>
      <c r="M735" s="70"/>
      <c r="N735" s="70">
        <v>0.71428571428571863</v>
      </c>
      <c r="O735" s="70">
        <v>0</v>
      </c>
      <c r="P735" s="70">
        <v>0.24773617251361124</v>
      </c>
      <c r="Q735" s="70">
        <v>0.34952776785103395</v>
      </c>
      <c r="R735" s="70">
        <v>-0.17042983588675437</v>
      </c>
      <c r="S735" s="70">
        <v>-0.15457107820841576</v>
      </c>
      <c r="T735" s="70">
        <v>37.61540725939539</v>
      </c>
      <c r="U735" s="70"/>
      <c r="V735" s="70"/>
      <c r="W735" s="70"/>
    </row>
    <row r="736" spans="1:23" x14ac:dyDescent="0.25">
      <c r="A736" s="68">
        <v>43143</v>
      </c>
      <c r="B736" s="70">
        <v>137.30000000000001</v>
      </c>
      <c r="C736" s="70">
        <v>136.94999999999999</v>
      </c>
      <c r="D736" s="70">
        <v>138.1</v>
      </c>
      <c r="E736" s="70">
        <v>136.03</v>
      </c>
      <c r="F736" s="85">
        <v>29.44</v>
      </c>
      <c r="G736" s="70">
        <v>1.2800000000000001E-2</v>
      </c>
      <c r="H736" s="85">
        <v>141.37352564102562</v>
      </c>
      <c r="I736" s="85">
        <v>143.70135327635327</v>
      </c>
      <c r="J736" s="70">
        <v>-2.327827635327651</v>
      </c>
      <c r="K736" s="70"/>
      <c r="M736" s="70"/>
      <c r="N736" s="70">
        <v>0.55118110236220874</v>
      </c>
      <c r="O736" s="70">
        <v>0</v>
      </c>
      <c r="P736" s="70">
        <v>0.2299003991861896</v>
      </c>
      <c r="Q736" s="70">
        <v>0.34952776785103395</v>
      </c>
      <c r="R736" s="70">
        <v>-0.20645763438897383</v>
      </c>
      <c r="S736" s="70">
        <v>-9.6504117503283887E-2</v>
      </c>
      <c r="T736" s="70">
        <v>37.922188590145318</v>
      </c>
      <c r="U736" s="70"/>
      <c r="V736" s="70"/>
      <c r="W736" s="70"/>
    </row>
    <row r="737" spans="1:23" x14ac:dyDescent="0.25">
      <c r="A737" s="68">
        <v>43140</v>
      </c>
      <c r="B737" s="70">
        <v>135.56</v>
      </c>
      <c r="C737" s="70">
        <v>135.99</v>
      </c>
      <c r="D737" s="70">
        <v>136.69999999999999</v>
      </c>
      <c r="E737" s="70">
        <v>132.80000000000001</v>
      </c>
      <c r="F737" s="85">
        <v>53.42</v>
      </c>
      <c r="G737" s="70">
        <v>-1.2E-2</v>
      </c>
      <c r="H737" s="85">
        <v>141.9872435897436</v>
      </c>
      <c r="I737" s="85">
        <v>143.5222507122507</v>
      </c>
      <c r="J737" s="70">
        <v>-1.5350071225070963</v>
      </c>
      <c r="K737" s="70"/>
      <c r="M737" s="70"/>
      <c r="N737" s="70">
        <v>0</v>
      </c>
      <c r="O737" s="70">
        <v>1.1128205128205129</v>
      </c>
      <c r="P737" s="70">
        <v>0.11481863056111308</v>
      </c>
      <c r="Q737" s="70">
        <v>0.53211077624049419</v>
      </c>
      <c r="R737" s="70">
        <v>-0.645035055281312</v>
      </c>
      <c r="S737" s="70">
        <v>-0.11296900795974378</v>
      </c>
      <c r="T737" s="70">
        <v>25.597061705941044</v>
      </c>
      <c r="U737" s="70"/>
      <c r="V737" s="70"/>
      <c r="W737" s="70"/>
    </row>
    <row r="738" spans="1:23" x14ac:dyDescent="0.25">
      <c r="A738" s="68">
        <v>43139</v>
      </c>
      <c r="B738" s="70">
        <v>137.19999999999999</v>
      </c>
      <c r="C738" s="70">
        <v>140.47999999999999</v>
      </c>
      <c r="D738" s="70">
        <v>140.85</v>
      </c>
      <c r="E738" s="70">
        <v>137.13999999999999</v>
      </c>
      <c r="F738" s="85">
        <v>42.72</v>
      </c>
      <c r="G738" s="70">
        <v>-2.7E-2</v>
      </c>
      <c r="H738" s="85">
        <v>143.23660256410258</v>
      </c>
      <c r="I738" s="85">
        <v>143.52407407407401</v>
      </c>
      <c r="J738" s="70">
        <v>-0.28747150997142512</v>
      </c>
      <c r="K738" s="70"/>
      <c r="M738" s="70"/>
      <c r="N738" s="70">
        <v>0</v>
      </c>
      <c r="O738" s="70">
        <v>1.0404312668463627</v>
      </c>
      <c r="P738" s="70">
        <v>0.13741025213750613</v>
      </c>
      <c r="Q738" s="70">
        <v>0.44839667432195546</v>
      </c>
      <c r="R738" s="70">
        <v>-0.53086846218089201</v>
      </c>
      <c r="S738" s="70">
        <v>3.3638114179141976E-3</v>
      </c>
      <c r="T738" s="70">
        <v>25.418869512612105</v>
      </c>
      <c r="U738" s="70"/>
      <c r="V738" s="70"/>
      <c r="W738" s="70"/>
    </row>
    <row r="739" spans="1:23" x14ac:dyDescent="0.25">
      <c r="A739" s="68">
        <v>43138</v>
      </c>
      <c r="B739" s="70">
        <v>141</v>
      </c>
      <c r="C739" s="70">
        <v>142.43</v>
      </c>
      <c r="D739" s="70">
        <v>143.38999999999999</v>
      </c>
      <c r="E739" s="70">
        <v>141</v>
      </c>
      <c r="F739" s="85">
        <v>32.950000000000003</v>
      </c>
      <c r="G739" s="70">
        <v>-4.1999999999999997E-3</v>
      </c>
      <c r="H739" s="85">
        <v>144.63916666666665</v>
      </c>
      <c r="K739" s="70"/>
      <c r="M739" s="70"/>
      <c r="N739" s="70">
        <v>0.2384937238493709</v>
      </c>
      <c r="O739" s="70">
        <v>0</v>
      </c>
      <c r="P739" s="70">
        <v>0.17148078411598769</v>
      </c>
      <c r="Q739" s="70">
        <v>0.23116377245293465</v>
      </c>
      <c r="R739" s="70">
        <v>-0.1482274809462891</v>
      </c>
      <c r="S739" s="70"/>
      <c r="T739" s="70">
        <v>25.251715848517577</v>
      </c>
      <c r="U739" s="70"/>
      <c r="V739" s="70"/>
      <c r="W739" s="70"/>
    </row>
    <row r="740" spans="1:23" x14ac:dyDescent="0.25">
      <c r="A740" s="68">
        <v>43137</v>
      </c>
      <c r="B740" s="70">
        <v>141.59</v>
      </c>
      <c r="C740" s="70">
        <v>141.51</v>
      </c>
      <c r="D740" s="70">
        <v>142.82</v>
      </c>
      <c r="E740" s="70">
        <v>140.4</v>
      </c>
      <c r="F740" s="85">
        <v>52.07</v>
      </c>
      <c r="G740" s="70">
        <v>-2.0299999999999999E-2</v>
      </c>
      <c r="H740" s="85">
        <v>145.38570512820513</v>
      </c>
      <c r="K740" s="70"/>
      <c r="M740" s="70"/>
      <c r="N740" s="70">
        <v>0</v>
      </c>
      <c r="O740" s="70">
        <v>0.78512396694215514</v>
      </c>
      <c r="P740" s="70">
        <v>0.13816890770787749</v>
      </c>
      <c r="Q740" s="70">
        <v>0.34332433915895683</v>
      </c>
      <c r="R740" s="70">
        <v>-0.42608163829101176</v>
      </c>
      <c r="S740" s="70"/>
      <c r="T740" s="70">
        <v>25.116303246095072</v>
      </c>
      <c r="U740" s="70"/>
      <c r="V740" s="70"/>
      <c r="W740" s="70"/>
    </row>
    <row r="741" spans="1:23" x14ac:dyDescent="0.25">
      <c r="A741" s="68">
        <v>43136</v>
      </c>
      <c r="B741" s="70">
        <v>144.53</v>
      </c>
      <c r="C741" s="70">
        <v>142.87</v>
      </c>
      <c r="D741" s="70">
        <v>145.19999999999999</v>
      </c>
      <c r="E741" s="70">
        <v>142.30000000000001</v>
      </c>
      <c r="F741" s="85">
        <v>33.11</v>
      </c>
      <c r="G741" s="70">
        <v>3.7000000000000002E-3</v>
      </c>
      <c r="H741" s="85">
        <v>146.3696794871795</v>
      </c>
      <c r="K741" s="70"/>
      <c r="M741" s="70"/>
      <c r="N741" s="70">
        <v>0</v>
      </c>
      <c r="O741" s="70">
        <v>0.19999999999999607</v>
      </c>
      <c r="P741" s="70">
        <v>0.17232394186291183</v>
      </c>
      <c r="Q741" s="70">
        <v>0.20796878562158322</v>
      </c>
      <c r="R741" s="70">
        <v>-9.3730016859511642E-2</v>
      </c>
      <c r="S741" s="70"/>
      <c r="T741" s="70">
        <v>37.824725596118782</v>
      </c>
      <c r="U741" s="70"/>
      <c r="V741" s="70"/>
      <c r="W741" s="70"/>
    </row>
    <row r="742" spans="1:23" x14ac:dyDescent="0.25">
      <c r="A742" s="68">
        <v>43133</v>
      </c>
      <c r="B742" s="70">
        <v>144</v>
      </c>
      <c r="C742" s="70">
        <v>145.68</v>
      </c>
      <c r="D742" s="70">
        <v>146.78</v>
      </c>
      <c r="E742" s="70">
        <v>142.88</v>
      </c>
      <c r="F742" s="85">
        <v>39.090000000000003</v>
      </c>
      <c r="G742" s="70">
        <v>-9.5999999999999992E-3</v>
      </c>
      <c r="H742" s="85">
        <v>146.69852564102564</v>
      </c>
      <c r="K742" s="70"/>
      <c r="M742" s="70"/>
      <c r="N742" s="70">
        <v>0.15641025641025968</v>
      </c>
      <c r="O742" s="70">
        <v>0</v>
      </c>
      <c r="P742" s="70">
        <v>0.23776608319639495</v>
      </c>
      <c r="Q742" s="70">
        <v>0.16621054386334227</v>
      </c>
      <c r="R742" s="70">
        <v>0.17712791914189516</v>
      </c>
      <c r="S742" s="70"/>
      <c r="T742" s="70">
        <v>38.100009420308474</v>
      </c>
      <c r="U742" s="70"/>
      <c r="V742" s="70"/>
      <c r="W742" s="70"/>
    </row>
    <row r="743" spans="1:23" x14ac:dyDescent="0.25">
      <c r="A743" s="68">
        <v>43132</v>
      </c>
      <c r="B743" s="70">
        <v>145.38999999999999</v>
      </c>
      <c r="C743" s="70">
        <v>143.4</v>
      </c>
      <c r="D743" s="70">
        <v>146.16999999999999</v>
      </c>
      <c r="E743" s="70">
        <v>143.13</v>
      </c>
      <c r="F743" s="85">
        <v>37.520000000000003</v>
      </c>
      <c r="G743" s="70">
        <v>1.4200000000000001E-2</v>
      </c>
      <c r="H743" s="85">
        <v>147.24378205128207</v>
      </c>
      <c r="K743" s="70"/>
      <c r="M743" s="70"/>
      <c r="N743" s="70">
        <v>0.54934210526315519</v>
      </c>
      <c r="O743" s="70">
        <v>0</v>
      </c>
      <c r="P743" s="70">
        <v>0.28358644030217606</v>
      </c>
      <c r="Q743" s="70">
        <v>0.17974036664172011</v>
      </c>
      <c r="R743" s="70">
        <v>0.2241313735879534</v>
      </c>
      <c r="S743" s="70"/>
      <c r="T743" s="70">
        <v>37.94403363781354</v>
      </c>
      <c r="U743" s="70"/>
      <c r="V743" s="70"/>
      <c r="W743" s="70"/>
    </row>
    <row r="744" spans="1:23" x14ac:dyDescent="0.25">
      <c r="A744" s="68">
        <v>43131</v>
      </c>
      <c r="B744" s="70">
        <v>143.36000000000001</v>
      </c>
      <c r="C744" s="70">
        <v>142.97999999999999</v>
      </c>
      <c r="D744" s="70">
        <v>144.5</v>
      </c>
      <c r="E744" s="70">
        <v>141.80000000000001</v>
      </c>
      <c r="F744" s="85">
        <v>44.27</v>
      </c>
      <c r="G744" s="70">
        <v>-1E-3</v>
      </c>
      <c r="H744" s="85">
        <v>146.92442307692303</v>
      </c>
      <c r="K744" s="70"/>
      <c r="M744" s="70"/>
      <c r="N744" s="70">
        <v>0</v>
      </c>
      <c r="O744" s="70">
        <v>0.21111111111110947</v>
      </c>
      <c r="P744" s="70">
        <v>0.19071508751703087</v>
      </c>
      <c r="Q744" s="70">
        <v>0.20989909680045002</v>
      </c>
      <c r="R744" s="70">
        <v>-4.7886495372355828E-2</v>
      </c>
      <c r="S744" s="70"/>
      <c r="T744" s="70">
        <v>38.202819772379812</v>
      </c>
      <c r="U744" s="70"/>
      <c r="V744" s="70"/>
      <c r="W744" s="70"/>
    </row>
    <row r="745" spans="1:23" x14ac:dyDescent="0.25">
      <c r="A745" s="68">
        <v>43130</v>
      </c>
      <c r="B745" s="70">
        <v>143.5</v>
      </c>
      <c r="C745" s="70">
        <v>143.9</v>
      </c>
      <c r="D745" s="70">
        <v>146.43</v>
      </c>
      <c r="E745" s="70">
        <v>142.37</v>
      </c>
      <c r="F745" s="85">
        <v>51.33</v>
      </c>
      <c r="G745" s="70">
        <v>-8.6E-3</v>
      </c>
      <c r="H745" s="85">
        <v>146.9198717948718</v>
      </c>
      <c r="K745" s="70"/>
      <c r="M745" s="70"/>
      <c r="N745" s="70">
        <v>0</v>
      </c>
      <c r="O745" s="70">
        <v>0.43842364532019706</v>
      </c>
      <c r="P745" s="70">
        <v>0.19071508751703087</v>
      </c>
      <c r="Q745" s="70">
        <v>0.24368594487301304</v>
      </c>
      <c r="R745" s="70">
        <v>-0.1219399895634231</v>
      </c>
      <c r="S745" s="70"/>
      <c r="T745" s="70">
        <v>38.016514955585421</v>
      </c>
      <c r="U745" s="70"/>
      <c r="V745" s="70"/>
      <c r="W745" s="70"/>
    </row>
    <row r="746" spans="1:23" x14ac:dyDescent="0.25">
      <c r="A746" s="68">
        <v>43129</v>
      </c>
      <c r="B746" s="70">
        <v>144.75</v>
      </c>
      <c r="C746" s="70">
        <v>146.66999999999999</v>
      </c>
      <c r="D746" s="70">
        <v>147.29</v>
      </c>
      <c r="E746" s="70">
        <v>144.15</v>
      </c>
      <c r="F746" s="85">
        <v>36.08</v>
      </c>
      <c r="G746" s="70">
        <v>-1.66E-2</v>
      </c>
      <c r="H746" s="85">
        <v>147.14673076923077</v>
      </c>
      <c r="K746" s="70"/>
      <c r="M746" s="70"/>
      <c r="N746" s="70">
        <v>0</v>
      </c>
      <c r="O746" s="70">
        <v>0.59235668789808704</v>
      </c>
      <c r="P746" s="70">
        <v>0.22699206355304305</v>
      </c>
      <c r="Q746" s="70">
        <v>0.23676932598940192</v>
      </c>
      <c r="R746" s="70">
        <v>-2.1082527905148144E-2</v>
      </c>
      <c r="S746" s="70"/>
      <c r="T746" s="70">
        <v>50.431925513856918</v>
      </c>
      <c r="U746" s="70"/>
      <c r="V746" s="70"/>
      <c r="W746" s="70"/>
    </row>
    <row r="747" spans="1:23" x14ac:dyDescent="0.25">
      <c r="A747" s="68">
        <v>43126</v>
      </c>
      <c r="B747" s="70">
        <v>147.19</v>
      </c>
      <c r="C747" s="70">
        <v>149.37</v>
      </c>
      <c r="D747" s="70">
        <v>149.55000000000001</v>
      </c>
      <c r="E747" s="70">
        <v>146.01</v>
      </c>
      <c r="F747" s="85">
        <v>35.28</v>
      </c>
      <c r="G747" s="70">
        <v>-1.7399999999999999E-2</v>
      </c>
      <c r="H747" s="85">
        <v>147.51012820512821</v>
      </c>
      <c r="K747" s="70"/>
      <c r="M747" s="70"/>
      <c r="N747" s="70">
        <v>0</v>
      </c>
      <c r="O747" s="70">
        <v>0.92090395480226006</v>
      </c>
      <c r="P747" s="70">
        <v>0.26261358488885034</v>
      </c>
      <c r="Q747" s="70">
        <v>0.24464816491649777</v>
      </c>
      <c r="R747" s="70">
        <v>3.5416468872818525E-2</v>
      </c>
      <c r="S747" s="70"/>
      <c r="T747" s="70">
        <v>62.719331306481735</v>
      </c>
      <c r="U747" s="70"/>
      <c r="V747" s="70"/>
      <c r="W747" s="70"/>
    </row>
    <row r="748" spans="1:23" x14ac:dyDescent="0.25">
      <c r="A748" s="68">
        <v>43125</v>
      </c>
      <c r="B748" s="70">
        <v>149.80000000000001</v>
      </c>
      <c r="C748" s="70">
        <v>150</v>
      </c>
      <c r="D748" s="70">
        <v>151.38999999999999</v>
      </c>
      <c r="E748" s="70">
        <v>149.27000000000001</v>
      </c>
      <c r="F748" s="85">
        <v>41.96</v>
      </c>
      <c r="G748" s="70">
        <v>6.9999999999999999E-4</v>
      </c>
      <c r="H748" s="85">
        <v>147.64653846153846</v>
      </c>
      <c r="K748" s="70"/>
      <c r="M748" s="70"/>
      <c r="N748" s="70">
        <v>0.79716981132076259</v>
      </c>
      <c r="O748" s="70">
        <v>0</v>
      </c>
      <c r="P748" s="70">
        <v>0.44242905244016806</v>
      </c>
      <c r="Q748" s="70">
        <v>5.2371515012729228E-2</v>
      </c>
      <c r="R748" s="70">
        <v>0.78831263156255471</v>
      </c>
      <c r="S748" s="70"/>
      <c r="T748" s="70">
        <v>75.007340172976427</v>
      </c>
      <c r="U748" s="70"/>
      <c r="V748" s="70"/>
      <c r="W748" s="70"/>
    </row>
    <row r="749" spans="1:23" x14ac:dyDescent="0.25">
      <c r="A749" s="68">
        <v>43124</v>
      </c>
      <c r="B749" s="70">
        <v>149.69999999999999</v>
      </c>
      <c r="C749" s="70">
        <v>148.59</v>
      </c>
      <c r="D749" s="70">
        <v>149.69999999999999</v>
      </c>
      <c r="E749" s="70">
        <v>146.6</v>
      </c>
      <c r="F749" s="85">
        <v>24.84</v>
      </c>
      <c r="G749" s="70">
        <v>6.0000000000000001E-3</v>
      </c>
      <c r="H749" s="85">
        <v>146.94012820512819</v>
      </c>
      <c r="K749" s="70"/>
      <c r="M749" s="70"/>
      <c r="N749" s="70">
        <v>0</v>
      </c>
      <c r="O749" s="70">
        <v>0.35806451612903734</v>
      </c>
      <c r="P749" s="70">
        <v>0.30572197483408842</v>
      </c>
      <c r="Q749" s="70">
        <v>0.10352358874544884</v>
      </c>
      <c r="R749" s="70">
        <v>0.49407593895478391</v>
      </c>
      <c r="S749" s="70"/>
      <c r="T749" s="70">
        <v>62.799723267468742</v>
      </c>
      <c r="U749" s="70"/>
      <c r="V749" s="70"/>
      <c r="W749" s="70"/>
    </row>
    <row r="750" spans="1:23" x14ac:dyDescent="0.25">
      <c r="A750" s="68">
        <v>43123</v>
      </c>
      <c r="B750" s="70">
        <v>148.80000000000001</v>
      </c>
      <c r="C750" s="70">
        <v>150.91</v>
      </c>
      <c r="D750" s="70">
        <v>151.65</v>
      </c>
      <c r="E750" s="70">
        <v>147.71</v>
      </c>
      <c r="F750" s="85">
        <v>35.79</v>
      </c>
      <c r="G750" s="70">
        <v>-0.01</v>
      </c>
      <c r="H750" s="85">
        <v>145.91461538461539</v>
      </c>
      <c r="K750" s="70"/>
      <c r="M750" s="70"/>
      <c r="N750" s="70">
        <v>0.34263959390862819</v>
      </c>
      <c r="O750" s="70">
        <v>0</v>
      </c>
      <c r="P750" s="70">
        <v>0.42060455418367271</v>
      </c>
      <c r="Q750" s="70">
        <v>2.8762865597627859E-2</v>
      </c>
      <c r="R750" s="70">
        <v>0.87198508689559084</v>
      </c>
      <c r="S750" s="70"/>
      <c r="T750" s="70">
        <v>50.412445424102415</v>
      </c>
      <c r="U750" s="70"/>
      <c r="V750" s="70"/>
      <c r="W750" s="70"/>
    </row>
    <row r="751" spans="1:23" x14ac:dyDescent="0.25">
      <c r="A751" s="68">
        <v>43122</v>
      </c>
      <c r="B751" s="70">
        <v>150.30000000000001</v>
      </c>
      <c r="C751" s="70">
        <v>149.1</v>
      </c>
      <c r="D751" s="70">
        <v>150.30000000000001</v>
      </c>
      <c r="E751" s="70">
        <v>148.85</v>
      </c>
      <c r="F751" s="85">
        <v>22.75</v>
      </c>
      <c r="G751" s="70">
        <v>7.7999999999999996E-3</v>
      </c>
      <c r="H751" s="85">
        <v>145.23506410256411</v>
      </c>
      <c r="K751" s="70"/>
      <c r="M751" s="70"/>
      <c r="N751" s="70">
        <v>0</v>
      </c>
      <c r="O751" s="70">
        <v>0</v>
      </c>
      <c r="P751" s="70"/>
      <c r="Q751" s="70"/>
      <c r="R751" s="70"/>
      <c r="S751" s="70"/>
      <c r="T751" s="70">
        <v>62.894676388758903</v>
      </c>
      <c r="U751" s="70"/>
      <c r="V751" s="70"/>
      <c r="W751" s="70"/>
    </row>
    <row r="752" spans="1:23" x14ac:dyDescent="0.25">
      <c r="A752" s="68">
        <v>43119</v>
      </c>
      <c r="B752" s="70">
        <v>149.13</v>
      </c>
      <c r="C752" s="70">
        <v>149.82</v>
      </c>
      <c r="D752" s="70">
        <v>151</v>
      </c>
      <c r="E752" s="70">
        <v>148.4</v>
      </c>
      <c r="F752" s="85">
        <v>39.020000000000003</v>
      </c>
      <c r="G752" s="70">
        <v>-8.0999999999999996E-3</v>
      </c>
      <c r="H752" s="85">
        <v>143.77878205128204</v>
      </c>
      <c r="K752" s="70"/>
      <c r="M752" s="70"/>
      <c r="N752" s="70">
        <v>0.25000000000000272</v>
      </c>
      <c r="O752" s="70">
        <v>0</v>
      </c>
      <c r="P752" s="70"/>
      <c r="Q752" s="70"/>
      <c r="R752" s="70"/>
      <c r="S752" s="70"/>
      <c r="T752" s="70">
        <v>62.676514386457384</v>
      </c>
      <c r="U752" s="70"/>
      <c r="V752" s="70"/>
      <c r="W752" s="70"/>
    </row>
    <row r="753" spans="1:23" x14ac:dyDescent="0.25">
      <c r="A753" s="68">
        <v>43118</v>
      </c>
      <c r="B753" s="70">
        <v>150.35</v>
      </c>
      <c r="C753" s="70">
        <v>148.79</v>
      </c>
      <c r="D753" s="70">
        <v>150.35</v>
      </c>
      <c r="E753" s="70">
        <v>148.13</v>
      </c>
      <c r="F753" s="85">
        <v>53.94</v>
      </c>
      <c r="G753" s="70">
        <v>1.11E-2</v>
      </c>
      <c r="K753" s="70"/>
      <c r="M753" s="70"/>
      <c r="N753" s="70">
        <v>0.51801801801802083</v>
      </c>
      <c r="O753" s="70">
        <v>0</v>
      </c>
      <c r="P753" s="70"/>
      <c r="Q753" s="70"/>
      <c r="R753" s="70"/>
      <c r="S753" s="70"/>
      <c r="T753" s="70">
        <v>75.246047285932391</v>
      </c>
      <c r="U753" s="70"/>
      <c r="V753" s="70"/>
      <c r="W753" s="70"/>
    </row>
    <row r="754" spans="1:23" x14ac:dyDescent="0.25">
      <c r="A754" s="68">
        <v>43117</v>
      </c>
      <c r="B754" s="70">
        <v>148.69999999999999</v>
      </c>
      <c r="C754" s="70">
        <v>144.51</v>
      </c>
      <c r="D754" s="70">
        <v>149.19999999999999</v>
      </c>
      <c r="E754" s="70">
        <v>143.31</v>
      </c>
      <c r="F754" s="85">
        <v>64.09</v>
      </c>
      <c r="G754" s="70">
        <v>2.35E-2</v>
      </c>
      <c r="K754" s="70"/>
      <c r="M754" s="70"/>
      <c r="N754" s="70">
        <v>0.6536502546689309</v>
      </c>
      <c r="O754" s="70">
        <v>0</v>
      </c>
      <c r="P754" s="70"/>
      <c r="Q754" s="70"/>
      <c r="R754" s="70"/>
      <c r="S754" s="70"/>
      <c r="T754" s="70">
        <v>74.960300148329111</v>
      </c>
      <c r="U754" s="70"/>
      <c r="V754" s="70"/>
      <c r="W754" s="70"/>
    </row>
    <row r="755" spans="1:23" x14ac:dyDescent="0.25">
      <c r="A755" s="68">
        <v>43116</v>
      </c>
      <c r="B755" s="70">
        <v>145.29</v>
      </c>
      <c r="C755" s="70">
        <v>143.16999999999999</v>
      </c>
      <c r="D755" s="70">
        <v>145.35</v>
      </c>
      <c r="E755" s="70">
        <v>141.88999999999999</v>
      </c>
      <c r="F755" s="85">
        <v>36.99</v>
      </c>
      <c r="G755" s="70">
        <v>1.61E-2</v>
      </c>
      <c r="K755" s="70"/>
      <c r="M755" s="70"/>
      <c r="N755" s="70">
        <v>0</v>
      </c>
      <c r="O755" s="70">
        <v>0.20520231213873016</v>
      </c>
      <c r="P755" s="70"/>
      <c r="Q755" s="70"/>
      <c r="R755" s="70"/>
      <c r="S755" s="70"/>
      <c r="T755" s="70">
        <v>74.677267071976274</v>
      </c>
      <c r="U755" s="70"/>
      <c r="V755" s="70"/>
      <c r="W755" s="70"/>
    </row>
    <row r="756" spans="1:23" x14ac:dyDescent="0.25">
      <c r="A756" s="68">
        <v>43115</v>
      </c>
      <c r="B756" s="70">
        <v>142.99</v>
      </c>
      <c r="C756" s="70">
        <v>144.32</v>
      </c>
      <c r="D756" s="70">
        <v>145.5</v>
      </c>
      <c r="E756" s="70">
        <v>142.6</v>
      </c>
      <c r="F756" s="85">
        <v>30.05</v>
      </c>
      <c r="G756" s="70">
        <v>-6.8999999999999999E-3</v>
      </c>
      <c r="K756" s="70"/>
      <c r="M756" s="70"/>
      <c r="N756" s="70">
        <v>0.33103448275862279</v>
      </c>
      <c r="O756" s="70">
        <v>0</v>
      </c>
      <c r="P756" s="70"/>
      <c r="Q756" s="70"/>
      <c r="R756" s="70"/>
      <c r="S756" s="70"/>
      <c r="T756" s="70"/>
      <c r="U756" s="70"/>
      <c r="V756" s="70"/>
      <c r="W756" s="70"/>
    </row>
    <row r="757" spans="1:23" x14ac:dyDescent="0.25">
      <c r="A757" s="68">
        <v>43112</v>
      </c>
      <c r="B757" s="70">
        <v>143.99</v>
      </c>
      <c r="C757" s="70">
        <v>144.21</v>
      </c>
      <c r="D757" s="70">
        <v>144.54</v>
      </c>
      <c r="E757" s="70">
        <v>141.63999999999999</v>
      </c>
      <c r="F757" s="85">
        <v>36.78</v>
      </c>
      <c r="G757" s="70">
        <v>-4.1000000000000003E-3</v>
      </c>
      <c r="K757" s="70"/>
      <c r="M757" s="70"/>
      <c r="N757" s="70">
        <v>0</v>
      </c>
      <c r="O757" s="70">
        <v>0.23103448275862573</v>
      </c>
      <c r="P757" s="70"/>
      <c r="Q757" s="70"/>
      <c r="R757" s="70"/>
      <c r="S757" s="70"/>
      <c r="T757" s="70"/>
      <c r="U757" s="70"/>
      <c r="V757" s="70"/>
      <c r="W757" s="70"/>
    </row>
    <row r="758" spans="1:23" x14ac:dyDescent="0.25">
      <c r="A758" s="68">
        <v>43111</v>
      </c>
      <c r="B758" s="70">
        <v>144.58000000000001</v>
      </c>
      <c r="C758" s="70">
        <v>143.21</v>
      </c>
      <c r="D758" s="70">
        <v>144.80000000000001</v>
      </c>
      <c r="E758" s="70">
        <v>142.31</v>
      </c>
      <c r="F758" s="85">
        <v>38.58</v>
      </c>
      <c r="G758" s="70">
        <v>8.0000000000000002E-3</v>
      </c>
      <c r="K758" s="70"/>
      <c r="M758" s="70"/>
      <c r="N758" s="70">
        <v>0.55020080321285125</v>
      </c>
      <c r="O758" s="70">
        <v>0</v>
      </c>
      <c r="P758" s="70"/>
      <c r="Q758" s="70"/>
      <c r="R758" s="70"/>
      <c r="S758" s="70"/>
      <c r="T758" s="70"/>
      <c r="U758" s="70"/>
      <c r="V758" s="70"/>
      <c r="W758" s="70"/>
    </row>
    <row r="759" spans="1:23" x14ac:dyDescent="0.25">
      <c r="A759" s="68">
        <v>43110</v>
      </c>
      <c r="B759" s="70">
        <v>143.43</v>
      </c>
      <c r="C759" s="70">
        <v>140.49</v>
      </c>
      <c r="D759" s="70">
        <v>143.43</v>
      </c>
      <c r="E759" s="70">
        <v>139.58000000000001</v>
      </c>
      <c r="F759" s="85">
        <v>51.77</v>
      </c>
      <c r="G759" s="70">
        <v>2.4500000000000001E-2</v>
      </c>
      <c r="K759" s="70"/>
      <c r="M759" s="70"/>
      <c r="N759" s="70">
        <v>0.54025974025974433</v>
      </c>
      <c r="O759" s="70">
        <v>0</v>
      </c>
      <c r="P759" s="70"/>
      <c r="Q759" s="70"/>
      <c r="R759" s="70"/>
      <c r="S759" s="70"/>
      <c r="T759" s="70"/>
      <c r="U759" s="70"/>
      <c r="V759" s="70"/>
      <c r="W759" s="70"/>
    </row>
    <row r="760" spans="1:23" x14ac:dyDescent="0.25">
      <c r="A760" s="68">
        <v>43109</v>
      </c>
      <c r="B760" s="70">
        <v>140</v>
      </c>
      <c r="C760" s="70">
        <v>138</v>
      </c>
      <c r="D760" s="70">
        <v>141.35</v>
      </c>
      <c r="E760" s="70">
        <v>137.6</v>
      </c>
      <c r="F760" s="85">
        <v>52.49</v>
      </c>
      <c r="G760" s="70">
        <v>2.1000000000000001E-2</v>
      </c>
      <c r="K760" s="70"/>
      <c r="M760" s="70"/>
      <c r="N760" s="70">
        <v>1</v>
      </c>
      <c r="O760" s="70">
        <v>0</v>
      </c>
      <c r="P760" s="70"/>
      <c r="Q760" s="70"/>
      <c r="R760" s="70"/>
      <c r="S760" s="70"/>
      <c r="T760" s="70"/>
      <c r="U760" s="70"/>
      <c r="V760" s="70"/>
      <c r="W760" s="70"/>
    </row>
    <row r="761" spans="1:23" x14ac:dyDescent="0.25">
      <c r="A761" s="68">
        <v>43105</v>
      </c>
      <c r="B761" s="70">
        <v>137.12</v>
      </c>
      <c r="C761" s="70">
        <v>135.6</v>
      </c>
      <c r="D761" s="70">
        <v>137.12</v>
      </c>
      <c r="E761" s="70">
        <v>135.08000000000001</v>
      </c>
      <c r="F761" s="85">
        <v>19.98</v>
      </c>
      <c r="G761" s="70">
        <v>9.1000000000000004E-3</v>
      </c>
      <c r="K761" s="70"/>
      <c r="M761" s="70"/>
      <c r="N761" s="70">
        <v>0.4509803921568723</v>
      </c>
      <c r="O761" s="70">
        <v>0</v>
      </c>
      <c r="P761" s="70"/>
      <c r="Q761" s="70"/>
      <c r="R761" s="70"/>
      <c r="S761" s="70"/>
      <c r="T761" s="70"/>
      <c r="U761" s="70"/>
      <c r="V761" s="70"/>
      <c r="W761" s="70"/>
    </row>
    <row r="762" spans="1:23" x14ac:dyDescent="0.25">
      <c r="A762" s="68">
        <v>43104</v>
      </c>
      <c r="B762" s="70">
        <v>135.88999999999999</v>
      </c>
      <c r="C762" s="70">
        <v>132.5</v>
      </c>
      <c r="D762" s="70">
        <v>136.19999999999999</v>
      </c>
      <c r="E762" s="70">
        <v>132.30000000000001</v>
      </c>
      <c r="F762" s="85">
        <v>32.1</v>
      </c>
      <c r="G762" s="70">
        <v>2.7900000000000001E-2</v>
      </c>
      <c r="K762" s="70"/>
      <c r="M762" s="70"/>
      <c r="N762" s="70">
        <v>1</v>
      </c>
      <c r="O762" s="70">
        <v>0</v>
      </c>
      <c r="P762" s="70"/>
      <c r="Q762" s="70"/>
      <c r="R762" s="70"/>
      <c r="S762" s="70"/>
      <c r="T762" s="70"/>
      <c r="U762" s="70"/>
      <c r="V762" s="70"/>
      <c r="W762" s="70"/>
    </row>
    <row r="763" spans="1:23" x14ac:dyDescent="0.25">
      <c r="A763" s="68">
        <v>43103</v>
      </c>
      <c r="B763" s="70">
        <v>132.19999999999999</v>
      </c>
      <c r="C763" s="70">
        <v>131.03</v>
      </c>
      <c r="D763" s="70">
        <v>132.19999999999999</v>
      </c>
      <c r="E763" s="70">
        <v>130.63</v>
      </c>
      <c r="F763" s="85">
        <v>10.53</v>
      </c>
      <c r="G763" s="70">
        <v>1.2999999999999999E-2</v>
      </c>
      <c r="K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</row>
  </sheetData>
  <mergeCells count="1">
    <mergeCell ref="BF1:BM1"/>
  </mergeCells>
  <conditionalFormatting sqref="AT2:AT1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7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7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7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7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7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3"/>
  <sheetViews>
    <sheetView zoomScale="85" zoomScaleNormal="85" workbookViewId="0">
      <selection activeCell="M3" sqref="B3:M3"/>
    </sheetView>
  </sheetViews>
  <sheetFormatPr defaultRowHeight="15" x14ac:dyDescent="0.25"/>
  <cols>
    <col min="1" max="1" width="5" bestFit="1" customWidth="1"/>
    <col min="2" max="2" width="6" bestFit="1" customWidth="1"/>
    <col min="3" max="7" width="7.28515625" bestFit="1" customWidth="1"/>
    <col min="8" max="8" width="6" customWidth="1"/>
    <col min="9" max="10" width="7.28515625" bestFit="1" customWidth="1"/>
    <col min="11" max="11" width="6" bestFit="1" customWidth="1"/>
    <col min="12" max="12" width="7.28515625" bestFit="1" customWidth="1"/>
    <col min="13" max="13" width="6" bestFit="1" customWidth="1"/>
    <col min="14" max="14" width="4.28515625" customWidth="1"/>
    <col min="15" max="15" width="6" bestFit="1" customWidth="1"/>
    <col min="16" max="16" width="3.7109375" customWidth="1"/>
    <col min="17" max="17" width="6" bestFit="1" customWidth="1"/>
    <col min="18" max="18" width="2.28515625" customWidth="1"/>
    <col min="19" max="19" width="6.5703125" bestFit="1" customWidth="1"/>
  </cols>
  <sheetData>
    <row r="1" spans="1:22" ht="15.75" thickBot="1" x14ac:dyDescent="0.3">
      <c r="O1" s="3"/>
      <c r="P1" s="3"/>
      <c r="Q1" s="3"/>
      <c r="R1" s="3"/>
      <c r="S1" s="3"/>
    </row>
    <row r="2" spans="1:22" x14ac:dyDescent="0.25">
      <c r="A2" s="4"/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6" t="s">
        <v>11</v>
      </c>
      <c r="N2" s="7"/>
      <c r="O2" s="8" t="s">
        <v>12</v>
      </c>
      <c r="P2" s="3"/>
      <c r="Q2" s="8" t="s">
        <v>13</v>
      </c>
      <c r="R2" s="3"/>
      <c r="S2" s="8" t="s">
        <v>14</v>
      </c>
      <c r="T2" s="7"/>
    </row>
    <row r="3" spans="1:22" ht="15.75" thickBot="1" x14ac:dyDescent="0.3">
      <c r="A3" s="9"/>
      <c r="B3" s="10">
        <f>SUM(B4,B6,B8,B10,B12,B14,B16,B18,B20,B22,B24,B26,B28,B30,B32,B34,B36,B38,B40,B42)</f>
        <v>0.53334481176890547</v>
      </c>
      <c r="C3" s="10">
        <f>SUM(C4,C6,C8,C10,C12,C14,C16,C18,C20,C22,C24,C26,C28,C30,C32,C34,C36,C38,C40,C42)</f>
        <v>9.9436308071111701E-2</v>
      </c>
      <c r="D3" s="10">
        <f>SUM(D4,D6,D8,D10,D12,D14,D16,D18,D20,D22,D24,D26,D28,D30,D32,D34,D36,D38,D40,D42)</f>
        <v>-0.2531021550049708</v>
      </c>
      <c r="E3" s="10">
        <f>SUM(E4,E6,E8,E10,E12,E14,E16,E18,E20,E22,E24,E26,E28,E30,E32,E34,E36,E38,E40,E42)</f>
        <v>-0.20440404920957675</v>
      </c>
      <c r="F3" s="10">
        <f>SUM(F4,F6,F8,F10,F12,F14,F16,F18,F20,F22,F24,F26,F28,F30,F32,F34,F36,F38,F40)</f>
        <v>-5.4871777013430829E-2</v>
      </c>
      <c r="G3" s="10">
        <f t="shared" ref="G3:M3" si="0">SUM(G4,G6,G8,G10,G12,G14,G16,G18,G20,G22,G24,G26,G28,G30,G32,G34,G36,G38,G40)</f>
        <v>0.1563436076063425</v>
      </c>
      <c r="H3" s="10">
        <f t="shared" si="0"/>
        <v>1.7881873725599171E-2</v>
      </c>
      <c r="I3" s="10">
        <f t="shared" si="0"/>
        <v>0.36926502380512022</v>
      </c>
      <c r="J3" s="10">
        <f t="shared" si="0"/>
        <v>1.294411046206192</v>
      </c>
      <c r="K3" s="10">
        <f t="shared" si="0"/>
        <v>5.2035563956431302E-2</v>
      </c>
      <c r="L3" s="10">
        <f t="shared" si="0"/>
        <v>0.26555951211739987</v>
      </c>
      <c r="M3" s="11">
        <f t="shared" si="0"/>
        <v>0.51469803583552987</v>
      </c>
      <c r="N3" s="7"/>
      <c r="O3" s="12">
        <f>SUM(O7:O43)</f>
        <v>53.629999999999988</v>
      </c>
      <c r="P3" s="3"/>
      <c r="Q3" s="12">
        <f>SUM(Q7:Q43)</f>
        <v>151.07</v>
      </c>
      <c r="R3" s="3"/>
      <c r="S3" s="12">
        <f>SUM(S7:S43)</f>
        <v>156.96000000000004</v>
      </c>
      <c r="T3" s="7"/>
      <c r="U3" s="59">
        <v>1</v>
      </c>
      <c r="V3" s="59">
        <v>77.34</v>
      </c>
    </row>
    <row r="4" spans="1:22" ht="15.75" thickBot="1" x14ac:dyDescent="0.3">
      <c r="A4" s="13"/>
      <c r="B4" s="13"/>
      <c r="C4" s="14">
        <f t="shared" ref="C4:M4" si="1">(C5-B5)/B5</f>
        <v>1.0016694490817964E-2</v>
      </c>
      <c r="D4" s="14">
        <f t="shared" si="1"/>
        <v>6.6115702479338902E-3</v>
      </c>
      <c r="E4" s="14">
        <f t="shared" si="1"/>
        <v>4.9261083743842773E-3</v>
      </c>
      <c r="F4" s="14">
        <f t="shared" si="1"/>
        <v>4.9019607843137662E-3</v>
      </c>
      <c r="G4" s="14">
        <f t="shared" si="1"/>
        <v>4.8780487804877008E-3</v>
      </c>
      <c r="H4" s="14">
        <f t="shared" si="1"/>
        <v>4.8543689320388753E-3</v>
      </c>
      <c r="I4" s="14">
        <f t="shared" si="1"/>
        <v>0.10950080515297902</v>
      </c>
      <c r="J4" s="14">
        <f t="shared" si="1"/>
        <v>1.1335268505079825</v>
      </c>
      <c r="K4" s="14">
        <f t="shared" si="1"/>
        <v>8.1632653061224567E-2</v>
      </c>
      <c r="L4" s="14">
        <f t="shared" si="1"/>
        <v>4.0251572327043947E-2</v>
      </c>
      <c r="M4" s="14">
        <f t="shared" si="1"/>
        <v>0.21039903264812579</v>
      </c>
      <c r="N4" s="13"/>
      <c r="O4" s="15"/>
      <c r="P4" s="3"/>
      <c r="Q4" s="15"/>
      <c r="R4" s="3"/>
      <c r="S4" s="15"/>
      <c r="T4" s="13"/>
      <c r="U4" s="1">
        <v>2</v>
      </c>
      <c r="V4" s="99">
        <v>78.02</v>
      </c>
    </row>
    <row r="5" spans="1:22" ht="15.75" thickBot="1" x14ac:dyDescent="0.3">
      <c r="A5" s="16">
        <v>1998</v>
      </c>
      <c r="B5" s="17">
        <v>5.99</v>
      </c>
      <c r="C5" s="18">
        <v>6.05</v>
      </c>
      <c r="D5" s="18">
        <v>6.09</v>
      </c>
      <c r="E5" s="18">
        <v>6.12</v>
      </c>
      <c r="F5" s="18">
        <v>6.15</v>
      </c>
      <c r="G5" s="18">
        <v>6.18</v>
      </c>
      <c r="H5" s="19">
        <v>6.21</v>
      </c>
      <c r="I5" s="18">
        <v>6.89</v>
      </c>
      <c r="J5" s="18">
        <v>14.7</v>
      </c>
      <c r="K5" s="18">
        <v>15.9</v>
      </c>
      <c r="L5" s="18">
        <v>16.54</v>
      </c>
      <c r="M5" s="20">
        <v>20.02</v>
      </c>
      <c r="O5" s="15"/>
      <c r="P5" s="3"/>
      <c r="Q5" s="15"/>
      <c r="R5" s="3"/>
      <c r="S5" s="15"/>
      <c r="U5" s="57">
        <v>3</v>
      </c>
      <c r="V5" s="98">
        <v>77.709999999999994</v>
      </c>
    </row>
    <row r="6" spans="1:22" ht="15.75" thickBot="1" x14ac:dyDescent="0.3">
      <c r="A6" s="21"/>
      <c r="B6" s="22">
        <f>(B7-M5)/M5</f>
        <v>0.11288711288711296</v>
      </c>
      <c r="C6" s="14">
        <f>(C7-B7)/B7</f>
        <v>2.827648114901252E-2</v>
      </c>
      <c r="D6" s="14">
        <f t="shared" ref="D6:M6" si="2">(D7-C7)/C7</f>
        <v>2.7062418158009645E-2</v>
      </c>
      <c r="E6" s="14">
        <f t="shared" si="2"/>
        <v>5.0573735656608484E-2</v>
      </c>
      <c r="F6" s="14">
        <f t="shared" si="2"/>
        <v>-1.0113268608414241E-2</v>
      </c>
      <c r="G6" s="14">
        <f t="shared" si="2"/>
        <v>-8.1732733959950666E-3</v>
      </c>
      <c r="H6" s="14">
        <f t="shared" si="2"/>
        <v>1.2360939431397256E-3</v>
      </c>
      <c r="I6" s="14">
        <f t="shared" si="2"/>
        <v>1.68724279835391E-2</v>
      </c>
      <c r="J6" s="14">
        <f t="shared" si="2"/>
        <v>3.0352084176446782E-2</v>
      </c>
      <c r="K6" s="14">
        <f t="shared" si="2"/>
        <v>1.1390416339355818E-2</v>
      </c>
      <c r="L6" s="14">
        <f t="shared" si="2"/>
        <v>2.1747572815533932E-2</v>
      </c>
      <c r="M6" s="14">
        <f t="shared" si="2"/>
        <v>1.8624097301406385E-2</v>
      </c>
      <c r="N6" s="21"/>
      <c r="O6" s="15"/>
      <c r="P6" s="3"/>
      <c r="Q6" s="15"/>
      <c r="R6" s="3"/>
      <c r="S6" s="15"/>
      <c r="T6" s="21"/>
      <c r="U6" s="57">
        <v>4</v>
      </c>
      <c r="V6" s="96">
        <v>78.45</v>
      </c>
    </row>
    <row r="7" spans="1:22" ht="15.75" thickBot="1" x14ac:dyDescent="0.3">
      <c r="A7" s="16">
        <v>1999</v>
      </c>
      <c r="B7" s="19">
        <v>22.28</v>
      </c>
      <c r="C7" s="18">
        <v>22.91</v>
      </c>
      <c r="D7" s="18">
        <v>23.53</v>
      </c>
      <c r="E7" s="18">
        <v>24.72</v>
      </c>
      <c r="F7" s="18">
        <v>24.47</v>
      </c>
      <c r="G7" s="18">
        <v>24.27</v>
      </c>
      <c r="H7" s="19">
        <v>24.3</v>
      </c>
      <c r="I7" s="18">
        <v>24.71</v>
      </c>
      <c r="J7" s="18">
        <v>25.46</v>
      </c>
      <c r="K7" s="18">
        <v>25.75</v>
      </c>
      <c r="L7" s="18">
        <v>26.31</v>
      </c>
      <c r="M7" s="20">
        <v>26.8</v>
      </c>
      <c r="O7" s="12">
        <f>B7-B5</f>
        <v>16.29</v>
      </c>
      <c r="P7" s="3"/>
      <c r="Q7" s="12">
        <f>B7-H5+B7-H7</f>
        <v>14.05</v>
      </c>
      <c r="R7" s="3"/>
      <c r="S7" s="12">
        <f>C7-G5+C7-G7</f>
        <v>15.370000000000001</v>
      </c>
      <c r="U7" s="57">
        <v>5</v>
      </c>
      <c r="V7" s="96">
        <v>79.150000000000006</v>
      </c>
    </row>
    <row r="8" spans="1:22" ht="15.75" thickBot="1" x14ac:dyDescent="0.3">
      <c r="A8" s="21"/>
      <c r="B8" s="22">
        <f>(B9-M7)/M7</f>
        <v>5.4477611940298536E-2</v>
      </c>
      <c r="C8" s="14">
        <f>(C9-B9)/B9</f>
        <v>1.6277423920735928E-2</v>
      </c>
      <c r="D8" s="14">
        <f t="shared" ref="D8:M8" si="3">(D9-C9)/C9</f>
        <v>-9.0529247910862819E-3</v>
      </c>
      <c r="E8" s="14">
        <f t="shared" si="3"/>
        <v>4.5678144764581515E-3</v>
      </c>
      <c r="F8" s="14">
        <f t="shared" si="3"/>
        <v>-1.0143406785589337E-2</v>
      </c>
      <c r="G8" s="14">
        <f t="shared" si="3"/>
        <v>-2.4734982332155577E-3</v>
      </c>
      <c r="H8" s="14">
        <f t="shared" si="3"/>
        <v>-1.4169323414807018E-2</v>
      </c>
      <c r="I8" s="14">
        <f t="shared" si="3"/>
        <v>-3.5932446999639911E-3</v>
      </c>
      <c r="J8" s="14">
        <f t="shared" si="3"/>
        <v>2.5243418680129925E-3</v>
      </c>
      <c r="K8" s="14">
        <f t="shared" si="3"/>
        <v>2.158273381294918E-3</v>
      </c>
      <c r="L8" s="14">
        <f t="shared" si="3"/>
        <v>-1.794687724335991E-3</v>
      </c>
      <c r="M8" s="14">
        <f t="shared" si="3"/>
        <v>5.7533261416756612E-3</v>
      </c>
      <c r="N8" s="21"/>
      <c r="O8" s="15"/>
      <c r="P8" s="3"/>
      <c r="Q8" s="15"/>
      <c r="R8" s="3"/>
      <c r="S8" s="15"/>
      <c r="T8" s="21"/>
      <c r="U8" s="57">
        <v>6</v>
      </c>
      <c r="V8" s="96">
        <v>79.91</v>
      </c>
    </row>
    <row r="9" spans="1:22" ht="15.75" thickBot="1" x14ac:dyDescent="0.3">
      <c r="A9" s="16">
        <v>2000</v>
      </c>
      <c r="B9" s="19">
        <v>28.26</v>
      </c>
      <c r="C9" s="18">
        <v>28.72</v>
      </c>
      <c r="D9" s="18">
        <v>28.46</v>
      </c>
      <c r="E9" s="18">
        <v>28.59</v>
      </c>
      <c r="F9" s="18">
        <v>28.3</v>
      </c>
      <c r="G9" s="18">
        <v>28.23</v>
      </c>
      <c r="H9" s="19">
        <v>27.83</v>
      </c>
      <c r="I9" s="18">
        <v>27.73</v>
      </c>
      <c r="J9" s="18">
        <v>27.8</v>
      </c>
      <c r="K9" s="18">
        <v>27.86</v>
      </c>
      <c r="L9" s="18">
        <v>27.81</v>
      </c>
      <c r="M9" s="20">
        <v>27.97</v>
      </c>
      <c r="O9" s="23">
        <f>B9-B7</f>
        <v>5.98</v>
      </c>
      <c r="P9" s="24"/>
      <c r="Q9" s="23">
        <f>B9-H7+B9-H9</f>
        <v>4.3900000000000006</v>
      </c>
      <c r="R9" s="24"/>
      <c r="S9" s="23">
        <f>C9-G7+C9-G9</f>
        <v>4.9400000000000013</v>
      </c>
      <c r="U9" s="57">
        <v>7</v>
      </c>
      <c r="V9" s="98">
        <v>79.63</v>
      </c>
    </row>
    <row r="10" spans="1:22" ht="15.75" thickBot="1" x14ac:dyDescent="0.3">
      <c r="A10" s="21"/>
      <c r="B10" s="22">
        <f>(B11-M9)/M9</f>
        <v>1.39435109045406E-2</v>
      </c>
      <c r="C10" s="14">
        <f>(C11-B11)/B11</f>
        <v>8.1100141043723706E-3</v>
      </c>
      <c r="D10" s="14">
        <f t="shared" ref="D10:M10" si="4">(D11-C11)/C11</f>
        <v>2.7981811822316142E-3</v>
      </c>
      <c r="E10" s="14">
        <f t="shared" si="4"/>
        <v>6.2783397279386017E-3</v>
      </c>
      <c r="F10" s="14">
        <f t="shared" si="4"/>
        <v>6.2391681109185337E-3</v>
      </c>
      <c r="G10" s="14">
        <f t="shared" si="4"/>
        <v>2.7557698932138578E-3</v>
      </c>
      <c r="H10" s="14">
        <f t="shared" si="4"/>
        <v>3.7787701820679986E-3</v>
      </c>
      <c r="I10" s="14">
        <f t="shared" si="4"/>
        <v>4.1067761806981859E-3</v>
      </c>
      <c r="J10" s="14">
        <f t="shared" si="4"/>
        <v>3.0674846625766824E-3</v>
      </c>
      <c r="K10" s="14">
        <f t="shared" si="4"/>
        <v>3.7376826367651861E-3</v>
      </c>
      <c r="L10" s="14">
        <f t="shared" si="4"/>
        <v>8.8016249153690437E-3</v>
      </c>
      <c r="M10" s="14">
        <f t="shared" si="4"/>
        <v>1.0067114093959755E-2</v>
      </c>
      <c r="O10" s="15"/>
      <c r="P10" s="3"/>
      <c r="Q10" s="15"/>
      <c r="R10" s="3"/>
      <c r="S10" s="15"/>
      <c r="U10" s="97">
        <v>8</v>
      </c>
      <c r="V10" s="100">
        <v>79.989999999999995</v>
      </c>
    </row>
    <row r="11" spans="1:22" ht="15.75" thickBot="1" x14ac:dyDescent="0.3">
      <c r="A11" s="16">
        <v>2001</v>
      </c>
      <c r="B11" s="19">
        <v>28.36</v>
      </c>
      <c r="C11" s="18">
        <v>28.59</v>
      </c>
      <c r="D11" s="18">
        <v>28.67</v>
      </c>
      <c r="E11" s="18">
        <v>28.85</v>
      </c>
      <c r="F11" s="18">
        <v>29.03</v>
      </c>
      <c r="G11" s="18">
        <v>29.11</v>
      </c>
      <c r="H11" s="19">
        <v>29.22</v>
      </c>
      <c r="I11" s="18">
        <v>29.34</v>
      </c>
      <c r="J11" s="18">
        <v>29.43</v>
      </c>
      <c r="K11" s="18">
        <v>29.54</v>
      </c>
      <c r="L11" s="18">
        <v>29.8</v>
      </c>
      <c r="M11" s="20">
        <v>30.1</v>
      </c>
      <c r="O11" s="12">
        <f>B11-B9</f>
        <v>9.9999999999997868E-2</v>
      </c>
      <c r="P11" s="3"/>
      <c r="Q11" s="12">
        <f>B11-H9+B11-H11</f>
        <v>-0.32999999999999829</v>
      </c>
      <c r="R11" s="3"/>
      <c r="S11" s="12">
        <f>C11-G9+C11-G11</f>
        <v>-0.16000000000000014</v>
      </c>
    </row>
    <row r="12" spans="1:22" ht="15.75" thickBot="1" x14ac:dyDescent="0.3">
      <c r="A12" s="21"/>
      <c r="B12" s="22">
        <f>(B13-M11)/M11</f>
        <v>1.262458471760794E-2</v>
      </c>
      <c r="C12" s="14">
        <f>(C13-B13)/B13</f>
        <v>1.0826771653543251E-2</v>
      </c>
      <c r="D12" s="14">
        <f t="shared" ref="D12:M12" si="5">(D13-C13)/C13</f>
        <v>8.1142486205777343E-3</v>
      </c>
      <c r="E12" s="14">
        <f t="shared" si="5"/>
        <v>3.5415325177077586E-3</v>
      </c>
      <c r="F12" s="14">
        <f t="shared" si="5"/>
        <v>2.8873917228103901E-3</v>
      </c>
      <c r="G12" s="14">
        <f t="shared" si="5"/>
        <v>4.7984644913627184E-3</v>
      </c>
      <c r="H12" s="14">
        <f t="shared" si="5"/>
        <v>3.1836994587711373E-3</v>
      </c>
      <c r="I12" s="14">
        <f t="shared" si="5"/>
        <v>1.2694382735639208E-3</v>
      </c>
      <c r="J12" s="14">
        <f t="shared" si="5"/>
        <v>2.2187004754358249E-3</v>
      </c>
      <c r="K12" s="14">
        <f t="shared" si="5"/>
        <v>2.2137887413029816E-3</v>
      </c>
      <c r="L12" s="14">
        <f t="shared" si="5"/>
        <v>3.7866834963710141E-3</v>
      </c>
      <c r="M12" s="14">
        <f t="shared" si="5"/>
        <v>6.2873310279784893E-4</v>
      </c>
      <c r="O12" s="15"/>
      <c r="P12" s="3"/>
      <c r="Q12" s="15"/>
      <c r="R12" s="3"/>
      <c r="S12" s="15"/>
      <c r="U12" t="s">
        <v>43</v>
      </c>
      <c r="V12">
        <f>(V4+V6+V7+V8+V10)/7</f>
        <v>56.502857142857138</v>
      </c>
    </row>
    <row r="13" spans="1:22" ht="15.75" thickBot="1" x14ac:dyDescent="0.3">
      <c r="A13" s="16">
        <v>2002</v>
      </c>
      <c r="B13" s="19">
        <v>30.48</v>
      </c>
      <c r="C13" s="18">
        <v>30.81</v>
      </c>
      <c r="D13" s="18">
        <v>31.06</v>
      </c>
      <c r="E13" s="18">
        <v>31.17</v>
      </c>
      <c r="F13" s="18">
        <v>31.26</v>
      </c>
      <c r="G13" s="18">
        <v>31.41</v>
      </c>
      <c r="H13" s="19">
        <v>31.51</v>
      </c>
      <c r="I13" s="18">
        <v>31.55</v>
      </c>
      <c r="J13" s="18">
        <v>31.62</v>
      </c>
      <c r="K13" s="18">
        <v>31.69</v>
      </c>
      <c r="L13" s="18">
        <v>31.81</v>
      </c>
      <c r="M13" s="20">
        <v>31.83</v>
      </c>
      <c r="O13" s="12">
        <f>B13-B11</f>
        <v>2.120000000000001</v>
      </c>
      <c r="P13" s="3"/>
      <c r="Q13" s="12">
        <f>B13-H11+B13-H13</f>
        <v>0.23000000000000043</v>
      </c>
      <c r="R13" s="3"/>
      <c r="S13" s="12">
        <f>C13-G11+C13-G13</f>
        <v>1.0999999999999979</v>
      </c>
      <c r="U13" t="s">
        <v>44</v>
      </c>
      <c r="V13">
        <f>(V5+V9)/7</f>
        <v>22.477142857142855</v>
      </c>
    </row>
    <row r="14" spans="1:22" ht="15.75" thickBot="1" x14ac:dyDescent="0.3">
      <c r="A14" s="21"/>
      <c r="B14" s="22">
        <f>(B15-M13)/M13</f>
        <v>-6.28338045868664E-4</v>
      </c>
      <c r="C14" s="14">
        <f>(C15-B15)/B15</f>
        <v>-3.7723986167870938E-3</v>
      </c>
      <c r="D14" s="14">
        <f t="shared" ref="D14:M14" si="6">(D15-C15)/C15</f>
        <v>-7.8889239507731138E-3</v>
      </c>
      <c r="E14" s="14">
        <f t="shared" si="6"/>
        <v>-7.9516539440203562E-3</v>
      </c>
      <c r="F14" s="14">
        <f t="shared" si="6"/>
        <v>-9.6184674575184575E-3</v>
      </c>
      <c r="G14" s="14">
        <f t="shared" si="6"/>
        <v>-1.3920362576885715E-2</v>
      </c>
      <c r="H14" s="14">
        <f t="shared" si="6"/>
        <v>-3.6112934996716819E-3</v>
      </c>
      <c r="I14" s="14">
        <f t="shared" si="6"/>
        <v>0</v>
      </c>
      <c r="J14" s="14">
        <f t="shared" si="6"/>
        <v>7.907742998352502E-3</v>
      </c>
      <c r="K14" s="14">
        <f t="shared" si="6"/>
        <v>-1.5037593984962435E-2</v>
      </c>
      <c r="L14" s="14">
        <f t="shared" si="6"/>
        <v>-1.0952538997676679E-2</v>
      </c>
      <c r="M14" s="14">
        <f t="shared" si="6"/>
        <v>-1.2416107382550369E-2</v>
      </c>
      <c r="O14" s="15"/>
      <c r="P14" s="3"/>
      <c r="Q14" s="15"/>
      <c r="R14" s="3"/>
      <c r="S14" s="15"/>
      <c r="V14">
        <f>V12+V13</f>
        <v>78.97999999999999</v>
      </c>
    </row>
    <row r="15" spans="1:22" ht="15.75" thickBot="1" x14ac:dyDescent="0.3">
      <c r="A15" s="16">
        <v>2003</v>
      </c>
      <c r="B15" s="19">
        <v>31.81</v>
      </c>
      <c r="C15" s="18">
        <v>31.69</v>
      </c>
      <c r="D15" s="18">
        <v>31.44</v>
      </c>
      <c r="E15" s="18">
        <v>31.19</v>
      </c>
      <c r="F15" s="18">
        <v>30.89</v>
      </c>
      <c r="G15" s="18">
        <v>30.46</v>
      </c>
      <c r="H15" s="19">
        <v>30.35</v>
      </c>
      <c r="I15" s="18">
        <v>30.35</v>
      </c>
      <c r="J15" s="18">
        <v>30.59</v>
      </c>
      <c r="K15" s="18">
        <v>30.13</v>
      </c>
      <c r="L15" s="18">
        <v>29.8</v>
      </c>
      <c r="M15" s="20">
        <v>29.43</v>
      </c>
      <c r="O15" s="12">
        <f>B15-B13</f>
        <v>1.3299999999999983</v>
      </c>
      <c r="P15" s="3"/>
      <c r="Q15" s="12">
        <f>B15-H13+B15-H15</f>
        <v>1.759999999999998</v>
      </c>
      <c r="R15" s="3"/>
      <c r="S15" s="12">
        <f>C15-G13+C15-G15</f>
        <v>1.5100000000000016</v>
      </c>
      <c r="V15">
        <f>SUM(V4:V10)/7</f>
        <v>78.98</v>
      </c>
    </row>
    <row r="16" spans="1:22" ht="15.75" thickBot="1" x14ac:dyDescent="0.3">
      <c r="A16" s="21"/>
      <c r="B16" s="22">
        <f>(B17-M15)/M15</f>
        <v>-2.0387359836901171E-2</v>
      </c>
      <c r="C16" s="14">
        <f>(C17-B17)/B17</f>
        <v>-1.1099549080818479E-2</v>
      </c>
      <c r="D16" s="14">
        <f t="shared" ref="D16:M16" si="7">(D17-C17)/C17</f>
        <v>3.507541213608562E-4</v>
      </c>
      <c r="E16" s="14">
        <f t="shared" si="7"/>
        <v>6.3113604488078444E-3</v>
      </c>
      <c r="F16" s="14">
        <f t="shared" si="7"/>
        <v>1.0104529616724709E-2</v>
      </c>
      <c r="G16" s="14">
        <f t="shared" si="7"/>
        <v>1.379786133149455E-3</v>
      </c>
      <c r="H16" s="14">
        <f t="shared" si="7"/>
        <v>1.7223561832585999E-3</v>
      </c>
      <c r="I16" s="14">
        <f t="shared" si="7"/>
        <v>4.8143053645117121E-3</v>
      </c>
      <c r="J16" s="14">
        <f t="shared" si="7"/>
        <v>0</v>
      </c>
      <c r="K16" s="14">
        <f t="shared" si="7"/>
        <v>-5.4757015742642077E-3</v>
      </c>
      <c r="L16" s="14">
        <f t="shared" si="7"/>
        <v>-1.6861665519614537E-2</v>
      </c>
      <c r="M16" s="14">
        <f t="shared" si="7"/>
        <v>-2.3801190059502965E-2</v>
      </c>
      <c r="O16" s="15"/>
      <c r="P16" s="3"/>
      <c r="Q16" s="15"/>
      <c r="R16" s="3"/>
      <c r="S16" s="15"/>
      <c r="U16" t="s">
        <v>45</v>
      </c>
      <c r="V16">
        <f>V12/V13</f>
        <v>2.5137917884835388</v>
      </c>
    </row>
    <row r="17" spans="1:22" ht="15.75" thickBot="1" x14ac:dyDescent="0.3">
      <c r="A17" s="16">
        <v>2004</v>
      </c>
      <c r="B17" s="19">
        <v>28.83</v>
      </c>
      <c r="C17" s="18">
        <v>28.51</v>
      </c>
      <c r="D17" s="18">
        <v>28.52</v>
      </c>
      <c r="E17" s="18">
        <v>28.7</v>
      </c>
      <c r="F17" s="18">
        <v>28.99</v>
      </c>
      <c r="G17" s="18">
        <v>29.03</v>
      </c>
      <c r="H17" s="19">
        <v>29.08</v>
      </c>
      <c r="I17" s="18">
        <v>29.22</v>
      </c>
      <c r="J17" s="18">
        <v>29.22</v>
      </c>
      <c r="K17" s="18">
        <v>29.06</v>
      </c>
      <c r="L17" s="18">
        <v>28.57</v>
      </c>
      <c r="M17" s="20">
        <v>27.89</v>
      </c>
      <c r="O17" s="12">
        <f>B17-B15</f>
        <v>-2.9800000000000004</v>
      </c>
      <c r="P17" s="3"/>
      <c r="Q17" s="12">
        <f>B17-H15+B17-H17</f>
        <v>-1.7700000000000031</v>
      </c>
      <c r="R17" s="3"/>
      <c r="S17" s="12">
        <f>C17-G15+C17-G17</f>
        <v>-2.4699999999999989</v>
      </c>
      <c r="U17" t="s">
        <v>46</v>
      </c>
      <c r="V17">
        <f>100-(100/(1+V16))</f>
        <v>71.540715551857616</v>
      </c>
    </row>
    <row r="18" spans="1:22" ht="15.75" thickBot="1" x14ac:dyDescent="0.3">
      <c r="A18" s="21"/>
      <c r="B18" s="22">
        <f>(B19-M17)/M17</f>
        <v>4.3026174256006093E-3</v>
      </c>
      <c r="C18" s="14">
        <f>(C19-B19)/B19</f>
        <v>-1.0710460549804048E-3</v>
      </c>
      <c r="D18" s="14">
        <f t="shared" ref="D18:M18" si="8">(D19-C19)/C19</f>
        <v>-1.2508934953538293E-2</v>
      </c>
      <c r="E18" s="14">
        <f t="shared" si="8"/>
        <v>6.1527325370974197E-3</v>
      </c>
      <c r="F18" s="14">
        <f t="shared" si="8"/>
        <v>5.7553956834532427E-3</v>
      </c>
      <c r="G18" s="14">
        <f t="shared" si="8"/>
        <v>1.9670958512160254E-2</v>
      </c>
      <c r="H18" s="14">
        <f t="shared" si="8"/>
        <v>6.3135741844966573E-3</v>
      </c>
      <c r="I18" s="14">
        <f t="shared" si="8"/>
        <v>-7.3196235622168294E-3</v>
      </c>
      <c r="J18" s="14">
        <f t="shared" si="8"/>
        <v>-3.8623595505617777E-3</v>
      </c>
      <c r="K18" s="14">
        <f t="shared" si="8"/>
        <v>6.6972153683467648E-3</v>
      </c>
      <c r="L18" s="14">
        <f t="shared" si="8"/>
        <v>7.0028011204482793E-3</v>
      </c>
      <c r="M18" s="14">
        <f t="shared" si="8"/>
        <v>1.3908205841446156E-3</v>
      </c>
      <c r="O18" s="15"/>
      <c r="P18" s="3"/>
      <c r="Q18" s="15"/>
      <c r="R18" s="3"/>
      <c r="S18" s="15"/>
    </row>
    <row r="19" spans="1:22" ht="15.75" thickBot="1" x14ac:dyDescent="0.3">
      <c r="A19" s="16">
        <v>2005</v>
      </c>
      <c r="B19" s="19">
        <v>28.01</v>
      </c>
      <c r="C19" s="18">
        <v>27.98</v>
      </c>
      <c r="D19" s="18">
        <v>27.63</v>
      </c>
      <c r="E19" s="18">
        <v>27.8</v>
      </c>
      <c r="F19" s="18">
        <v>27.96</v>
      </c>
      <c r="G19" s="18">
        <v>28.51</v>
      </c>
      <c r="H19" s="19">
        <v>28.69</v>
      </c>
      <c r="I19" s="18">
        <v>28.48</v>
      </c>
      <c r="J19" s="18">
        <v>28.37</v>
      </c>
      <c r="K19" s="18">
        <v>28.56</v>
      </c>
      <c r="L19" s="18">
        <v>28.76</v>
      </c>
      <c r="M19" s="20">
        <v>28.8</v>
      </c>
      <c r="O19" s="23">
        <f>B19-B17</f>
        <v>-0.81999999999999673</v>
      </c>
      <c r="P19" s="24"/>
      <c r="Q19" s="23">
        <f>B19-H17+B19-H19</f>
        <v>-1.7499999999999964</v>
      </c>
      <c r="R19" s="24"/>
      <c r="S19" s="23">
        <f>C19-G17+C19-G19</f>
        <v>-1.5800000000000018</v>
      </c>
    </row>
    <row r="20" spans="1:22" ht="15.75" thickBot="1" x14ac:dyDescent="0.3">
      <c r="A20" s="21"/>
      <c r="B20" s="22">
        <f>(B21-M19)/M19</f>
        <v>-2.0138888888888953E-2</v>
      </c>
      <c r="C20" s="14">
        <f>(C21-B21)/B21</f>
        <v>-1.0630758327426501E-3</v>
      </c>
      <c r="D20" s="14">
        <f t="shared" ref="D20:M20" si="9">(D21-C21)/C21</f>
        <v>-1.1706278822277469E-2</v>
      </c>
      <c r="E20" s="14">
        <f t="shared" si="9"/>
        <v>-1.112706389088294E-2</v>
      </c>
      <c r="F20" s="14">
        <f t="shared" si="9"/>
        <v>-1.8511796733212398E-2</v>
      </c>
      <c r="G20" s="14">
        <f t="shared" si="9"/>
        <v>-2.2189349112425563E-3</v>
      </c>
      <c r="H20" s="14">
        <f t="shared" si="9"/>
        <v>-2.5945144551519747E-3</v>
      </c>
      <c r="I20" s="14">
        <f t="shared" si="9"/>
        <v>-5.9457450761798642E-3</v>
      </c>
      <c r="J20" s="14">
        <f t="shared" si="9"/>
        <v>-3.73831775700993E-4</v>
      </c>
      <c r="K20" s="14">
        <f t="shared" si="9"/>
        <v>4.4876589379207552E-3</v>
      </c>
      <c r="L20" s="14">
        <f t="shared" si="9"/>
        <v>-9.6798212956067768E-3</v>
      </c>
      <c r="M20" s="14">
        <f t="shared" si="9"/>
        <v>-1.2030075187969934E-2</v>
      </c>
      <c r="O20" s="15"/>
      <c r="P20" s="3"/>
      <c r="Q20" s="15"/>
      <c r="R20" s="3"/>
      <c r="S20" s="15"/>
    </row>
    <row r="21" spans="1:22" ht="15.75" thickBot="1" x14ac:dyDescent="0.3">
      <c r="A21" s="16">
        <v>2006</v>
      </c>
      <c r="B21" s="19">
        <v>28.22</v>
      </c>
      <c r="C21" s="18">
        <v>28.19</v>
      </c>
      <c r="D21" s="18">
        <v>27.86</v>
      </c>
      <c r="E21" s="18">
        <v>27.55</v>
      </c>
      <c r="F21" s="18">
        <v>27.04</v>
      </c>
      <c r="G21" s="18">
        <v>26.98</v>
      </c>
      <c r="H21" s="19">
        <v>26.91</v>
      </c>
      <c r="I21" s="18">
        <v>26.75</v>
      </c>
      <c r="J21" s="18">
        <v>26.74</v>
      </c>
      <c r="K21" s="18">
        <v>26.86</v>
      </c>
      <c r="L21" s="18">
        <v>26.6</v>
      </c>
      <c r="M21" s="20">
        <v>26.28</v>
      </c>
      <c r="O21" s="12">
        <f>B21-B19</f>
        <v>0.2099999999999973</v>
      </c>
      <c r="P21" s="3"/>
      <c r="Q21" s="12">
        <f>B21-H19+B21-H21</f>
        <v>0.83999999999999631</v>
      </c>
      <c r="R21" s="3"/>
      <c r="S21" s="12">
        <f>C21-G19+C21-G21</f>
        <v>0.89000000000000057</v>
      </c>
    </row>
    <row r="22" spans="1:22" ht="15.75" thickBot="1" x14ac:dyDescent="0.3">
      <c r="A22" s="21"/>
      <c r="B22" s="22">
        <f>(B23-M21)/M21</f>
        <v>9.5129375951293754E-3</v>
      </c>
      <c r="C22" s="14">
        <f>(C23-B23)/B23</f>
        <v>-7.5386355069733445E-3</v>
      </c>
      <c r="D22" s="14">
        <f t="shared" ref="D22:M22" si="10">(D23-C23)/C23</f>
        <v>-8.7352829472083886E-3</v>
      </c>
      <c r="E22" s="14">
        <f t="shared" si="10"/>
        <v>-1.0344827586207016E-2</v>
      </c>
      <c r="F22" s="14">
        <f t="shared" si="10"/>
        <v>-3.8714672861006627E-4</v>
      </c>
      <c r="G22" s="14">
        <f t="shared" si="10"/>
        <v>3.0983733539890895E-3</v>
      </c>
      <c r="H22" s="14">
        <f t="shared" si="10"/>
        <v>-1.3899613899613878E-2</v>
      </c>
      <c r="I22" s="14">
        <f t="shared" si="10"/>
        <v>3.1323414252154209E-3</v>
      </c>
      <c r="J22" s="14">
        <f t="shared" si="10"/>
        <v>-1.2099921935987598E-2</v>
      </c>
      <c r="K22" s="14">
        <f t="shared" si="10"/>
        <v>-1.6989332279731321E-2</v>
      </c>
      <c r="L22" s="14">
        <f t="shared" si="10"/>
        <v>-1.6881028938906677E-2</v>
      </c>
      <c r="M22" s="14">
        <f t="shared" si="10"/>
        <v>4.4971381847914733E-3</v>
      </c>
      <c r="O22" s="15"/>
      <c r="P22" s="3"/>
      <c r="Q22" s="15"/>
      <c r="R22" s="3"/>
      <c r="S22" s="15"/>
    </row>
    <row r="23" spans="1:22" ht="15.75" thickBot="1" x14ac:dyDescent="0.3">
      <c r="A23" s="16">
        <v>2007</v>
      </c>
      <c r="B23" s="19">
        <v>26.53</v>
      </c>
      <c r="C23" s="18">
        <v>26.33</v>
      </c>
      <c r="D23" s="18">
        <v>26.1</v>
      </c>
      <c r="E23" s="18">
        <v>25.83</v>
      </c>
      <c r="F23" s="18">
        <v>25.82</v>
      </c>
      <c r="G23" s="18">
        <v>25.9</v>
      </c>
      <c r="H23" s="19">
        <v>25.54</v>
      </c>
      <c r="I23" s="18">
        <v>25.62</v>
      </c>
      <c r="J23" s="18">
        <v>25.31</v>
      </c>
      <c r="K23" s="18">
        <v>24.88</v>
      </c>
      <c r="L23" s="18">
        <v>24.46</v>
      </c>
      <c r="M23" s="20">
        <v>24.57</v>
      </c>
      <c r="O23" s="12">
        <f>B23-B21</f>
        <v>-1.6899999999999977</v>
      </c>
      <c r="P23" s="3"/>
      <c r="Q23" s="12">
        <f>B23-H21+B23-H23</f>
        <v>0.61000000000000298</v>
      </c>
      <c r="R23" s="3"/>
      <c r="S23" s="12">
        <f>C23-G21+C23-G23</f>
        <v>-0.22000000000000242</v>
      </c>
    </row>
    <row r="24" spans="1:22" ht="15.75" thickBot="1" x14ac:dyDescent="0.3">
      <c r="A24" s="21"/>
      <c r="B24" s="22">
        <f>(B25-M23)/M23</f>
        <v>-3.2560032560033313E-3</v>
      </c>
      <c r="C24" s="14">
        <f>(C25-B25)/B25</f>
        <v>4.0832993058397568E-4</v>
      </c>
      <c r="D24" s="14">
        <f t="shared" ref="D24:M24" si="11">(D25-C25)/C25</f>
        <v>-3.1020408163265369E-2</v>
      </c>
      <c r="E24" s="14">
        <f t="shared" si="11"/>
        <v>-9.2670598146587565E-3</v>
      </c>
      <c r="F24" s="14">
        <f t="shared" si="11"/>
        <v>8.5034013605441872E-3</v>
      </c>
      <c r="G24" s="14">
        <f t="shared" si="11"/>
        <v>-3.7942664418212421E-3</v>
      </c>
      <c r="H24" s="14">
        <f t="shared" si="11"/>
        <v>-1.2272534913245838E-2</v>
      </c>
      <c r="I24" s="14">
        <f t="shared" si="11"/>
        <v>3.598971722365038E-2</v>
      </c>
      <c r="J24" s="14">
        <f t="shared" si="11"/>
        <v>4.5078577336641848E-2</v>
      </c>
      <c r="K24" s="14">
        <f t="shared" si="11"/>
        <v>4.5904234269885248E-2</v>
      </c>
      <c r="L24" s="14">
        <f t="shared" si="11"/>
        <v>3.4052213393870545E-2</v>
      </c>
      <c r="M24" s="14">
        <f t="shared" si="11"/>
        <v>3.183315038419323E-2</v>
      </c>
      <c r="O24" s="15"/>
      <c r="P24" s="3"/>
      <c r="Q24" s="15"/>
      <c r="R24" s="3"/>
      <c r="S24" s="15"/>
    </row>
    <row r="25" spans="1:22" ht="15.75" thickBot="1" x14ac:dyDescent="0.3">
      <c r="A25" s="16">
        <v>2008</v>
      </c>
      <c r="B25" s="19">
        <v>24.49</v>
      </c>
      <c r="C25" s="18">
        <v>24.5</v>
      </c>
      <c r="D25" s="18">
        <v>23.74</v>
      </c>
      <c r="E25" s="18">
        <v>23.52</v>
      </c>
      <c r="F25" s="18">
        <v>23.72</v>
      </c>
      <c r="G25" s="18">
        <v>23.63</v>
      </c>
      <c r="H25" s="19">
        <v>23.34</v>
      </c>
      <c r="I25" s="18">
        <v>24.18</v>
      </c>
      <c r="J25" s="18">
        <v>25.27</v>
      </c>
      <c r="K25" s="18">
        <v>26.43</v>
      </c>
      <c r="L25" s="18">
        <v>27.33</v>
      </c>
      <c r="M25" s="20">
        <v>28.2</v>
      </c>
      <c r="O25" s="12">
        <f>B25-B23</f>
        <v>-2.0400000000000027</v>
      </c>
      <c r="P25" s="3"/>
      <c r="Q25" s="12">
        <f>B25-H23+B25-H25</f>
        <v>9.9999999999997868E-2</v>
      </c>
      <c r="R25" s="3"/>
      <c r="S25" s="12">
        <f>C25-G23+C25-G25</f>
        <v>-0.52999999999999758</v>
      </c>
    </row>
    <row r="26" spans="1:22" ht="15.75" thickBot="1" x14ac:dyDescent="0.3">
      <c r="A26" s="21"/>
      <c r="B26" s="22">
        <f>(B27-M25)/M25</f>
        <v>0.15212765957446819</v>
      </c>
      <c r="C26" s="14">
        <f>(C27-B27)/B27</f>
        <v>0.10218528778085564</v>
      </c>
      <c r="D26" s="14">
        <f t="shared" ref="D26:M26" si="12">(D27-C27)/C27</f>
        <v>-3.323094107791133E-2</v>
      </c>
      <c r="E26" s="14">
        <f t="shared" si="12"/>
        <v>-3.1195840554592673E-2</v>
      </c>
      <c r="F26" s="14">
        <f t="shared" si="12"/>
        <v>-4.7704233750745319E-2</v>
      </c>
      <c r="G26" s="14">
        <f t="shared" si="12"/>
        <v>-2.7864746399499079E-2</v>
      </c>
      <c r="H26" s="14">
        <f t="shared" si="12"/>
        <v>1.4814814814814841E-2</v>
      </c>
      <c r="I26" s="14">
        <f t="shared" si="12"/>
        <v>5.3951126626467201E-3</v>
      </c>
      <c r="J26" s="14">
        <f t="shared" si="12"/>
        <v>-2.8724747474747479E-2</v>
      </c>
      <c r="K26" s="14">
        <f t="shared" si="12"/>
        <v>-4.3548911277218064E-2</v>
      </c>
      <c r="L26" s="14">
        <f t="shared" si="12"/>
        <v>-1.7669045191980957E-2</v>
      </c>
      <c r="M26" s="14">
        <f t="shared" si="12"/>
        <v>3.6319612590799057E-2</v>
      </c>
      <c r="O26" s="15"/>
      <c r="P26" s="3"/>
      <c r="Q26" s="15"/>
      <c r="R26" s="3"/>
      <c r="S26" s="15"/>
    </row>
    <row r="27" spans="1:22" ht="15.75" thickBot="1" x14ac:dyDescent="0.3">
      <c r="A27" s="16">
        <v>2009</v>
      </c>
      <c r="B27" s="19">
        <v>32.49</v>
      </c>
      <c r="C27" s="18">
        <v>35.81</v>
      </c>
      <c r="D27" s="18">
        <v>34.619999999999997</v>
      </c>
      <c r="E27" s="18">
        <v>33.54</v>
      </c>
      <c r="F27" s="18">
        <v>31.94</v>
      </c>
      <c r="G27" s="18">
        <v>31.05</v>
      </c>
      <c r="H27" s="19">
        <v>31.51</v>
      </c>
      <c r="I27" s="18">
        <v>31.68</v>
      </c>
      <c r="J27" s="18">
        <v>30.77</v>
      </c>
      <c r="K27" s="18">
        <v>29.43</v>
      </c>
      <c r="L27" s="18">
        <v>28.91</v>
      </c>
      <c r="M27" s="20">
        <v>29.96</v>
      </c>
      <c r="O27" s="12">
        <f>B27-B25</f>
        <v>8.0000000000000036</v>
      </c>
      <c r="P27" s="3"/>
      <c r="Q27" s="12">
        <f>B27-H25+B27-H27</f>
        <v>10.129999999999999</v>
      </c>
      <c r="R27" s="3"/>
      <c r="S27" s="12">
        <f>C27-G25+C27-G27</f>
        <v>16.940000000000008</v>
      </c>
    </row>
    <row r="28" spans="1:22" ht="15.75" thickBot="1" x14ac:dyDescent="0.3">
      <c r="A28" s="21"/>
      <c r="B28" s="22">
        <f>(B29-M27)/M27</f>
        <v>-4.3391188251002185E-3</v>
      </c>
      <c r="C28" s="14">
        <f>(C29-B29)/B29</f>
        <v>1.0727455581629242E-2</v>
      </c>
      <c r="D28" s="14">
        <f t="shared" ref="D28:M28" si="13">(D29-C29)/C29</f>
        <v>-1.9900497512437741E-2</v>
      </c>
      <c r="E28" s="14">
        <f t="shared" si="13"/>
        <v>-1.2859560067681861E-2</v>
      </c>
      <c r="F28" s="14">
        <f t="shared" si="13"/>
        <v>4.5937607130613636E-2</v>
      </c>
      <c r="G28" s="14">
        <f t="shared" si="13"/>
        <v>2.2287774500163872E-2</v>
      </c>
      <c r="H28" s="14">
        <f t="shared" si="13"/>
        <v>-1.7313241423533271E-2</v>
      </c>
      <c r="I28" s="14">
        <f t="shared" si="13"/>
        <v>-9.1353996737356478E-3</v>
      </c>
      <c r="J28" s="14">
        <f t="shared" si="13"/>
        <v>1.3829436944352919E-2</v>
      </c>
      <c r="K28" s="14">
        <f t="shared" si="13"/>
        <v>-1.558947710295552E-2</v>
      </c>
      <c r="L28" s="14">
        <f t="shared" si="13"/>
        <v>2.2764764104256065E-2</v>
      </c>
      <c r="M28" s="14">
        <f t="shared" si="13"/>
        <v>-5.4838709677419908E-3</v>
      </c>
      <c r="O28" s="15"/>
      <c r="P28" s="3"/>
      <c r="Q28" s="15"/>
      <c r="R28" s="3"/>
      <c r="S28" s="15"/>
    </row>
    <row r="29" spans="1:22" ht="15.75" thickBot="1" x14ac:dyDescent="0.3">
      <c r="A29" s="1">
        <v>2010</v>
      </c>
      <c r="B29" s="25">
        <v>29.83</v>
      </c>
      <c r="C29" s="2">
        <v>30.15</v>
      </c>
      <c r="D29" s="2">
        <v>29.55</v>
      </c>
      <c r="E29" s="2">
        <v>29.17</v>
      </c>
      <c r="F29" s="2">
        <v>30.51</v>
      </c>
      <c r="G29" s="2">
        <v>31.19</v>
      </c>
      <c r="H29" s="25">
        <v>30.65</v>
      </c>
      <c r="I29" s="2">
        <v>30.37</v>
      </c>
      <c r="J29" s="2">
        <v>30.79</v>
      </c>
      <c r="K29" s="2">
        <v>30.31</v>
      </c>
      <c r="L29" s="2">
        <v>31</v>
      </c>
      <c r="M29" s="26">
        <v>30.83</v>
      </c>
      <c r="O29" s="23">
        <f>B29-B27</f>
        <v>-2.6600000000000037</v>
      </c>
      <c r="P29" s="24"/>
      <c r="Q29" s="23">
        <f>B29-H27+B29-H29</f>
        <v>-2.5000000000000036</v>
      </c>
      <c r="R29" s="24"/>
      <c r="S29" s="23">
        <f>C29-G27+C29-G29</f>
        <v>-1.9400000000000048</v>
      </c>
    </row>
    <row r="30" spans="1:22" x14ac:dyDescent="0.25">
      <c r="A30" s="148">
        <v>2011</v>
      </c>
      <c r="B30" s="27">
        <f>(B31-M29)/M29</f>
        <v>-2.7570548167369379E-2</v>
      </c>
      <c r="C30" s="28">
        <f>(C31-B31)/B31</f>
        <v>-2.2681787858572371E-2</v>
      </c>
      <c r="D30" s="28">
        <f t="shared" ref="D30:M30" si="14">(D31-C31)/C31</f>
        <v>-2.8668941979522179E-2</v>
      </c>
      <c r="E30" s="28">
        <f t="shared" si="14"/>
        <v>-1.4054813773717572E-2</v>
      </c>
      <c r="F30" s="28">
        <f t="shared" si="14"/>
        <v>-4.6329294369208485E-3</v>
      </c>
      <c r="G30" s="28">
        <f t="shared" si="14"/>
        <v>1.7901897601145975E-3</v>
      </c>
      <c r="H30" s="28">
        <f t="shared" si="14"/>
        <v>-2.5017869907076585E-3</v>
      </c>
      <c r="I30" s="28">
        <f t="shared" si="14"/>
        <v>2.9738445001791413E-2</v>
      </c>
      <c r="J30" s="28">
        <f t="shared" si="14"/>
        <v>6.5762004175365374E-2</v>
      </c>
      <c r="K30" s="28">
        <f t="shared" si="14"/>
        <v>2.1547502448579829E-2</v>
      </c>
      <c r="L30" s="28">
        <f t="shared" si="14"/>
        <v>-1.3103227868328545E-2</v>
      </c>
      <c r="M30" s="29">
        <f t="shared" si="14"/>
        <v>1.9753886010362678E-2</v>
      </c>
      <c r="O30" s="15"/>
      <c r="P30" s="3"/>
      <c r="Q30" s="15"/>
      <c r="R30" s="3"/>
      <c r="S30" s="15"/>
    </row>
    <row r="31" spans="1:22" ht="15.75" thickBot="1" x14ac:dyDescent="0.3">
      <c r="A31" s="149"/>
      <c r="B31" s="30">
        <v>29.98</v>
      </c>
      <c r="C31" s="30">
        <v>29.3</v>
      </c>
      <c r="D31" s="30">
        <v>28.46</v>
      </c>
      <c r="E31" s="30">
        <v>28.06</v>
      </c>
      <c r="F31" s="30">
        <v>27.93</v>
      </c>
      <c r="G31" s="30">
        <v>27.98</v>
      </c>
      <c r="H31" s="30">
        <v>27.91</v>
      </c>
      <c r="I31" s="30">
        <v>28.74</v>
      </c>
      <c r="J31" s="30">
        <v>30.63</v>
      </c>
      <c r="K31" s="30">
        <v>31.29</v>
      </c>
      <c r="L31" s="30">
        <v>30.88</v>
      </c>
      <c r="M31" s="31">
        <v>31.49</v>
      </c>
      <c r="O31" s="12">
        <f>B31-B29</f>
        <v>0.15000000000000213</v>
      </c>
      <c r="P31" s="3"/>
      <c r="Q31" s="12">
        <f>B31-H29+B31-H31</f>
        <v>1.4000000000000021</v>
      </c>
      <c r="R31" s="3"/>
      <c r="S31" s="12">
        <f>C31-G29+C31-G31</f>
        <v>-0.57000000000000028</v>
      </c>
    </row>
    <row r="32" spans="1:22" x14ac:dyDescent="0.25">
      <c r="A32" s="150">
        <v>2012</v>
      </c>
      <c r="B32" s="32">
        <f>(B33-M31)/M31</f>
        <v>-9.8443950460463236E-3</v>
      </c>
      <c r="C32" s="33">
        <f>(C33-B33)/B33</f>
        <v>-4.3617703656189846E-2</v>
      </c>
      <c r="D32" s="33">
        <f t="shared" ref="D32:M32" si="15">(D33-C33)/C33</f>
        <v>-1.6096579476861182E-2</v>
      </c>
      <c r="E32" s="33">
        <f t="shared" si="15"/>
        <v>5.1124744376277636E-3</v>
      </c>
      <c r="F32" s="33">
        <f t="shared" si="15"/>
        <v>4.7812817904374375E-2</v>
      </c>
      <c r="G32" s="33">
        <f t="shared" si="15"/>
        <v>6.375404530744333E-2</v>
      </c>
      <c r="H32" s="33">
        <f t="shared" si="15"/>
        <v>-1.0952236081533296E-2</v>
      </c>
      <c r="I32" s="33">
        <f t="shared" si="15"/>
        <v>-1.6610273761919384E-2</v>
      </c>
      <c r="J32" s="33">
        <f t="shared" si="15"/>
        <v>-1.5952455426962716E-2</v>
      </c>
      <c r="K32" s="33">
        <f t="shared" si="15"/>
        <v>-1.0807374443738076E-2</v>
      </c>
      <c r="L32" s="33">
        <f t="shared" si="15"/>
        <v>8.0334190231362464E-3</v>
      </c>
      <c r="M32" s="34">
        <f t="shared" si="15"/>
        <v>-2.0401657634682834E-2</v>
      </c>
      <c r="O32" s="15"/>
      <c r="P32" s="3"/>
      <c r="Q32" s="15"/>
      <c r="R32" s="3"/>
      <c r="S32" s="15"/>
    </row>
    <row r="33" spans="1:22" ht="15.75" thickBot="1" x14ac:dyDescent="0.3">
      <c r="A33" s="151"/>
      <c r="B33" s="35">
        <v>31.18</v>
      </c>
      <c r="C33" s="35">
        <v>29.82</v>
      </c>
      <c r="D33" s="35">
        <v>29.34</v>
      </c>
      <c r="E33" s="35">
        <v>29.49</v>
      </c>
      <c r="F33" s="35">
        <v>30.9</v>
      </c>
      <c r="G33" s="35">
        <v>32.869999999999997</v>
      </c>
      <c r="H33" s="35">
        <v>32.51</v>
      </c>
      <c r="I33" s="35">
        <v>31.97</v>
      </c>
      <c r="J33" s="35">
        <v>31.46</v>
      </c>
      <c r="K33" s="35">
        <v>31.12</v>
      </c>
      <c r="L33" s="35">
        <v>31.37</v>
      </c>
      <c r="M33" s="36">
        <v>30.73</v>
      </c>
      <c r="O33" s="12">
        <f>B33-B31</f>
        <v>1.1999999999999993</v>
      </c>
      <c r="P33" s="3"/>
      <c r="Q33" s="12">
        <f>B33-H31+B33-H33</f>
        <v>1.9400000000000048</v>
      </c>
      <c r="R33" s="3"/>
      <c r="S33" s="12">
        <f>C33-G31+C33-G33</f>
        <v>-1.2099999999999973</v>
      </c>
    </row>
    <row r="34" spans="1:22" x14ac:dyDescent="0.25">
      <c r="A34" s="152">
        <v>2013</v>
      </c>
      <c r="B34" s="37">
        <f>(B35-M33)/M33</f>
        <v>-1.6921575008135358E-2</v>
      </c>
      <c r="C34" s="38">
        <f>(C35-B35)/B35</f>
        <v>-9.9304865938434753E-4</v>
      </c>
      <c r="D34" s="38">
        <f t="shared" ref="D34:M34" si="16">(D35-C35)/C35</f>
        <v>2.0874751491053646E-2</v>
      </c>
      <c r="E34" s="38">
        <f t="shared" si="16"/>
        <v>1.6877637130801676E-2</v>
      </c>
      <c r="F34" s="38">
        <f t="shared" si="16"/>
        <v>3.1918289179704961E-4</v>
      </c>
      <c r="G34" s="38">
        <f t="shared" si="16"/>
        <v>3.1589023611997398E-2</v>
      </c>
      <c r="H34" s="38">
        <f t="shared" si="16"/>
        <v>1.2991030003093157E-2</v>
      </c>
      <c r="I34" s="38">
        <f t="shared" si="16"/>
        <v>8.2442748091604012E-3</v>
      </c>
      <c r="J34" s="38">
        <f t="shared" si="16"/>
        <v>-1.3022410660205926E-2</v>
      </c>
      <c r="K34" s="38">
        <f t="shared" si="16"/>
        <v>-1.5648972077324488E-2</v>
      </c>
      <c r="L34" s="38">
        <f t="shared" si="16"/>
        <v>1.9950124688279322E-2</v>
      </c>
      <c r="M34" s="39">
        <f t="shared" si="16"/>
        <v>4.5843520782395657E-3</v>
      </c>
      <c r="O34" s="15"/>
      <c r="P34" s="3"/>
      <c r="Q34" s="15"/>
      <c r="R34" s="3"/>
      <c r="S34" s="15"/>
    </row>
    <row r="35" spans="1:22" ht="15.75" thickBot="1" x14ac:dyDescent="0.3">
      <c r="A35" s="149"/>
      <c r="B35" s="30">
        <v>30.21</v>
      </c>
      <c r="C35" s="30">
        <v>30.18</v>
      </c>
      <c r="D35" s="30">
        <v>30.81</v>
      </c>
      <c r="E35" s="30">
        <v>31.33</v>
      </c>
      <c r="F35" s="30">
        <v>31.34</v>
      </c>
      <c r="G35" s="30">
        <v>32.33</v>
      </c>
      <c r="H35" s="30">
        <v>32.75</v>
      </c>
      <c r="I35" s="30">
        <v>33.020000000000003</v>
      </c>
      <c r="J35" s="30">
        <v>32.590000000000003</v>
      </c>
      <c r="K35" s="30">
        <v>32.08</v>
      </c>
      <c r="L35" s="30">
        <v>32.72</v>
      </c>
      <c r="M35" s="31">
        <v>32.869999999999997</v>
      </c>
      <c r="O35" s="12">
        <f>B35-B33</f>
        <v>-0.96999999999999886</v>
      </c>
      <c r="P35" s="3"/>
      <c r="Q35" s="12">
        <f>B35-H33+B35-H35</f>
        <v>-4.8399999999999963</v>
      </c>
      <c r="R35" s="3"/>
      <c r="S35" s="12">
        <f>C35-G33+C35-G35</f>
        <v>-4.8399999999999963</v>
      </c>
    </row>
    <row r="36" spans="1:22" x14ac:dyDescent="0.25">
      <c r="A36" s="150">
        <v>2014</v>
      </c>
      <c r="B36" s="40">
        <f>(B37-M35)/M35</f>
        <v>3.2248250684514826E-2</v>
      </c>
      <c r="C36" s="40">
        <f>(C37-B37)/B37</f>
        <v>4.0082522841143511E-2</v>
      </c>
      <c r="D36" s="40">
        <f t="shared" ref="D36:M36" si="17">(D37-C37)/C37</f>
        <v>2.4652876168886298E-2</v>
      </c>
      <c r="E36" s="40">
        <f t="shared" si="17"/>
        <v>-1.3550884955752072E-2</v>
      </c>
      <c r="F36" s="40">
        <f t="shared" si="17"/>
        <v>-2.3549201009251567E-2</v>
      </c>
      <c r="G36" s="40">
        <f t="shared" si="17"/>
        <v>-1.2058570198105131E-2</v>
      </c>
      <c r="H36" s="40">
        <f t="shared" si="17"/>
        <v>8.4277826213311913E-3</v>
      </c>
      <c r="I36" s="40">
        <f t="shared" si="17"/>
        <v>4.092219020172895E-2</v>
      </c>
      <c r="J36" s="40">
        <f t="shared" si="17"/>
        <v>5.0941306755260339E-2</v>
      </c>
      <c r="K36" s="40">
        <f t="shared" si="17"/>
        <v>7.7713382507902939E-2</v>
      </c>
      <c r="L36" s="40">
        <f t="shared" si="17"/>
        <v>0.12955267660718661</v>
      </c>
      <c r="M36" s="41">
        <f t="shared" si="17"/>
        <v>0.207314434105172</v>
      </c>
      <c r="O36" s="15"/>
      <c r="P36" s="3"/>
      <c r="Q36" s="15"/>
      <c r="R36" s="3"/>
      <c r="S36" s="15"/>
      <c r="V36">
        <f>V1</f>
        <v>0</v>
      </c>
    </row>
    <row r="37" spans="1:22" ht="15.75" thickBot="1" x14ac:dyDescent="0.3">
      <c r="A37" s="151"/>
      <c r="B37" s="42">
        <v>33.93</v>
      </c>
      <c r="C37" s="42">
        <v>35.29</v>
      </c>
      <c r="D37" s="42">
        <v>36.159999999999997</v>
      </c>
      <c r="E37" s="42">
        <v>35.67</v>
      </c>
      <c r="F37" s="42">
        <v>34.83</v>
      </c>
      <c r="G37" s="42">
        <v>34.409999999999997</v>
      </c>
      <c r="H37" s="42">
        <v>34.700000000000003</v>
      </c>
      <c r="I37" s="42">
        <v>36.119999999999997</v>
      </c>
      <c r="J37" s="42">
        <v>37.96</v>
      </c>
      <c r="K37" s="42">
        <v>40.909999999999997</v>
      </c>
      <c r="L37" s="42">
        <v>46.21</v>
      </c>
      <c r="M37" s="43">
        <v>55.79</v>
      </c>
      <c r="O37" s="12">
        <f>B37-B35</f>
        <v>3.7199999999999989</v>
      </c>
      <c r="P37" s="3"/>
      <c r="Q37" s="12">
        <f>B37-H35+B37-H37</f>
        <v>0.40999999999999659</v>
      </c>
      <c r="R37" s="3"/>
      <c r="S37" s="12">
        <f>C37-G35+C37-G37</f>
        <v>3.8400000000000034</v>
      </c>
    </row>
    <row r="38" spans="1:22" ht="15.75" thickBot="1" x14ac:dyDescent="0.3">
      <c r="A38" s="148">
        <v>2015</v>
      </c>
      <c r="B38" s="44">
        <f>(B39-M37)/M37</f>
        <v>0.16777200215092322</v>
      </c>
      <c r="C38" s="44">
        <f>(C39-B39)/B39</f>
        <v>-9.8234842670759867E-3</v>
      </c>
      <c r="D38" s="44">
        <f t="shared" ref="D38:M38" si="18">(D39-C39)/C39</f>
        <v>-6.6346302898775508E-2</v>
      </c>
      <c r="E38" s="44">
        <f t="shared" si="18"/>
        <v>-0.11804748464220488</v>
      </c>
      <c r="F38" s="44">
        <f t="shared" si="18"/>
        <v>-5.0075301204819213E-2</v>
      </c>
      <c r="G38" s="44">
        <f t="shared" si="18"/>
        <v>8.0261593341260346E-2</v>
      </c>
      <c r="H38" s="44">
        <f t="shared" si="18"/>
        <v>5.1366721702439999E-2</v>
      </c>
      <c r="I38" s="44">
        <f t="shared" si="18"/>
        <v>0.14255801779794106</v>
      </c>
      <c r="J38" s="44">
        <f t="shared" si="18"/>
        <v>1.9089798411728771E-2</v>
      </c>
      <c r="K38" s="44">
        <f t="shared" si="18"/>
        <v>-5.2300314701034044E-2</v>
      </c>
      <c r="L38" s="44">
        <f t="shared" si="18"/>
        <v>2.9569892473118239E-2</v>
      </c>
      <c r="M38" s="45">
        <f t="shared" si="18"/>
        <v>7.2185532176317041E-2</v>
      </c>
      <c r="O38" s="15"/>
      <c r="P38" s="3"/>
      <c r="Q38" s="15"/>
      <c r="R38" s="3"/>
      <c r="S38" s="15"/>
    </row>
    <row r="39" spans="1:22" ht="15.75" thickBot="1" x14ac:dyDescent="0.3">
      <c r="A39" s="149"/>
      <c r="B39" s="46">
        <v>65.150000000000006</v>
      </c>
      <c r="C39" s="46">
        <v>64.510000000000005</v>
      </c>
      <c r="D39" s="46">
        <v>60.23</v>
      </c>
      <c r="E39" s="46">
        <v>53.12</v>
      </c>
      <c r="F39" s="46">
        <v>50.46</v>
      </c>
      <c r="G39" s="46">
        <v>54.51</v>
      </c>
      <c r="H39" s="46">
        <v>57.31</v>
      </c>
      <c r="I39" s="46">
        <v>65.48</v>
      </c>
      <c r="J39" s="46">
        <v>66.73</v>
      </c>
      <c r="K39" s="46">
        <v>63.24</v>
      </c>
      <c r="L39" s="46">
        <v>65.11</v>
      </c>
      <c r="M39" s="47">
        <v>69.81</v>
      </c>
      <c r="O39" s="23">
        <f>B39-B37</f>
        <v>31.220000000000006</v>
      </c>
      <c r="P39" s="24"/>
      <c r="Q39" s="23">
        <f>B39-H37+B39-H39</f>
        <v>38.290000000000006</v>
      </c>
      <c r="R39" s="24"/>
      <c r="S39" s="23">
        <f>C39-G37+C39-G39</f>
        <v>40.100000000000016</v>
      </c>
    </row>
    <row r="40" spans="1:22" x14ac:dyDescent="0.25">
      <c r="A40" s="153">
        <v>2016</v>
      </c>
      <c r="B40" s="48">
        <f>(B41-M39)/M39</f>
        <v>0.11631571408107727</v>
      </c>
      <c r="C40" s="48">
        <f>(C41-B41)/B41</f>
        <v>-7.6992172462467404E-3</v>
      </c>
      <c r="D40" s="48">
        <f t="shared" ref="D40:M40" si="19">(D41-C41)/C41</f>
        <v>-8.9357299883615626E-2</v>
      </c>
      <c r="E40" s="48">
        <f t="shared" si="19"/>
        <v>-5.3109911956830375E-2</v>
      </c>
      <c r="F40" s="48">
        <f t="shared" si="19"/>
        <v>-1.2597480503899271E-2</v>
      </c>
      <c r="G40" s="48">
        <f t="shared" si="19"/>
        <v>-9.4167679222357907E-3</v>
      </c>
      <c r="H40" s="48">
        <f t="shared" si="19"/>
        <v>-1.34927936215884E-2</v>
      </c>
      <c r="I40" s="48">
        <f t="shared" si="19"/>
        <v>9.3254585017095784E-3</v>
      </c>
      <c r="J40" s="48">
        <f t="shared" si="19"/>
        <v>-5.8515552817985138E-3</v>
      </c>
      <c r="K40" s="48">
        <f t="shared" si="19"/>
        <v>-3.004956629491953E-2</v>
      </c>
      <c r="L40" s="48">
        <f t="shared" si="19"/>
        <v>2.6988182689236744E-2</v>
      </c>
      <c r="M40" s="49">
        <f t="shared" si="19"/>
        <v>-3.4520292334007135E-2</v>
      </c>
      <c r="O40" s="15"/>
      <c r="P40" s="3"/>
      <c r="Q40" s="15"/>
      <c r="R40" s="3"/>
      <c r="S40" s="15"/>
    </row>
    <row r="41" spans="1:22" ht="15.75" thickBot="1" x14ac:dyDescent="0.3">
      <c r="A41" s="151"/>
      <c r="B41" s="42">
        <v>77.930000000000007</v>
      </c>
      <c r="C41" s="50">
        <v>77.33</v>
      </c>
      <c r="D41" s="50">
        <v>70.42</v>
      </c>
      <c r="E41" s="50">
        <v>66.680000000000007</v>
      </c>
      <c r="F41" s="50">
        <v>65.84</v>
      </c>
      <c r="G41" s="50">
        <v>65.22</v>
      </c>
      <c r="H41" s="50">
        <v>64.34</v>
      </c>
      <c r="I41" s="50">
        <v>64.94</v>
      </c>
      <c r="J41" s="50">
        <v>64.56</v>
      </c>
      <c r="K41" s="50">
        <v>62.62</v>
      </c>
      <c r="L41" s="50">
        <v>64.31</v>
      </c>
      <c r="M41" s="51">
        <v>62.09</v>
      </c>
      <c r="O41" s="52">
        <f>B41-B39</f>
        <v>12.780000000000001</v>
      </c>
      <c r="P41" s="3"/>
      <c r="Q41" s="52">
        <f>B41-H39+B41-H41</f>
        <v>34.210000000000008</v>
      </c>
      <c r="R41" s="3"/>
      <c r="S41" s="52">
        <f>C41-G39+C41-G41</f>
        <v>34.930000000000007</v>
      </c>
    </row>
    <row r="42" spans="1:22" x14ac:dyDescent="0.25">
      <c r="A42" s="148">
        <v>2017</v>
      </c>
      <c r="B42" s="53">
        <f>(B43-M41)/M41</f>
        <v>-3.9780963118054534E-2</v>
      </c>
      <c r="C42" s="53">
        <f>(C43-B43)/B43</f>
        <v>-1.8114726601811446E-2</v>
      </c>
      <c r="D42" s="53">
        <f t="shared" ref="D42:M42" si="20">(D43-C43)/C43</f>
        <v>-9.0536385377519846E-3</v>
      </c>
      <c r="E42" s="53">
        <f t="shared" si="20"/>
        <v>-2.7236683330460237E-2</v>
      </c>
      <c r="F42" s="53">
        <f t="shared" si="20"/>
        <v>-0.98227892964735075</v>
      </c>
      <c r="G42" s="53">
        <f t="shared" si="20"/>
        <v>0</v>
      </c>
      <c r="H42" s="53">
        <f t="shared" si="20"/>
        <v>0</v>
      </c>
      <c r="I42" s="53">
        <f t="shared" si="20"/>
        <v>0</v>
      </c>
      <c r="J42" s="53">
        <f t="shared" si="20"/>
        <v>0</v>
      </c>
      <c r="K42" s="53">
        <f t="shared" si="20"/>
        <v>0</v>
      </c>
      <c r="L42" s="53">
        <f t="shared" si="20"/>
        <v>0</v>
      </c>
      <c r="M42" s="54">
        <f t="shared" si="20"/>
        <v>0</v>
      </c>
      <c r="O42" s="15"/>
      <c r="P42" s="3"/>
      <c r="Q42" s="15"/>
      <c r="R42" s="3"/>
      <c r="S42" s="15"/>
    </row>
    <row r="43" spans="1:22" ht="15.75" thickBot="1" x14ac:dyDescent="0.3">
      <c r="A43" s="149"/>
      <c r="B43" s="55">
        <v>59.62</v>
      </c>
      <c r="C43" s="55">
        <v>58.54</v>
      </c>
      <c r="D43" s="55">
        <v>58.01</v>
      </c>
      <c r="E43" s="55">
        <v>56.43</v>
      </c>
      <c r="F43" s="55">
        <v>1</v>
      </c>
      <c r="G43" s="55">
        <v>1</v>
      </c>
      <c r="H43" s="55">
        <v>1</v>
      </c>
      <c r="I43" s="55">
        <v>1</v>
      </c>
      <c r="J43" s="55">
        <v>1</v>
      </c>
      <c r="K43" s="55">
        <v>1</v>
      </c>
      <c r="L43" s="55">
        <v>1</v>
      </c>
      <c r="M43" s="56">
        <v>1</v>
      </c>
      <c r="O43" s="52">
        <f>B43-B41</f>
        <v>-18.310000000000009</v>
      </c>
      <c r="P43" s="3"/>
      <c r="Q43" s="52">
        <f>B43-H41+B43-H43</f>
        <v>53.899999999999991</v>
      </c>
      <c r="R43" s="3"/>
      <c r="S43" s="52">
        <f>C43-G41+C43-G43</f>
        <v>50.86</v>
      </c>
    </row>
  </sheetData>
  <mergeCells count="7">
    <mergeCell ref="A42:A43"/>
    <mergeCell ref="A30:A31"/>
    <mergeCell ref="A32:A33"/>
    <mergeCell ref="A34:A35"/>
    <mergeCell ref="A36:A37"/>
    <mergeCell ref="A38:A39"/>
    <mergeCell ref="A40:A4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90</vt:i4>
      </vt:variant>
    </vt:vector>
  </HeadingPairs>
  <TitlesOfParts>
    <vt:vector size="94" baseType="lpstr">
      <vt:lpstr>share</vt:lpstr>
      <vt:lpstr>cmp</vt:lpstr>
      <vt:lpstr>t</vt:lpstr>
      <vt:lpstr>$-Ru</vt:lpstr>
      <vt:lpstr>t!data_13</vt:lpstr>
      <vt:lpstr>t!data_14</vt:lpstr>
      <vt:lpstr>t!data_15</vt:lpstr>
      <vt:lpstr>t!data_16</vt:lpstr>
      <vt:lpstr>t!data_17</vt:lpstr>
      <vt:lpstr>t!data_2</vt:lpstr>
      <vt:lpstr>t!data_3</vt:lpstr>
      <vt:lpstr>t!data_4</vt:lpstr>
      <vt:lpstr>t!data_5</vt:lpstr>
      <vt:lpstr>t!data_6</vt:lpstr>
      <vt:lpstr>t!data_7</vt:lpstr>
      <vt:lpstr>t!data_t</vt:lpstr>
      <vt:lpstr>t!data_t_1</vt:lpstr>
      <vt:lpstr>t!data_t_10</vt:lpstr>
      <vt:lpstr>t!data_t_11</vt:lpstr>
      <vt:lpstr>t!data_t_12</vt:lpstr>
      <vt:lpstr>t!data_t_13</vt:lpstr>
      <vt:lpstr>t!data_t_14</vt:lpstr>
      <vt:lpstr>t!data_t_15</vt:lpstr>
      <vt:lpstr>t!data_t_16</vt:lpstr>
      <vt:lpstr>t!data_t_17</vt:lpstr>
      <vt:lpstr>t!data_t_18</vt:lpstr>
      <vt:lpstr>t!data_t_19</vt:lpstr>
      <vt:lpstr>t!data_t_2</vt:lpstr>
      <vt:lpstr>t!data_t_20</vt:lpstr>
      <vt:lpstr>t!data_t_21</vt:lpstr>
      <vt:lpstr>t!data_t_22</vt:lpstr>
      <vt:lpstr>t!data_t_23</vt:lpstr>
      <vt:lpstr>t!data_t_24</vt:lpstr>
      <vt:lpstr>t!data_t_25</vt:lpstr>
      <vt:lpstr>t!data_t_26</vt:lpstr>
      <vt:lpstr>t!data_t_27</vt:lpstr>
      <vt:lpstr>t!data_t_28</vt:lpstr>
      <vt:lpstr>t!data_t_29</vt:lpstr>
      <vt:lpstr>t!data_t_3</vt:lpstr>
      <vt:lpstr>t!data_t_30</vt:lpstr>
      <vt:lpstr>t!data_t_31</vt:lpstr>
      <vt:lpstr>t!data_t_32</vt:lpstr>
      <vt:lpstr>t!data_t_33</vt:lpstr>
      <vt:lpstr>t!data_t_34</vt:lpstr>
      <vt:lpstr>t!data_t_35</vt:lpstr>
      <vt:lpstr>t!data_t_36</vt:lpstr>
      <vt:lpstr>t!data_t_37</vt:lpstr>
      <vt:lpstr>t!data_t_38</vt:lpstr>
      <vt:lpstr>t!data_t_39</vt:lpstr>
      <vt:lpstr>t!data_t_4</vt:lpstr>
      <vt:lpstr>t!data_t_40</vt:lpstr>
      <vt:lpstr>t!data_t_41</vt:lpstr>
      <vt:lpstr>t!data_t_42</vt:lpstr>
      <vt:lpstr>t!data_t_43</vt:lpstr>
      <vt:lpstr>t!data_t_44</vt:lpstr>
      <vt:lpstr>t!data_t_45</vt:lpstr>
      <vt:lpstr>t!data_t_46</vt:lpstr>
      <vt:lpstr>t!data_t_47</vt:lpstr>
      <vt:lpstr>t!data_t_48</vt:lpstr>
      <vt:lpstr>t!data_t_49</vt:lpstr>
      <vt:lpstr>t!data_t_5</vt:lpstr>
      <vt:lpstr>t!data_t_50</vt:lpstr>
      <vt:lpstr>t!data_t_51</vt:lpstr>
      <vt:lpstr>t!data_t_52</vt:lpstr>
      <vt:lpstr>t!data_t_53</vt:lpstr>
      <vt:lpstr>t!data_t_54</vt:lpstr>
      <vt:lpstr>t!data_t_55</vt:lpstr>
      <vt:lpstr>t!data_t_56</vt:lpstr>
      <vt:lpstr>t!data_t_57</vt:lpstr>
      <vt:lpstr>t!data_t_58</vt:lpstr>
      <vt:lpstr>t!data_t_59</vt:lpstr>
      <vt:lpstr>t!data_t_6</vt:lpstr>
      <vt:lpstr>t!data_t_60</vt:lpstr>
      <vt:lpstr>t!data_t_61</vt:lpstr>
      <vt:lpstr>t!data_t_62</vt:lpstr>
      <vt:lpstr>t!data_t_63</vt:lpstr>
      <vt:lpstr>t!data_t_64</vt:lpstr>
      <vt:lpstr>t!data_t_65</vt:lpstr>
      <vt:lpstr>t!data_t_66</vt:lpstr>
      <vt:lpstr>t!data_t_67</vt:lpstr>
      <vt:lpstr>t!data_t_68</vt:lpstr>
      <vt:lpstr>t!data_t_69</vt:lpstr>
      <vt:lpstr>t!data_t_7</vt:lpstr>
      <vt:lpstr>t!data_t_70</vt:lpstr>
      <vt:lpstr>t!data_t_71</vt:lpstr>
      <vt:lpstr>t!data_t_72</vt:lpstr>
      <vt:lpstr>t!data_t_73</vt:lpstr>
      <vt:lpstr>t!data_t_74</vt:lpstr>
      <vt:lpstr>t!data_t_75</vt:lpstr>
      <vt:lpstr>t!data_t_76</vt:lpstr>
      <vt:lpstr>t!data_t_77</vt:lpstr>
      <vt:lpstr>t!data_t_78</vt:lpstr>
      <vt:lpstr>t!data_t_8</vt:lpstr>
      <vt:lpstr>t!data_t_9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avk</dc:creator>
  <cp:lastModifiedBy>Klimovskikh, Alexander V</cp:lastModifiedBy>
  <cp:lastPrinted>2021-01-12T05:53:30Z</cp:lastPrinted>
  <dcterms:created xsi:type="dcterms:W3CDTF">2019-02-07T10:05:15Z</dcterms:created>
  <dcterms:modified xsi:type="dcterms:W3CDTF">2021-01-12T07:09:34Z</dcterms:modified>
</cp:coreProperties>
</file>