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avk\index\vba\"/>
    </mc:Choice>
  </mc:AlternateContent>
  <bookViews>
    <workbookView xWindow="33975" yWindow="0" windowWidth="11055" windowHeight="5130" tabRatio="907"/>
  </bookViews>
  <sheets>
    <sheet name="Sum" sheetId="19" r:id="rId1"/>
    <sheet name="hs17N" sheetId="23" r:id="rId2"/>
    <sheet name="hs17O" sheetId="24" r:id="rId3"/>
    <sheet name="hs17R" sheetId="25" r:id="rId4"/>
    <sheet name="ddN" sheetId="2" r:id="rId5"/>
    <sheet name="ddO" sheetId="1" r:id="rId6"/>
    <sheet name="ddR" sheetId="3" r:id="rId7"/>
    <sheet name="k3dN" sheetId="13" r:id="rId8"/>
    <sheet name="k3dO" sheetId="14" r:id="rId9"/>
    <sheet name="k3dR" sheetId="15" r:id="rId10"/>
    <sheet name="ml" sheetId="29" r:id="rId11"/>
    <sheet name="ml1" sheetId="32" r:id="rId12"/>
    <sheet name="ml2" sheetId="31" r:id="rId13"/>
  </sheets>
  <functionGroups builtInGroupCount="18"/>
  <definedNames>
    <definedName name="_xlnm._FilterDatabase" localSheetId="4" hidden="1">ddN!$A$2:$A$65536</definedName>
    <definedName name="_xlnm._FilterDatabase" localSheetId="5" hidden="1">ddO!$B$112:$B$65606</definedName>
    <definedName name="_xlnm.Extract" localSheetId="4">ddN!#REF!</definedName>
    <definedName name="_xlnm.Extract" localSheetId="5">ddO!$H$112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5" l="1"/>
  <c r="G7" i="25" l="1"/>
  <c r="G8" i="25"/>
  <c r="G9" i="25"/>
  <c r="G10" i="25"/>
  <c r="G11" i="25"/>
  <c r="G12" i="25"/>
  <c r="G13" i="25"/>
  <c r="G14" i="25"/>
  <c r="G15" i="25"/>
  <c r="G16" i="25"/>
  <c r="G17" i="25"/>
  <c r="G19" i="25"/>
  <c r="G5" i="25"/>
  <c r="H7" i="25"/>
  <c r="H8" i="25"/>
  <c r="H9" i="25"/>
  <c r="H10" i="25"/>
  <c r="H11" i="25"/>
  <c r="H12" i="25"/>
  <c r="H13" i="25"/>
  <c r="H14" i="25"/>
  <c r="H15" i="25"/>
  <c r="H16" i="25"/>
  <c r="H17" i="25"/>
  <c r="H19" i="25"/>
  <c r="H5" i="25"/>
  <c r="H1" i="3" l="1"/>
  <c r="H1" i="25"/>
  <c r="N74" i="31" l="1"/>
  <c r="O70" i="31"/>
  <c r="N70" i="31"/>
  <c r="M70" i="31"/>
  <c r="E71" i="31"/>
  <c r="E72" i="31"/>
  <c r="E73" i="31"/>
  <c r="E74" i="31"/>
  <c r="E75" i="31"/>
  <c r="E70" i="31"/>
  <c r="C67" i="31"/>
  <c r="G96" i="31"/>
  <c r="F96" i="31"/>
  <c r="E96" i="31"/>
  <c r="G95" i="31"/>
  <c r="F95" i="31"/>
  <c r="E95" i="31"/>
  <c r="G94" i="31"/>
  <c r="F94" i="31"/>
  <c r="E94" i="31"/>
  <c r="G93" i="31"/>
  <c r="F93" i="31"/>
  <c r="E93" i="31"/>
  <c r="H93" i="31" s="1"/>
  <c r="G92" i="31"/>
  <c r="F92" i="31"/>
  <c r="E92" i="31"/>
  <c r="H92" i="31" s="1"/>
  <c r="G91" i="31"/>
  <c r="F91" i="31"/>
  <c r="E91" i="31"/>
  <c r="C88" i="31"/>
  <c r="S76" i="31" s="1"/>
  <c r="F70" i="31" l="1"/>
  <c r="J70" i="31" s="1"/>
  <c r="L70" i="31" s="1"/>
  <c r="F72" i="31"/>
  <c r="J72" i="31" s="1"/>
  <c r="H91" i="31"/>
  <c r="H96" i="31"/>
  <c r="I96" i="31" s="1"/>
  <c r="F71" i="31"/>
  <c r="F75" i="31"/>
  <c r="F74" i="31"/>
  <c r="I74" i="31" s="1"/>
  <c r="F73" i="31"/>
  <c r="I73" i="31" s="1"/>
  <c r="H94" i="31"/>
  <c r="I94" i="31" s="1"/>
  <c r="I92" i="31"/>
  <c r="H95" i="31"/>
  <c r="I95" i="31" s="1"/>
  <c r="I93" i="31"/>
  <c r="I91" i="31"/>
  <c r="G70" i="31" l="1"/>
  <c r="H70" i="31"/>
  <c r="K70" i="31"/>
  <c r="G72" i="31"/>
  <c r="H72" i="31"/>
  <c r="I72" i="31"/>
  <c r="H73" i="31"/>
  <c r="H74" i="31"/>
  <c r="G75" i="31"/>
  <c r="J75" i="31"/>
  <c r="J71" i="31"/>
  <c r="G71" i="31"/>
  <c r="H71" i="31"/>
  <c r="I71" i="31"/>
  <c r="L72" i="31"/>
  <c r="K72" i="31"/>
  <c r="H75" i="31"/>
  <c r="J73" i="31"/>
  <c r="G73" i="31"/>
  <c r="I75" i="31"/>
  <c r="G74" i="31"/>
  <c r="J74" i="31"/>
  <c r="I70" i="31"/>
  <c r="L91" i="31"/>
  <c r="J91" i="31"/>
  <c r="K91" i="31"/>
  <c r="J95" i="31"/>
  <c r="K95" i="31"/>
  <c r="L95" i="31"/>
  <c r="J92" i="31"/>
  <c r="K92" i="31"/>
  <c r="L92" i="31"/>
  <c r="L96" i="31"/>
  <c r="J96" i="31"/>
  <c r="K96" i="31"/>
  <c r="J93" i="31"/>
  <c r="K93" i="31"/>
  <c r="L93" i="31"/>
  <c r="L94" i="31"/>
  <c r="J94" i="31"/>
  <c r="K94" i="31"/>
  <c r="G76" i="31" l="1"/>
  <c r="S70" i="31" s="1"/>
  <c r="L71" i="31"/>
  <c r="K71" i="31"/>
  <c r="J76" i="31"/>
  <c r="P70" i="31" s="1"/>
  <c r="M71" i="31" s="1"/>
  <c r="L74" i="31"/>
  <c r="K74" i="31"/>
  <c r="K73" i="31"/>
  <c r="L73" i="31"/>
  <c r="L75" i="31"/>
  <c r="K75" i="31"/>
  <c r="J97" i="31"/>
  <c r="I13" i="31"/>
  <c r="B19" i="31"/>
  <c r="B20" i="31" s="1"/>
  <c r="H13" i="31"/>
  <c r="J163" i="32"/>
  <c r="K76" i="31" l="1"/>
  <c r="Q70" i="31" s="1"/>
  <c r="N71" i="31" s="1"/>
  <c r="L76" i="31"/>
  <c r="R70" i="31" s="1"/>
  <c r="O71" i="31" s="1"/>
  <c r="B21" i="31"/>
  <c r="B22" i="31"/>
  <c r="N2" i="31"/>
  <c r="P71" i="31" l="1"/>
  <c r="M72" i="31" s="1"/>
  <c r="S71" i="31"/>
  <c r="R71" i="31"/>
  <c r="O72" i="31" s="1"/>
  <c r="Q71" i="31"/>
  <c r="N72" i="31" s="1"/>
  <c r="I6" i="31"/>
  <c r="Q72" i="31" l="1"/>
  <c r="N73" i="31" s="1"/>
  <c r="S72" i="31"/>
  <c r="R72" i="31"/>
  <c r="O73" i="31" s="1"/>
  <c r="P72" i="31"/>
  <c r="M73" i="31" s="1"/>
  <c r="C142" i="32"/>
  <c r="C141" i="32"/>
  <c r="C140" i="32"/>
  <c r="P60" i="32"/>
  <c r="R73" i="31" l="1"/>
  <c r="O74" i="31" s="1"/>
  <c r="S73" i="31"/>
  <c r="P73" i="31"/>
  <c r="M74" i="31" s="1"/>
  <c r="Q73" i="31"/>
  <c r="R142" i="32"/>
  <c r="R140" i="32"/>
  <c r="J145" i="32"/>
  <c r="C145" i="32" s="1"/>
  <c r="B152" i="32"/>
  <c r="B147" i="32" s="1"/>
  <c r="P142" i="32"/>
  <c r="P140" i="32"/>
  <c r="B142" i="32" s="1"/>
  <c r="J168" i="32"/>
  <c r="I168" i="32"/>
  <c r="H142" i="32"/>
  <c r="G142" i="32"/>
  <c r="H141" i="32"/>
  <c r="G141" i="32"/>
  <c r="R74" i="31" l="1"/>
  <c r="Q74" i="31"/>
  <c r="S74" i="31"/>
  <c r="P74" i="31"/>
  <c r="B140" i="32"/>
  <c r="I140" i="32" s="1"/>
  <c r="B153" i="32"/>
  <c r="B141" i="32"/>
  <c r="Q168" i="32" s="1"/>
  <c r="B149" i="32"/>
  <c r="B154" i="32"/>
  <c r="B151" i="32"/>
  <c r="B155" i="32"/>
  <c r="I142" i="32"/>
  <c r="B150" i="32"/>
  <c r="B156" i="32"/>
  <c r="B157" i="32"/>
  <c r="B146" i="32"/>
  <c r="B148" i="32"/>
  <c r="B158" i="32"/>
  <c r="B159" i="32"/>
  <c r="R145" i="32"/>
  <c r="Q145" i="32"/>
  <c r="D145" i="32"/>
  <c r="K145" i="32"/>
  <c r="I145" i="32"/>
  <c r="L145" i="32"/>
  <c r="H145" i="32"/>
  <c r="O145" i="32"/>
  <c r="N145" i="32"/>
  <c r="E145" i="32"/>
  <c r="M145" i="32"/>
  <c r="P145" i="32"/>
  <c r="G145" i="32"/>
  <c r="F145" i="32"/>
  <c r="J65" i="32"/>
  <c r="B72" i="32"/>
  <c r="I141" i="32" l="1"/>
  <c r="J156" i="32"/>
  <c r="J150" i="32"/>
  <c r="J154" i="32"/>
  <c r="K168" i="32"/>
  <c r="M168" i="32" s="1"/>
  <c r="I169" i="32" s="1"/>
  <c r="J142" i="32"/>
  <c r="N142" i="32" s="1"/>
  <c r="L168" i="32"/>
  <c r="N168" i="32" s="1"/>
  <c r="J169" i="32" s="1"/>
  <c r="J153" i="32"/>
  <c r="J158" i="32"/>
  <c r="J151" i="32"/>
  <c r="B68" i="32"/>
  <c r="B69" i="32"/>
  <c r="B70" i="32"/>
  <c r="B71" i="32"/>
  <c r="B79" i="32"/>
  <c r="B77" i="32"/>
  <c r="B74" i="32"/>
  <c r="B78" i="32"/>
  <c r="B75" i="32"/>
  <c r="B76" i="32"/>
  <c r="C65" i="32"/>
  <c r="D65" i="32"/>
  <c r="E65" i="32"/>
  <c r="F65" i="32"/>
  <c r="G65" i="32"/>
  <c r="H65" i="32"/>
  <c r="I65" i="32"/>
  <c r="J148" i="32"/>
  <c r="J152" i="32"/>
  <c r="J147" i="32"/>
  <c r="J146" i="32"/>
  <c r="J157" i="32"/>
  <c r="J159" i="32"/>
  <c r="J155" i="32"/>
  <c r="J149" i="32"/>
  <c r="J140" i="32"/>
  <c r="N152" i="32"/>
  <c r="N154" i="32"/>
  <c r="N156" i="32"/>
  <c r="N158" i="32"/>
  <c r="N146" i="32"/>
  <c r="N148" i="32"/>
  <c r="N150" i="32"/>
  <c r="N153" i="32"/>
  <c r="N151" i="32"/>
  <c r="N149" i="32"/>
  <c r="N159" i="32"/>
  <c r="N147" i="32"/>
  <c r="N157" i="32"/>
  <c r="N155" i="32"/>
  <c r="I147" i="32"/>
  <c r="I149" i="32"/>
  <c r="I151" i="32"/>
  <c r="I153" i="32"/>
  <c r="I155" i="32"/>
  <c r="I157" i="32"/>
  <c r="I159" i="32"/>
  <c r="I148" i="32"/>
  <c r="I156" i="32"/>
  <c r="I158" i="32"/>
  <c r="I154" i="32"/>
  <c r="I146" i="32"/>
  <c r="I152" i="32"/>
  <c r="I150" i="32"/>
  <c r="O146" i="32"/>
  <c r="O148" i="32"/>
  <c r="O152" i="32"/>
  <c r="O155" i="32"/>
  <c r="O150" i="32"/>
  <c r="O153" i="32"/>
  <c r="O151" i="32"/>
  <c r="O149" i="32"/>
  <c r="O158" i="32"/>
  <c r="O156" i="32"/>
  <c r="O159" i="32"/>
  <c r="O147" i="32"/>
  <c r="O154" i="32"/>
  <c r="O157" i="32"/>
  <c r="C151" i="32"/>
  <c r="C159" i="32"/>
  <c r="C146" i="32"/>
  <c r="C154" i="32"/>
  <c r="C152" i="32"/>
  <c r="C149" i="32"/>
  <c r="C157" i="32"/>
  <c r="C147" i="32"/>
  <c r="C158" i="32"/>
  <c r="C155" i="32"/>
  <c r="C153" i="32"/>
  <c r="C148" i="32"/>
  <c r="C150" i="32"/>
  <c r="C156" i="32"/>
  <c r="P147" i="32"/>
  <c r="P149" i="32"/>
  <c r="P151" i="32"/>
  <c r="P153" i="32"/>
  <c r="P155" i="32"/>
  <c r="P157" i="32"/>
  <c r="P159" i="32"/>
  <c r="P146" i="32"/>
  <c r="P154" i="32"/>
  <c r="P150" i="32"/>
  <c r="P158" i="32"/>
  <c r="P156" i="32"/>
  <c r="P152" i="32"/>
  <c r="P148" i="32"/>
  <c r="M146" i="32"/>
  <c r="M148" i="32"/>
  <c r="M150" i="32"/>
  <c r="M152" i="32"/>
  <c r="M154" i="32"/>
  <c r="M156" i="32"/>
  <c r="M158" i="32"/>
  <c r="M151" i="32"/>
  <c r="M149" i="32"/>
  <c r="M159" i="32"/>
  <c r="M147" i="32"/>
  <c r="M157" i="32"/>
  <c r="M155" i="32"/>
  <c r="M153" i="32"/>
  <c r="Q147" i="32"/>
  <c r="Q149" i="32"/>
  <c r="Q151" i="32"/>
  <c r="Q153" i="32"/>
  <c r="Q155" i="32"/>
  <c r="Q157" i="32"/>
  <c r="Q159" i="32"/>
  <c r="Q156" i="32"/>
  <c r="Q146" i="32"/>
  <c r="Q152" i="32"/>
  <c r="Q150" i="32"/>
  <c r="Q148" i="32"/>
  <c r="Q158" i="32"/>
  <c r="Q154" i="32"/>
  <c r="E153" i="32"/>
  <c r="E148" i="32"/>
  <c r="E146" i="32"/>
  <c r="E154" i="32"/>
  <c r="E156" i="32"/>
  <c r="E151" i="32"/>
  <c r="E159" i="32"/>
  <c r="E157" i="32"/>
  <c r="E152" i="32"/>
  <c r="E147" i="32"/>
  <c r="E158" i="32"/>
  <c r="E155" i="32"/>
  <c r="E150" i="32"/>
  <c r="E149" i="32"/>
  <c r="H147" i="32"/>
  <c r="H149" i="32"/>
  <c r="H151" i="32"/>
  <c r="H153" i="32"/>
  <c r="H155" i="32"/>
  <c r="H157" i="32"/>
  <c r="H159" i="32"/>
  <c r="H148" i="32"/>
  <c r="H152" i="32"/>
  <c r="H156" i="32"/>
  <c r="H154" i="32"/>
  <c r="H150" i="32"/>
  <c r="H158" i="32"/>
  <c r="H146" i="32"/>
  <c r="J141" i="32"/>
  <c r="K147" i="32"/>
  <c r="K149" i="32"/>
  <c r="K150" i="32"/>
  <c r="K159" i="32"/>
  <c r="K148" i="32"/>
  <c r="K153" i="32"/>
  <c r="K156" i="32"/>
  <c r="K151" i="32"/>
  <c r="K154" i="32"/>
  <c r="K146" i="32"/>
  <c r="K152" i="32"/>
  <c r="K157" i="32"/>
  <c r="K155" i="32"/>
  <c r="K158" i="32"/>
  <c r="F151" i="32"/>
  <c r="F153" i="32"/>
  <c r="F152" i="32"/>
  <c r="F154" i="32"/>
  <c r="F147" i="32"/>
  <c r="F159" i="32"/>
  <c r="F149" i="32"/>
  <c r="F156" i="32"/>
  <c r="F157" i="32"/>
  <c r="F146" i="32"/>
  <c r="F158" i="32"/>
  <c r="F148" i="32"/>
  <c r="F150" i="32"/>
  <c r="F155" i="32"/>
  <c r="L146" i="32"/>
  <c r="L148" i="32"/>
  <c r="L150" i="32"/>
  <c r="L152" i="32"/>
  <c r="L154" i="32"/>
  <c r="L156" i="32"/>
  <c r="L158" i="32"/>
  <c r="L149" i="32"/>
  <c r="L157" i="32"/>
  <c r="L155" i="32"/>
  <c r="L153" i="32"/>
  <c r="L151" i="32"/>
  <c r="L159" i="32"/>
  <c r="L147" i="32"/>
  <c r="D148" i="32"/>
  <c r="D156" i="32"/>
  <c r="D151" i="32"/>
  <c r="D159" i="32"/>
  <c r="D149" i="32"/>
  <c r="D157" i="32"/>
  <c r="D146" i="32"/>
  <c r="D154" i="32"/>
  <c r="D152" i="32"/>
  <c r="D147" i="32"/>
  <c r="D158" i="32"/>
  <c r="D153" i="32"/>
  <c r="D155" i="32"/>
  <c r="D150" i="32"/>
  <c r="G146" i="32"/>
  <c r="G148" i="32"/>
  <c r="G158" i="32"/>
  <c r="G159" i="32"/>
  <c r="G154" i="32"/>
  <c r="G157" i="32"/>
  <c r="G147" i="32"/>
  <c r="G151" i="32"/>
  <c r="G149" i="32"/>
  <c r="G156" i="32"/>
  <c r="G152" i="32"/>
  <c r="G155" i="32"/>
  <c r="G150" i="32"/>
  <c r="G153" i="32"/>
  <c r="R149" i="32"/>
  <c r="R151" i="32"/>
  <c r="R155" i="32"/>
  <c r="R157" i="32"/>
  <c r="R159" i="32"/>
  <c r="R147" i="32"/>
  <c r="R153" i="32"/>
  <c r="R158" i="32"/>
  <c r="R146" i="32"/>
  <c r="R154" i="32"/>
  <c r="R148" i="32"/>
  <c r="R156" i="32"/>
  <c r="R152" i="32"/>
  <c r="R150" i="32"/>
  <c r="L65" i="32"/>
  <c r="R65" i="32"/>
  <c r="Q65" i="32"/>
  <c r="P65" i="32"/>
  <c r="O65" i="32"/>
  <c r="N65" i="32"/>
  <c r="M65" i="32"/>
  <c r="I60" i="32"/>
  <c r="J60" i="32" s="1"/>
  <c r="H30" i="32"/>
  <c r="I30" i="32" s="1"/>
  <c r="A30" i="32"/>
  <c r="A33" i="32" s="1"/>
  <c r="B33" i="32" s="1"/>
  <c r="S3" i="29"/>
  <c r="F4" i="32"/>
  <c r="C4" i="32"/>
  <c r="F3" i="32"/>
  <c r="C3" i="32"/>
  <c r="J88" i="32"/>
  <c r="I88" i="32"/>
  <c r="H62" i="32"/>
  <c r="G62" i="32"/>
  <c r="H61" i="32"/>
  <c r="G61" i="32"/>
  <c r="F20" i="32"/>
  <c r="G20" i="32" s="1"/>
  <c r="H20" i="32" s="1"/>
  <c r="F19" i="32"/>
  <c r="G19" i="32" s="1"/>
  <c r="H19" i="32" s="1"/>
  <c r="J19" i="32" s="1"/>
  <c r="G18" i="32"/>
  <c r="H18" i="32" s="1"/>
  <c r="K88" i="32" l="1"/>
  <c r="O163" i="32"/>
  <c r="P168" i="32"/>
  <c r="O168" i="32"/>
  <c r="L142" i="32"/>
  <c r="B66" i="32"/>
  <c r="C66" i="32" s="1"/>
  <c r="B67" i="32"/>
  <c r="J67" i="32" s="1"/>
  <c r="Q169" i="32"/>
  <c r="N140" i="32"/>
  <c r="L140" i="32"/>
  <c r="L169" i="32"/>
  <c r="N169" i="32" s="1"/>
  <c r="J170" i="32" s="1"/>
  <c r="K169" i="32"/>
  <c r="M169" i="32" s="1"/>
  <c r="L141" i="32"/>
  <c r="J143" i="32"/>
  <c r="N141" i="32"/>
  <c r="C68" i="32"/>
  <c r="F5" i="32"/>
  <c r="R78" i="32"/>
  <c r="H78" i="32"/>
  <c r="I78" i="32"/>
  <c r="P78" i="32"/>
  <c r="F78" i="32"/>
  <c r="C78" i="32"/>
  <c r="D78" i="32"/>
  <c r="L78" i="32"/>
  <c r="E78" i="32"/>
  <c r="M78" i="32"/>
  <c r="J78" i="32"/>
  <c r="N78" i="32"/>
  <c r="G78" i="32"/>
  <c r="O78" i="32"/>
  <c r="Q78" i="32"/>
  <c r="M88" i="32"/>
  <c r="Q88" i="32"/>
  <c r="L88" i="32"/>
  <c r="N88" i="32" s="1"/>
  <c r="I62" i="32"/>
  <c r="J62" i="32" s="1"/>
  <c r="L62" i="32" s="1"/>
  <c r="B73" i="32"/>
  <c r="C73" i="32" s="1"/>
  <c r="J79" i="32"/>
  <c r="J70" i="32"/>
  <c r="J74" i="32"/>
  <c r="J77" i="32"/>
  <c r="J71" i="32"/>
  <c r="J76" i="32"/>
  <c r="J69" i="32"/>
  <c r="J75" i="32"/>
  <c r="K65" i="32"/>
  <c r="I61" i="32"/>
  <c r="J61" i="32" s="1"/>
  <c r="N61" i="32" s="1"/>
  <c r="J72" i="32"/>
  <c r="L60" i="32"/>
  <c r="N60" i="32"/>
  <c r="J30" i="32"/>
  <c r="K30" i="32" s="1"/>
  <c r="B30" i="32"/>
  <c r="L30" i="32"/>
  <c r="A31" i="32"/>
  <c r="J25" i="32"/>
  <c r="J26" i="32"/>
  <c r="A36" i="32"/>
  <c r="B36" i="32" s="1"/>
  <c r="L19" i="32"/>
  <c r="A35" i="32"/>
  <c r="B35" i="32" s="1"/>
  <c r="J18" i="32"/>
  <c r="L18" i="32"/>
  <c r="L20" i="32"/>
  <c r="J20" i="32"/>
  <c r="A29" i="32"/>
  <c r="B29" i="32" s="1"/>
  <c r="A28" i="32"/>
  <c r="B28" i="32" s="1"/>
  <c r="A34" i="32"/>
  <c r="B34" i="32" s="1"/>
  <c r="A27" i="32"/>
  <c r="B27" i="32" s="1"/>
  <c r="A26" i="32"/>
  <c r="B26" i="32" s="1"/>
  <c r="A25" i="32"/>
  <c r="A32" i="32"/>
  <c r="B32" i="32" s="1"/>
  <c r="C5" i="32"/>
  <c r="J68" i="32"/>
  <c r="J31" i="31"/>
  <c r="I31" i="31"/>
  <c r="B25" i="31"/>
  <c r="G7" i="31"/>
  <c r="G9" i="31"/>
  <c r="G8" i="31"/>
  <c r="H9" i="31"/>
  <c r="H8" i="31"/>
  <c r="H7" i="31"/>
  <c r="R31" i="31" l="1"/>
  <c r="G5" i="32"/>
  <c r="N143" i="32"/>
  <c r="J66" i="32"/>
  <c r="L143" i="32"/>
  <c r="P169" i="32"/>
  <c r="O169" i="32"/>
  <c r="I170" i="32"/>
  <c r="O67" i="32"/>
  <c r="E67" i="32"/>
  <c r="D67" i="32"/>
  <c r="P67" i="32"/>
  <c r="H67" i="32"/>
  <c r="L67" i="32"/>
  <c r="M67" i="32"/>
  <c r="I67" i="32"/>
  <c r="F67" i="32"/>
  <c r="C67" i="32"/>
  <c r="G67" i="32"/>
  <c r="N67" i="32"/>
  <c r="R67" i="32"/>
  <c r="Q67" i="32"/>
  <c r="K78" i="32"/>
  <c r="K67" i="32"/>
  <c r="I89" i="32"/>
  <c r="J89" i="32"/>
  <c r="D73" i="32"/>
  <c r="M73" i="32"/>
  <c r="F73" i="32"/>
  <c r="J73" i="32"/>
  <c r="O83" i="32" s="1"/>
  <c r="O84" i="32" s="1"/>
  <c r="H73" i="32"/>
  <c r="G73" i="32"/>
  <c r="O73" i="32"/>
  <c r="L73" i="32"/>
  <c r="P73" i="32"/>
  <c r="E73" i="32"/>
  <c r="N73" i="32"/>
  <c r="I73" i="32"/>
  <c r="N62" i="32"/>
  <c r="N63" i="32" s="1"/>
  <c r="J63" i="32"/>
  <c r="R71" i="32"/>
  <c r="R72" i="32"/>
  <c r="C69" i="32"/>
  <c r="C71" i="32"/>
  <c r="C70" i="32"/>
  <c r="Q69" i="32"/>
  <c r="R76" i="32"/>
  <c r="R79" i="32"/>
  <c r="R73" i="32"/>
  <c r="R70" i="32"/>
  <c r="R69" i="32"/>
  <c r="L61" i="32"/>
  <c r="L63" i="32" s="1"/>
  <c r="C74" i="32"/>
  <c r="K72" i="32"/>
  <c r="J83" i="32" s="1"/>
  <c r="K74" i="32"/>
  <c r="K69" i="32"/>
  <c r="K79" i="32"/>
  <c r="K77" i="32"/>
  <c r="K73" i="32"/>
  <c r="K70" i="32"/>
  <c r="K75" i="32"/>
  <c r="K66" i="32"/>
  <c r="C72" i="32"/>
  <c r="K71" i="32"/>
  <c r="K76" i="32"/>
  <c r="D72" i="32"/>
  <c r="K68" i="32"/>
  <c r="D71" i="32"/>
  <c r="D68" i="32"/>
  <c r="D66" i="32"/>
  <c r="D74" i="32"/>
  <c r="R75" i="32"/>
  <c r="C77" i="32"/>
  <c r="C79" i="32"/>
  <c r="R66" i="32"/>
  <c r="D69" i="32"/>
  <c r="D70" i="32"/>
  <c r="D75" i="32"/>
  <c r="C75" i="32"/>
  <c r="R68" i="32"/>
  <c r="D77" i="32"/>
  <c r="R74" i="32"/>
  <c r="C76" i="32"/>
  <c r="D76" i="32"/>
  <c r="R77" i="32"/>
  <c r="D79" i="32"/>
  <c r="Q79" i="32"/>
  <c r="Q71" i="32"/>
  <c r="Q76" i="32"/>
  <c r="Q73" i="32"/>
  <c r="Q75" i="32"/>
  <c r="Q66" i="32"/>
  <c r="Q68" i="32"/>
  <c r="Q72" i="32"/>
  <c r="Q70" i="32"/>
  <c r="Q74" i="32"/>
  <c r="Q77" i="32"/>
  <c r="I71" i="32"/>
  <c r="I68" i="32"/>
  <c r="I77" i="32"/>
  <c r="I74" i="32"/>
  <c r="I70" i="32"/>
  <c r="I66" i="32"/>
  <c r="I76" i="32"/>
  <c r="I72" i="32"/>
  <c r="I69" i="32"/>
  <c r="I79" i="32"/>
  <c r="I75" i="32"/>
  <c r="N70" i="32"/>
  <c r="N66" i="32"/>
  <c r="N76" i="32"/>
  <c r="N72" i="32"/>
  <c r="N69" i="32"/>
  <c r="N79" i="32"/>
  <c r="N75" i="32"/>
  <c r="N68" i="32"/>
  <c r="N77" i="32"/>
  <c r="N71" i="32"/>
  <c r="N74" i="32"/>
  <c r="O74" i="32"/>
  <c r="O70" i="32"/>
  <c r="O66" i="32"/>
  <c r="O76" i="32"/>
  <c r="O72" i="32"/>
  <c r="O69" i="32"/>
  <c r="O79" i="32"/>
  <c r="O71" i="32"/>
  <c r="O68" i="32"/>
  <c r="O77" i="32"/>
  <c r="O75" i="32"/>
  <c r="E66" i="32"/>
  <c r="E76" i="32"/>
  <c r="E72" i="32"/>
  <c r="E69" i="32"/>
  <c r="E79" i="32"/>
  <c r="E75" i="32"/>
  <c r="E71" i="32"/>
  <c r="E68" i="32"/>
  <c r="E77" i="32"/>
  <c r="E74" i="32"/>
  <c r="E70" i="32"/>
  <c r="H68" i="32"/>
  <c r="H77" i="32"/>
  <c r="H74" i="32"/>
  <c r="H70" i="32"/>
  <c r="H66" i="32"/>
  <c r="H76" i="32"/>
  <c r="H72" i="32"/>
  <c r="H79" i="32"/>
  <c r="H75" i="32"/>
  <c r="H69" i="32"/>
  <c r="H71" i="32"/>
  <c r="M66" i="32"/>
  <c r="M76" i="32"/>
  <c r="M72" i="32"/>
  <c r="M69" i="32"/>
  <c r="M79" i="32"/>
  <c r="M75" i="32"/>
  <c r="M71" i="32"/>
  <c r="M74" i="32"/>
  <c r="M77" i="32"/>
  <c r="M70" i="32"/>
  <c r="M68" i="32"/>
  <c r="G74" i="32"/>
  <c r="G70" i="32"/>
  <c r="G76" i="32"/>
  <c r="G72" i="32"/>
  <c r="G69" i="32"/>
  <c r="G79" i="32"/>
  <c r="G75" i="32"/>
  <c r="G66" i="32"/>
  <c r="G71" i="32"/>
  <c r="G68" i="32"/>
  <c r="G77" i="32"/>
  <c r="L72" i="32"/>
  <c r="L69" i="32"/>
  <c r="L79" i="32"/>
  <c r="L75" i="32"/>
  <c r="L71" i="32"/>
  <c r="L68" i="32"/>
  <c r="L77" i="32"/>
  <c r="L70" i="32"/>
  <c r="L76" i="32"/>
  <c r="L66" i="32"/>
  <c r="L74" i="32"/>
  <c r="F70" i="32"/>
  <c r="F66" i="32"/>
  <c r="F76" i="32"/>
  <c r="F72" i="32"/>
  <c r="F69" i="32"/>
  <c r="F79" i="32"/>
  <c r="F75" i="32"/>
  <c r="F71" i="32"/>
  <c r="F68" i="32"/>
  <c r="F77" i="32"/>
  <c r="F74" i="32"/>
  <c r="P68" i="32"/>
  <c r="P77" i="32"/>
  <c r="P74" i="32"/>
  <c r="P70" i="32"/>
  <c r="P66" i="32"/>
  <c r="P76" i="32"/>
  <c r="P72" i="32"/>
  <c r="P75" i="32"/>
  <c r="P69" i="32"/>
  <c r="P79" i="32"/>
  <c r="P71" i="32"/>
  <c r="I4" i="32"/>
  <c r="H13" i="32"/>
  <c r="J21" i="32"/>
  <c r="I3" i="32"/>
  <c r="H31" i="32"/>
  <c r="B25" i="32"/>
  <c r="B31" i="32"/>
  <c r="L21" i="32"/>
  <c r="B16" i="31"/>
  <c r="B15" i="31"/>
  <c r="B14" i="31"/>
  <c r="B23" i="31"/>
  <c r="B18" i="31"/>
  <c r="B24" i="31"/>
  <c r="B17" i="31"/>
  <c r="D13" i="31"/>
  <c r="E13" i="31"/>
  <c r="J13" i="31"/>
  <c r="K13" i="31"/>
  <c r="C13" i="31"/>
  <c r="G13" i="31"/>
  <c r="M13" i="31"/>
  <c r="L13" i="31"/>
  <c r="F13" i="31"/>
  <c r="N13" i="31"/>
  <c r="I9" i="31"/>
  <c r="I8" i="31"/>
  <c r="I7" i="31"/>
  <c r="E5" i="31"/>
  <c r="L31" i="31" l="1"/>
  <c r="L61" i="31"/>
  <c r="L60" i="31"/>
  <c r="L59" i="31"/>
  <c r="H22" i="31"/>
  <c r="K31" i="31"/>
  <c r="M31" i="31" s="1"/>
  <c r="O31" i="31" s="1"/>
  <c r="L53" i="31"/>
  <c r="L56" i="31"/>
  <c r="L57" i="31"/>
  <c r="L58" i="31"/>
  <c r="L52" i="31"/>
  <c r="L54" i="31"/>
  <c r="L55" i="31"/>
  <c r="B51" i="31"/>
  <c r="B59" i="31"/>
  <c r="B52" i="31"/>
  <c r="B60" i="31"/>
  <c r="B53" i="31"/>
  <c r="B61" i="31"/>
  <c r="B54" i="31"/>
  <c r="B55" i="31"/>
  <c r="B56" i="31"/>
  <c r="B57" i="31"/>
  <c r="B58" i="31"/>
  <c r="H20" i="31"/>
  <c r="I20" i="31"/>
  <c r="H19" i="31"/>
  <c r="I21" i="31"/>
  <c r="I19" i="31"/>
  <c r="I22" i="31"/>
  <c r="J20" i="31"/>
  <c r="I15" i="31"/>
  <c r="N20" i="31"/>
  <c r="E20" i="31"/>
  <c r="I16" i="31"/>
  <c r="F20" i="31"/>
  <c r="D20" i="31"/>
  <c r="I25" i="31"/>
  <c r="L20" i="31"/>
  <c r="I17" i="31"/>
  <c r="M20" i="31"/>
  <c r="I24" i="31"/>
  <c r="G20" i="31"/>
  <c r="I18" i="31"/>
  <c r="C20" i="31"/>
  <c r="I23" i="31"/>
  <c r="J8" i="31"/>
  <c r="L8" i="31" s="1"/>
  <c r="K20" i="31"/>
  <c r="I14" i="31"/>
  <c r="Q170" i="32"/>
  <c r="K170" i="32"/>
  <c r="M170" i="32" s="1"/>
  <c r="I171" i="32" s="1"/>
  <c r="L170" i="32"/>
  <c r="N170" i="32" s="1"/>
  <c r="N31" i="31"/>
  <c r="P31" i="31" s="1"/>
  <c r="H17" i="31"/>
  <c r="H16" i="31"/>
  <c r="O88" i="32"/>
  <c r="P88" i="32"/>
  <c r="Q89" i="32"/>
  <c r="K89" i="32"/>
  <c r="M89" i="32" s="1"/>
  <c r="O89" i="32" s="1"/>
  <c r="L89" i="32"/>
  <c r="N89" i="32" s="1"/>
  <c r="P89" i="32" s="1"/>
  <c r="J84" i="32"/>
  <c r="K5" i="32"/>
  <c r="J13" i="32"/>
  <c r="K4" i="32"/>
  <c r="L31" i="32"/>
  <c r="I31" i="32"/>
  <c r="J31" i="32" s="1"/>
  <c r="H32" i="32" s="1"/>
  <c r="I25" i="32"/>
  <c r="I26" i="32" s="1"/>
  <c r="H24" i="31"/>
  <c r="H25" i="31"/>
  <c r="H18" i="31"/>
  <c r="Q31" i="31"/>
  <c r="J14" i="31"/>
  <c r="H14" i="31"/>
  <c r="H21" i="31"/>
  <c r="D19" i="31"/>
  <c r="H15" i="31"/>
  <c r="K22" i="31"/>
  <c r="D15" i="31"/>
  <c r="E21" i="31"/>
  <c r="E16" i="31"/>
  <c r="K14" i="31"/>
  <c r="D22" i="31"/>
  <c r="H23" i="31"/>
  <c r="F23" i="31"/>
  <c r="G23" i="31"/>
  <c r="N23" i="31"/>
  <c r="E23" i="31"/>
  <c r="M23" i="31"/>
  <c r="D23" i="31"/>
  <c r="L23" i="31"/>
  <c r="C23" i="31"/>
  <c r="K23" i="31"/>
  <c r="J23" i="31"/>
  <c r="D18" i="31"/>
  <c r="D17" i="31"/>
  <c r="E22" i="31"/>
  <c r="J17" i="31"/>
  <c r="D16" i="31"/>
  <c r="D14" i="31"/>
  <c r="D21" i="31"/>
  <c r="D24" i="31"/>
  <c r="D25" i="31"/>
  <c r="K24" i="31"/>
  <c r="K15" i="31"/>
  <c r="K25" i="31"/>
  <c r="J24" i="31"/>
  <c r="J18" i="31"/>
  <c r="J22" i="31"/>
  <c r="K21" i="31"/>
  <c r="K19" i="31"/>
  <c r="K18" i="31"/>
  <c r="J19" i="31"/>
  <c r="E19" i="31"/>
  <c r="E14" i="31"/>
  <c r="E25" i="31"/>
  <c r="E24" i="31"/>
  <c r="E15" i="31"/>
  <c r="K17" i="31"/>
  <c r="J16" i="31"/>
  <c r="J15" i="31"/>
  <c r="E17" i="31"/>
  <c r="K16" i="31"/>
  <c r="E18" i="31"/>
  <c r="J25" i="31"/>
  <c r="J21" i="31"/>
  <c r="N14" i="31"/>
  <c r="N17" i="31"/>
  <c r="N21" i="31"/>
  <c r="N25" i="31"/>
  <c r="N15" i="31"/>
  <c r="N18" i="31"/>
  <c r="N22" i="31"/>
  <c r="N24" i="31"/>
  <c r="N16" i="31"/>
  <c r="N19" i="31"/>
  <c r="F14" i="31"/>
  <c r="F24" i="31"/>
  <c r="F16" i="31"/>
  <c r="F22" i="31"/>
  <c r="F19" i="31"/>
  <c r="F18" i="31"/>
  <c r="F15" i="31"/>
  <c r="F25" i="31"/>
  <c r="F21" i="31"/>
  <c r="F17" i="31"/>
  <c r="M24" i="31"/>
  <c r="M15" i="31"/>
  <c r="M18" i="31"/>
  <c r="M22" i="31"/>
  <c r="M21" i="31"/>
  <c r="M16" i="31"/>
  <c r="M19" i="31"/>
  <c r="M14" i="31"/>
  <c r="M17" i="31"/>
  <c r="M25" i="31"/>
  <c r="C22" i="31"/>
  <c r="C15" i="31"/>
  <c r="C25" i="31"/>
  <c r="C21" i="31"/>
  <c r="C18" i="31"/>
  <c r="C17" i="31"/>
  <c r="C14" i="31"/>
  <c r="C24" i="31"/>
  <c r="C19" i="31"/>
  <c r="C16" i="31"/>
  <c r="G17" i="31"/>
  <c r="G19" i="31"/>
  <c r="G16" i="31"/>
  <c r="G22" i="31"/>
  <c r="G14" i="31"/>
  <c r="G24" i="31"/>
  <c r="G18" i="31"/>
  <c r="G15" i="31"/>
  <c r="G25" i="31"/>
  <c r="G21" i="31"/>
  <c r="L14" i="31"/>
  <c r="L16" i="31"/>
  <c r="L19" i="31"/>
  <c r="L15" i="31"/>
  <c r="L18" i="31"/>
  <c r="L22" i="31"/>
  <c r="L25" i="31"/>
  <c r="L24" i="31"/>
  <c r="L17" i="31"/>
  <c r="L21" i="31"/>
  <c r="J7" i="31"/>
  <c r="J6" i="31"/>
  <c r="J9" i="31"/>
  <c r="K8" i="31" l="1"/>
  <c r="S27" i="31"/>
  <c r="I32" i="31"/>
  <c r="D60" i="31"/>
  <c r="C60" i="31"/>
  <c r="C58" i="31"/>
  <c r="D58" i="31"/>
  <c r="D52" i="31"/>
  <c r="C52" i="31"/>
  <c r="C57" i="31"/>
  <c r="D57" i="31"/>
  <c r="D59" i="31"/>
  <c r="C59" i="31"/>
  <c r="C56" i="31"/>
  <c r="D56" i="31"/>
  <c r="D51" i="31"/>
  <c r="C51" i="31"/>
  <c r="Q27" i="31"/>
  <c r="D55" i="31"/>
  <c r="C55" i="31"/>
  <c r="D54" i="31"/>
  <c r="C54" i="31"/>
  <c r="C61" i="31"/>
  <c r="D61" i="31"/>
  <c r="D53" i="31"/>
  <c r="C53" i="31"/>
  <c r="L9" i="31"/>
  <c r="K9" i="31"/>
  <c r="L6" i="31"/>
  <c r="K6" i="31"/>
  <c r="L7" i="31"/>
  <c r="K7" i="31"/>
  <c r="O8" i="31"/>
  <c r="P8" i="31" s="1"/>
  <c r="M8" i="31"/>
  <c r="J32" i="31"/>
  <c r="L32" i="31" s="1"/>
  <c r="N32" i="31" s="1"/>
  <c r="O170" i="32"/>
  <c r="P170" i="32"/>
  <c r="J171" i="32"/>
  <c r="L32" i="32"/>
  <c r="I32" i="32"/>
  <c r="J32" i="32" s="1"/>
  <c r="K31" i="32"/>
  <c r="K26" i="32"/>
  <c r="K25" i="32"/>
  <c r="J90" i="32"/>
  <c r="M6" i="31"/>
  <c r="O6" i="31"/>
  <c r="M9" i="31"/>
  <c r="O9" i="31"/>
  <c r="P9" i="31" s="1"/>
  <c r="O7" i="31"/>
  <c r="P7" i="31" s="1"/>
  <c r="M7" i="31"/>
  <c r="T3" i="29"/>
  <c r="V3" i="29" s="1"/>
  <c r="K32" i="31" l="1"/>
  <c r="Q32" i="31"/>
  <c r="P6" i="31"/>
  <c r="P10" i="31" s="1"/>
  <c r="O10" i="31"/>
  <c r="R32" i="31"/>
  <c r="L171" i="32"/>
  <c r="N171" i="32" s="1"/>
  <c r="K171" i="32"/>
  <c r="M171" i="32" s="1"/>
  <c r="Q171" i="32"/>
  <c r="H33" i="32"/>
  <c r="K32" i="32"/>
  <c r="I90" i="32"/>
  <c r="J33" i="31"/>
  <c r="R33" i="31" s="1"/>
  <c r="P32" i="31"/>
  <c r="M32" i="31"/>
  <c r="M10" i="31"/>
  <c r="O171" i="32" l="1"/>
  <c r="I172" i="32"/>
  <c r="J172" i="32"/>
  <c r="P171" i="32"/>
  <c r="K90" i="32"/>
  <c r="M90" i="32" s="1"/>
  <c r="L90" i="32"/>
  <c r="N90" i="32" s="1"/>
  <c r="Q90" i="32"/>
  <c r="L33" i="32"/>
  <c r="I33" i="32"/>
  <c r="J33" i="32" s="1"/>
  <c r="I33" i="31"/>
  <c r="O32" i="31"/>
  <c r="Q33" i="31" l="1"/>
  <c r="K33" i="31"/>
  <c r="Q172" i="32"/>
  <c r="L172" i="32"/>
  <c r="N172" i="32" s="1"/>
  <c r="K172" i="32"/>
  <c r="M172" i="32" s="1"/>
  <c r="I173" i="32" s="1"/>
  <c r="H34" i="32"/>
  <c r="K33" i="32"/>
  <c r="J91" i="32"/>
  <c r="P90" i="32"/>
  <c r="O90" i="32"/>
  <c r="L33" i="31"/>
  <c r="O172" i="32" l="1"/>
  <c r="P172" i="32"/>
  <c r="J173" i="32"/>
  <c r="L34" i="32"/>
  <c r="I34" i="32"/>
  <c r="J34" i="32" s="1"/>
  <c r="H35" i="32" s="1"/>
  <c r="I91" i="32"/>
  <c r="M33" i="31"/>
  <c r="N33" i="31"/>
  <c r="Q91" i="32" l="1"/>
  <c r="Q173" i="32"/>
  <c r="K173" i="32"/>
  <c r="M173" i="32" s="1"/>
  <c r="L173" i="32"/>
  <c r="N173" i="32" s="1"/>
  <c r="J174" i="32" s="1"/>
  <c r="L91" i="32"/>
  <c r="N91" i="32" s="1"/>
  <c r="J92" i="32" s="1"/>
  <c r="K91" i="32"/>
  <c r="M91" i="32" s="1"/>
  <c r="L35" i="32"/>
  <c r="I35" i="32"/>
  <c r="J35" i="32" s="1"/>
  <c r="K34" i="32"/>
  <c r="O33" i="31"/>
  <c r="I34" i="31"/>
  <c r="P33" i="31"/>
  <c r="J34" i="31"/>
  <c r="R34" i="31" s="1"/>
  <c r="K81" i="29"/>
  <c r="G83" i="29"/>
  <c r="C79" i="29"/>
  <c r="G81" i="29"/>
  <c r="G79" i="29"/>
  <c r="G77" i="29"/>
  <c r="G75" i="29"/>
  <c r="F84" i="29"/>
  <c r="G84" i="29" s="1"/>
  <c r="F82" i="29"/>
  <c r="G82" i="29" s="1"/>
  <c r="F80" i="29"/>
  <c r="G80" i="29" s="1"/>
  <c r="F78" i="29"/>
  <c r="G78" i="29" s="1"/>
  <c r="I77" i="29" s="1"/>
  <c r="F76" i="29"/>
  <c r="G76" i="29" s="1"/>
  <c r="I75" i="29" s="1"/>
  <c r="N3" i="29"/>
  <c r="G70" i="29"/>
  <c r="G68" i="29"/>
  <c r="G67" i="29"/>
  <c r="G66" i="29"/>
  <c r="G64" i="29"/>
  <c r="G62" i="29"/>
  <c r="F71" i="29"/>
  <c r="G71" i="29" s="1"/>
  <c r="F69" i="29"/>
  <c r="G69" i="29" s="1"/>
  <c r="F67" i="29"/>
  <c r="F65" i="29"/>
  <c r="G65" i="29" s="1"/>
  <c r="F63" i="29"/>
  <c r="G63" i="29" s="1"/>
  <c r="G57" i="29"/>
  <c r="G55" i="29"/>
  <c r="G53" i="29"/>
  <c r="G51" i="29"/>
  <c r="G49" i="29"/>
  <c r="F58" i="29"/>
  <c r="G58" i="29" s="1"/>
  <c r="F56" i="29"/>
  <c r="G56" i="29" s="1"/>
  <c r="F54" i="29"/>
  <c r="G54" i="29" s="1"/>
  <c r="F52" i="29"/>
  <c r="G52" i="29" s="1"/>
  <c r="F50" i="29"/>
  <c r="G50" i="29" s="1"/>
  <c r="I174" i="32" l="1"/>
  <c r="O173" i="32"/>
  <c r="P173" i="32"/>
  <c r="H36" i="32"/>
  <c r="K35" i="32"/>
  <c r="P91" i="32"/>
  <c r="I92" i="32"/>
  <c r="K34" i="31"/>
  <c r="Q34" i="31"/>
  <c r="L34" i="31"/>
  <c r="M34" i="31" s="1"/>
  <c r="U3" i="29"/>
  <c r="S4" i="29"/>
  <c r="T4" i="29" s="1"/>
  <c r="I76" i="29"/>
  <c r="I79" i="29"/>
  <c r="I80" i="29" s="1"/>
  <c r="I81" i="29"/>
  <c r="I82" i="29" s="1"/>
  <c r="I83" i="29"/>
  <c r="I84" i="29" s="1"/>
  <c r="I78" i="29"/>
  <c r="I68" i="29"/>
  <c r="I69" i="29" s="1"/>
  <c r="I51" i="29"/>
  <c r="I52" i="29" s="1"/>
  <c r="I53" i="29"/>
  <c r="I54" i="29" s="1"/>
  <c r="I70" i="29"/>
  <c r="I71" i="29" s="1"/>
  <c r="I64" i="29"/>
  <c r="I65" i="29" s="1"/>
  <c r="I66" i="29"/>
  <c r="I67" i="29" s="1"/>
  <c r="I62" i="29"/>
  <c r="I63" i="29" s="1"/>
  <c r="I49" i="29"/>
  <c r="I50" i="29" s="1"/>
  <c r="K49" i="29" s="1"/>
  <c r="G44" i="29"/>
  <c r="G42" i="29"/>
  <c r="G40" i="29"/>
  <c r="G38" i="29"/>
  <c r="G36" i="29"/>
  <c r="F45" i="29"/>
  <c r="G45" i="29" s="1"/>
  <c r="F43" i="29"/>
  <c r="G43" i="29" s="1"/>
  <c r="F41" i="29"/>
  <c r="G41" i="29" s="1"/>
  <c r="F39" i="29"/>
  <c r="G39" i="29" s="1"/>
  <c r="F37" i="29"/>
  <c r="G37" i="29" s="1"/>
  <c r="K174" i="32" l="1"/>
  <c r="M174" i="32" s="1"/>
  <c r="L174" i="32"/>
  <c r="N174" i="32" s="1"/>
  <c r="Q174" i="32"/>
  <c r="L92" i="32"/>
  <c r="K92" i="32"/>
  <c r="M92" i="32" s="1"/>
  <c r="Q92" i="32"/>
  <c r="L36" i="32"/>
  <c r="I36" i="32"/>
  <c r="J36" i="32" s="1"/>
  <c r="O91" i="32"/>
  <c r="O34" i="31"/>
  <c r="I35" i="31"/>
  <c r="N34" i="31"/>
  <c r="U4" i="29"/>
  <c r="V4" i="29"/>
  <c r="S5" i="29"/>
  <c r="T5" i="29" s="1"/>
  <c r="K76" i="29"/>
  <c r="K75" i="29"/>
  <c r="I38" i="29"/>
  <c r="I39" i="29" s="1"/>
  <c r="I36" i="29"/>
  <c r="I37" i="29"/>
  <c r="K62" i="29"/>
  <c r="K63" i="29"/>
  <c r="K50" i="29"/>
  <c r="Q10" i="29"/>
  <c r="Q9" i="29"/>
  <c r="Q8" i="29"/>
  <c r="Q7" i="29"/>
  <c r="Q6" i="29"/>
  <c r="Q5" i="29"/>
  <c r="J175" i="32" l="1"/>
  <c r="P174" i="32"/>
  <c r="I175" i="32"/>
  <c r="O174" i="32"/>
  <c r="N92" i="32"/>
  <c r="H37" i="32"/>
  <c r="K36" i="32"/>
  <c r="P34" i="31"/>
  <c r="J35" i="31"/>
  <c r="V5" i="29"/>
  <c r="S6" i="29"/>
  <c r="T6" i="29" s="1"/>
  <c r="U5" i="29"/>
  <c r="K36" i="29"/>
  <c r="K37" i="29"/>
  <c r="M12" i="29"/>
  <c r="M10" i="29"/>
  <c r="N10" i="29" s="1"/>
  <c r="M8" i="29"/>
  <c r="N8" i="29" s="1"/>
  <c r="M6" i="29"/>
  <c r="N6" i="29" s="1"/>
  <c r="M4" i="29"/>
  <c r="N4" i="29" s="1"/>
  <c r="P3" i="29" s="1"/>
  <c r="N11" i="29"/>
  <c r="N9" i="29"/>
  <c r="N7" i="29"/>
  <c r="N5" i="29"/>
  <c r="K175" i="32" l="1"/>
  <c r="M175" i="32" s="1"/>
  <c r="I176" i="32" s="1"/>
  <c r="L175" i="32"/>
  <c r="N175" i="32" s="1"/>
  <c r="Q175" i="32"/>
  <c r="P92" i="32"/>
  <c r="J93" i="32"/>
  <c r="O92" i="32"/>
  <c r="I93" i="32"/>
  <c r="L37" i="32"/>
  <c r="I37" i="32"/>
  <c r="J37" i="32" s="1"/>
  <c r="Q35" i="31"/>
  <c r="R35" i="31"/>
  <c r="K35" i="31"/>
  <c r="L35" i="31"/>
  <c r="M35" i="31" s="1"/>
  <c r="V6" i="29"/>
  <c r="S7" i="29"/>
  <c r="T7" i="29" s="1"/>
  <c r="U7" i="29" s="1"/>
  <c r="U6" i="29"/>
  <c r="P4" i="29"/>
  <c r="R4" i="29" s="1"/>
  <c r="N12" i="29"/>
  <c r="F5" i="29"/>
  <c r="F6" i="29"/>
  <c r="F7" i="29"/>
  <c r="G7" i="29"/>
  <c r="H6" i="29"/>
  <c r="H7" i="29"/>
  <c r="G5" i="29"/>
  <c r="H5" i="29"/>
  <c r="G6" i="29"/>
  <c r="O175" i="32" l="1"/>
  <c r="J176" i="32"/>
  <c r="P175" i="32"/>
  <c r="K93" i="32"/>
  <c r="M93" i="32" s="1"/>
  <c r="L93" i="32"/>
  <c r="Q93" i="32"/>
  <c r="H38" i="32"/>
  <c r="K37" i="32"/>
  <c r="O35" i="31"/>
  <c r="I36" i="31"/>
  <c r="N35" i="31"/>
  <c r="S8" i="29"/>
  <c r="T8" i="29" s="1"/>
  <c r="U8" i="29" s="1"/>
  <c r="V7" i="29"/>
  <c r="P11" i="29"/>
  <c r="P12" i="29" s="1"/>
  <c r="R3" i="29"/>
  <c r="Q176" i="32" l="1"/>
  <c r="L176" i="32"/>
  <c r="N176" i="32" s="1"/>
  <c r="K176" i="32"/>
  <c r="M176" i="32" s="1"/>
  <c r="N93" i="32"/>
  <c r="J94" i="32" s="1"/>
  <c r="O93" i="32"/>
  <c r="I94" i="32"/>
  <c r="L38" i="32"/>
  <c r="I38" i="32"/>
  <c r="J38" i="32" s="1"/>
  <c r="P35" i="31"/>
  <c r="J36" i="31"/>
  <c r="R36" i="31" s="1"/>
  <c r="V8" i="29"/>
  <c r="S9" i="29"/>
  <c r="T9" i="29" s="1"/>
  <c r="I177" i="32" l="1"/>
  <c r="O176" i="32"/>
  <c r="K36" i="31"/>
  <c r="P176" i="32"/>
  <c r="J177" i="32"/>
  <c r="Q36" i="31"/>
  <c r="P93" i="32"/>
  <c r="K94" i="32"/>
  <c r="M94" i="32" s="1"/>
  <c r="L94" i="32"/>
  <c r="Q94" i="32"/>
  <c r="H39" i="32"/>
  <c r="K38" i="32"/>
  <c r="L36" i="31"/>
  <c r="M36" i="31" s="1"/>
  <c r="V9" i="29"/>
  <c r="S10" i="29"/>
  <c r="T10" i="29" s="1"/>
  <c r="U9" i="29"/>
  <c r="D25" i="29"/>
  <c r="A25" i="29"/>
  <c r="D24" i="29"/>
  <c r="A24" i="29"/>
  <c r="Q177" i="32" l="1"/>
  <c r="L177" i="32"/>
  <c r="N177" i="32" s="1"/>
  <c r="K177" i="32"/>
  <c r="M177" i="32" s="1"/>
  <c r="N94" i="32"/>
  <c r="L39" i="32"/>
  <c r="I39" i="32"/>
  <c r="J39" i="32" s="1"/>
  <c r="H40" i="32" s="1"/>
  <c r="N36" i="31"/>
  <c r="O36" i="31"/>
  <c r="I37" i="31"/>
  <c r="D26" i="29"/>
  <c r="S11" i="29"/>
  <c r="T11" i="29" s="1"/>
  <c r="V10" i="29"/>
  <c r="U10" i="29"/>
  <c r="A26" i="29"/>
  <c r="P9" i="29"/>
  <c r="P7" i="29"/>
  <c r="P5" i="29"/>
  <c r="B27" i="29"/>
  <c r="B3" i="29"/>
  <c r="B4" i="29"/>
  <c r="B5" i="29"/>
  <c r="O177" i="32" l="1"/>
  <c r="I178" i="32"/>
  <c r="J178" i="32"/>
  <c r="P177" i="32"/>
  <c r="J95" i="32"/>
  <c r="P94" i="32"/>
  <c r="O94" i="32"/>
  <c r="I95" i="32"/>
  <c r="L40" i="32"/>
  <c r="I40" i="32"/>
  <c r="J40" i="32" s="1"/>
  <c r="H41" i="32" s="1"/>
  <c r="K39" i="32"/>
  <c r="J37" i="31"/>
  <c r="P36" i="31"/>
  <c r="S12" i="29"/>
  <c r="T12" i="29" s="1"/>
  <c r="U12" i="29" s="1"/>
  <c r="V11" i="29"/>
  <c r="U11" i="29"/>
  <c r="B6" i="29"/>
  <c r="R12" i="29"/>
  <c r="D27" i="29"/>
  <c r="H25" i="29" s="1"/>
  <c r="P10" i="29"/>
  <c r="R9" i="29" s="1"/>
  <c r="P6" i="29"/>
  <c r="R6" i="29" s="1"/>
  <c r="P8" i="29"/>
  <c r="R8" i="29" s="1"/>
  <c r="D28" i="29"/>
  <c r="Q178" i="32" l="1"/>
  <c r="K178" i="32"/>
  <c r="M178" i="32" s="1"/>
  <c r="I179" i="32" s="1"/>
  <c r="L178" i="32"/>
  <c r="N178" i="32" s="1"/>
  <c r="J179" i="32" s="1"/>
  <c r="K95" i="32"/>
  <c r="M95" i="32" s="1"/>
  <c r="L95" i="32"/>
  <c r="Q95" i="32"/>
  <c r="L41" i="32"/>
  <c r="I41" i="32"/>
  <c r="J41" i="32" s="1"/>
  <c r="K40" i="32"/>
  <c r="L37" i="31"/>
  <c r="M37" i="31" s="1"/>
  <c r="I38" i="31" s="1"/>
  <c r="R37" i="31"/>
  <c r="K37" i="31"/>
  <c r="Q37" i="31"/>
  <c r="S13" i="29"/>
  <c r="T13" i="29" s="1"/>
  <c r="U13" i="29" s="1"/>
  <c r="V12" i="29"/>
  <c r="R10" i="29"/>
  <c r="R11" i="29"/>
  <c r="R5" i="29"/>
  <c r="H29" i="29"/>
  <c r="R7" i="29"/>
  <c r="H28" i="29"/>
  <c r="H27" i="29"/>
  <c r="H26" i="29"/>
  <c r="Q179" i="32" l="1"/>
  <c r="O178" i="32"/>
  <c r="N37" i="31"/>
  <c r="P37" i="31" s="1"/>
  <c r="K179" i="32"/>
  <c r="M179" i="32" s="1"/>
  <c r="L179" i="32"/>
  <c r="N179" i="32" s="1"/>
  <c r="J180" i="32" s="1"/>
  <c r="O37" i="31"/>
  <c r="P178" i="32"/>
  <c r="N95" i="32"/>
  <c r="J96" i="32" s="1"/>
  <c r="O95" i="32"/>
  <c r="I96" i="32"/>
  <c r="H42" i="32"/>
  <c r="K41" i="32"/>
  <c r="S14" i="29"/>
  <c r="T14" i="29" s="1"/>
  <c r="U14" i="29" s="1"/>
  <c r="V13" i="29"/>
  <c r="J38" i="31" l="1"/>
  <c r="K38" i="31" s="1"/>
  <c r="O179" i="32"/>
  <c r="I180" i="32"/>
  <c r="P179" i="32"/>
  <c r="P95" i="32"/>
  <c r="L96" i="32"/>
  <c r="K96" i="32"/>
  <c r="M96" i="32" s="1"/>
  <c r="Q96" i="32"/>
  <c r="L42" i="32"/>
  <c r="I42" i="32"/>
  <c r="J42" i="32" s="1"/>
  <c r="S15" i="29"/>
  <c r="T15" i="29" s="1"/>
  <c r="V14" i="29"/>
  <c r="L38" i="31" l="1"/>
  <c r="M38" i="31" s="1"/>
  <c r="O38" i="31" s="1"/>
  <c r="Q38" i="31"/>
  <c r="R38" i="31"/>
  <c r="L180" i="32"/>
  <c r="N180" i="32" s="1"/>
  <c r="K180" i="32"/>
  <c r="M180" i="32" s="1"/>
  <c r="I181" i="32" s="1"/>
  <c r="Q180" i="32"/>
  <c r="O96" i="32"/>
  <c r="I97" i="32"/>
  <c r="N96" i="32"/>
  <c r="H43" i="32"/>
  <c r="I43" i="32" s="1"/>
  <c r="K42" i="32"/>
  <c r="U15" i="29"/>
  <c r="S16" i="29"/>
  <c r="T16" i="29" s="1"/>
  <c r="V15" i="29"/>
  <c r="N38" i="31" l="1"/>
  <c r="P38" i="31" s="1"/>
  <c r="I39" i="31"/>
  <c r="J181" i="32"/>
  <c r="Q181" i="32" s="1"/>
  <c r="P180" i="32"/>
  <c r="O180" i="32"/>
  <c r="J97" i="32"/>
  <c r="P96" i="32"/>
  <c r="J43" i="32"/>
  <c r="U16" i="29"/>
  <c r="S17" i="29"/>
  <c r="T17" i="29" s="1"/>
  <c r="V16" i="29"/>
  <c r="J39" i="31" l="1"/>
  <c r="Q39" i="31" s="1"/>
  <c r="L181" i="32"/>
  <c r="N181" i="32" s="1"/>
  <c r="J182" i="32" s="1"/>
  <c r="K181" i="32"/>
  <c r="M181" i="32" s="1"/>
  <c r="Q97" i="32"/>
  <c r="L97" i="32"/>
  <c r="K97" i="32"/>
  <c r="M97" i="32" s="1"/>
  <c r="H44" i="32"/>
  <c r="I44" i="32" s="1"/>
  <c r="K43" i="32"/>
  <c r="L43" i="32" s="1"/>
  <c r="U17" i="29"/>
  <c r="V17" i="29"/>
  <c r="S18" i="29"/>
  <c r="T18" i="29" s="1"/>
  <c r="L39" i="31" l="1"/>
  <c r="M39" i="31" s="1"/>
  <c r="O39" i="31" s="1"/>
  <c r="K39" i="31"/>
  <c r="R39" i="31"/>
  <c r="P181" i="32"/>
  <c r="I182" i="32"/>
  <c r="O181" i="32"/>
  <c r="N97" i="32"/>
  <c r="P97" i="32" s="1"/>
  <c r="O97" i="32"/>
  <c r="I98" i="32"/>
  <c r="J44" i="32"/>
  <c r="U18" i="29"/>
  <c r="V18" i="29"/>
  <c r="S19" i="29"/>
  <c r="T19" i="29" s="1"/>
  <c r="I40" i="31" l="1"/>
  <c r="N39" i="31"/>
  <c r="P39" i="31" s="1"/>
  <c r="K182" i="32"/>
  <c r="M182" i="32" s="1"/>
  <c r="Q182" i="32"/>
  <c r="L182" i="32"/>
  <c r="N182" i="32" s="1"/>
  <c r="J98" i="32"/>
  <c r="Q98" i="32" s="1"/>
  <c r="H45" i="32"/>
  <c r="I45" i="32" s="1"/>
  <c r="K44" i="32"/>
  <c r="L44" i="32" s="1"/>
  <c r="U19" i="29"/>
  <c r="V19" i="29"/>
  <c r="S20" i="29"/>
  <c r="T20" i="29" s="1"/>
  <c r="J40" i="31" l="1"/>
  <c r="K40" i="31" s="1"/>
  <c r="P182" i="32"/>
  <c r="J183" i="32"/>
  <c r="O182" i="32"/>
  <c r="I183" i="32"/>
  <c r="K98" i="32"/>
  <c r="M98" i="32" s="1"/>
  <c r="L98" i="32"/>
  <c r="J45" i="32"/>
  <c r="H46" i="32" s="1"/>
  <c r="U20" i="29"/>
  <c r="V20" i="29"/>
  <c r="S21" i="29"/>
  <c r="T21" i="29" s="1"/>
  <c r="L40" i="31" l="1"/>
  <c r="N40" i="31" s="1"/>
  <c r="Q40" i="31"/>
  <c r="R40" i="31"/>
  <c r="O98" i="32"/>
  <c r="Q183" i="32"/>
  <c r="K183" i="32"/>
  <c r="M183" i="32" s="1"/>
  <c r="I184" i="32" s="1"/>
  <c r="L183" i="32"/>
  <c r="N183" i="32" s="1"/>
  <c r="J184" i="32" s="1"/>
  <c r="I99" i="32"/>
  <c r="N98" i="32"/>
  <c r="J99" i="32" s="1"/>
  <c r="I46" i="32"/>
  <c r="J46" i="32" s="1"/>
  <c r="K46" i="32" s="1"/>
  <c r="L46" i="32" s="1"/>
  <c r="H47" i="32"/>
  <c r="B41" i="32" s="1"/>
  <c r="K45" i="32"/>
  <c r="L45" i="32" s="1"/>
  <c r="U21" i="29"/>
  <c r="S22" i="29"/>
  <c r="T22" i="29" s="1"/>
  <c r="V21" i="29"/>
  <c r="M40" i="31" l="1"/>
  <c r="O40" i="31" s="1"/>
  <c r="J41" i="31"/>
  <c r="R41" i="31" s="1"/>
  <c r="P40" i="31"/>
  <c r="K184" i="32"/>
  <c r="M184" i="32" s="1"/>
  <c r="O184" i="32" s="1"/>
  <c r="L184" i="32"/>
  <c r="N184" i="32" s="1"/>
  <c r="J185" i="32" s="1"/>
  <c r="Q184" i="32"/>
  <c r="P183" i="32"/>
  <c r="O183" i="32"/>
  <c r="L99" i="32"/>
  <c r="P98" i="32"/>
  <c r="Q99" i="32"/>
  <c r="K99" i="32"/>
  <c r="M99" i="32" s="1"/>
  <c r="I47" i="32"/>
  <c r="J47" i="32" s="1"/>
  <c r="K47" i="32" s="1"/>
  <c r="L47" i="32" s="1"/>
  <c r="B40" i="32"/>
  <c r="C49" i="32"/>
  <c r="U22" i="29"/>
  <c r="S23" i="29"/>
  <c r="T23" i="29" s="1"/>
  <c r="V22" i="29"/>
  <c r="I41" i="31" l="1"/>
  <c r="L41" i="31" s="1"/>
  <c r="N41" i="31" s="1"/>
  <c r="I185" i="32"/>
  <c r="K185" i="32" s="1"/>
  <c r="M185" i="32" s="1"/>
  <c r="P184" i="32"/>
  <c r="O99" i="32"/>
  <c r="I100" i="32"/>
  <c r="N99" i="32"/>
  <c r="P99" i="32" s="1"/>
  <c r="U23" i="29"/>
  <c r="V23" i="29"/>
  <c r="S24" i="29"/>
  <c r="T24" i="29" s="1"/>
  <c r="K41" i="31" l="1"/>
  <c r="Q41" i="31"/>
  <c r="M41" i="31"/>
  <c r="O41" i="31" s="1"/>
  <c r="P41" i="31"/>
  <c r="J42" i="31"/>
  <c r="R42" i="31" s="1"/>
  <c r="L185" i="32"/>
  <c r="N185" i="32" s="1"/>
  <c r="J186" i="32" s="1"/>
  <c r="Q185" i="32"/>
  <c r="O185" i="32"/>
  <c r="I186" i="32"/>
  <c r="J100" i="32"/>
  <c r="Q100" i="32" s="1"/>
  <c r="U24" i="29"/>
  <c r="S25" i="29"/>
  <c r="T25" i="29" s="1"/>
  <c r="V24" i="29"/>
  <c r="I42" i="31" l="1"/>
  <c r="L42" i="31" s="1"/>
  <c r="M42" i="31" s="1"/>
  <c r="I43" i="31" s="1"/>
  <c r="P185" i="32"/>
  <c r="L186" i="32"/>
  <c r="N186" i="32" s="1"/>
  <c r="K186" i="32"/>
  <c r="M186" i="32" s="1"/>
  <c r="Q186" i="32"/>
  <c r="K100" i="32"/>
  <c r="M100" i="32" s="1"/>
  <c r="L100" i="32"/>
  <c r="V25" i="29"/>
  <c r="S26" i="29"/>
  <c r="T26" i="29" s="1"/>
  <c r="U25" i="29"/>
  <c r="K42" i="31" l="1"/>
  <c r="Q42" i="31"/>
  <c r="O42" i="31"/>
  <c r="N42" i="31"/>
  <c r="P42" i="31" s="1"/>
  <c r="O100" i="32"/>
  <c r="P186" i="32"/>
  <c r="J187" i="32"/>
  <c r="O186" i="32"/>
  <c r="I187" i="32"/>
  <c r="N100" i="32"/>
  <c r="P100" i="32" s="1"/>
  <c r="I101" i="32"/>
  <c r="U26" i="29"/>
  <c r="V26" i="29"/>
  <c r="S27" i="29"/>
  <c r="T27" i="29" s="1"/>
  <c r="J43" i="31" l="1"/>
  <c r="K43" i="31" s="1"/>
  <c r="L187" i="32"/>
  <c r="N187" i="32" s="1"/>
  <c r="J188" i="32" s="1"/>
  <c r="K187" i="32"/>
  <c r="M187" i="32" s="1"/>
  <c r="Q187" i="32"/>
  <c r="J101" i="32"/>
  <c r="K101" i="32" s="1"/>
  <c r="M101" i="32" s="1"/>
  <c r="U27" i="29"/>
  <c r="V27" i="29"/>
  <c r="S28" i="29"/>
  <c r="T28" i="29" s="1"/>
  <c r="L43" i="31" l="1"/>
  <c r="M43" i="31" s="1"/>
  <c r="O43" i="31" s="1"/>
  <c r="R43" i="31"/>
  <c r="Q43" i="31"/>
  <c r="P187" i="32"/>
  <c r="O187" i="32"/>
  <c r="I188" i="32"/>
  <c r="Q188" i="32" s="1"/>
  <c r="Q101" i="32"/>
  <c r="L101" i="32"/>
  <c r="I102" i="32" s="1"/>
  <c r="U28" i="29"/>
  <c r="S29" i="29"/>
  <c r="T29" i="29" s="1"/>
  <c r="V28" i="29"/>
  <c r="N43" i="31" l="1"/>
  <c r="P43" i="31" s="1"/>
  <c r="I44" i="31"/>
  <c r="K188" i="32"/>
  <c r="M188" i="32" s="1"/>
  <c r="L188" i="32"/>
  <c r="N188" i="32" s="1"/>
  <c r="N101" i="32"/>
  <c r="J102" i="32" s="1"/>
  <c r="Q102" i="32" s="1"/>
  <c r="O101" i="32"/>
  <c r="U29" i="29"/>
  <c r="V29" i="29"/>
  <c r="S30" i="29"/>
  <c r="T30" i="29" s="1"/>
  <c r="J44" i="31" l="1"/>
  <c r="K44" i="31" s="1"/>
  <c r="P188" i="32"/>
  <c r="J189" i="32"/>
  <c r="O188" i="32"/>
  <c r="I189" i="32"/>
  <c r="P101" i="32"/>
  <c r="K102" i="32"/>
  <c r="M102" i="32" s="1"/>
  <c r="L102" i="32"/>
  <c r="U30" i="29"/>
  <c r="S31" i="29"/>
  <c r="T31" i="29" s="1"/>
  <c r="V30" i="29"/>
  <c r="R44" i="31" l="1"/>
  <c r="Q44" i="31"/>
  <c r="L44" i="31"/>
  <c r="M44" i="31" s="1"/>
  <c r="O102" i="32"/>
  <c r="K189" i="32"/>
  <c r="M189" i="32" s="1"/>
  <c r="L189" i="32"/>
  <c r="N189" i="32" s="1"/>
  <c r="Q189" i="32"/>
  <c r="N102" i="32"/>
  <c r="P102" i="32" s="1"/>
  <c r="I103" i="32"/>
  <c r="U31" i="29"/>
  <c r="S32" i="29"/>
  <c r="T32" i="29" s="1"/>
  <c r="V31" i="29"/>
  <c r="N44" i="31" l="1"/>
  <c r="J45" i="31" s="1"/>
  <c r="R45" i="31" s="1"/>
  <c r="O44" i="31"/>
  <c r="I45" i="31"/>
  <c r="P189" i="32"/>
  <c r="J190" i="32"/>
  <c r="O189" i="32"/>
  <c r="I190" i="32"/>
  <c r="J103" i="32"/>
  <c r="L103" i="32" s="1"/>
  <c r="U32" i="29"/>
  <c r="V32" i="29"/>
  <c r="P44" i="31" l="1"/>
  <c r="K45" i="31"/>
  <c r="Q45" i="31"/>
  <c r="L45" i="31"/>
  <c r="Q190" i="32"/>
  <c r="K190" i="32"/>
  <c r="M190" i="32" s="1"/>
  <c r="L190" i="32"/>
  <c r="N190" i="32" s="1"/>
  <c r="Q103" i="32"/>
  <c r="N103" i="32"/>
  <c r="P103" i="32" s="1"/>
  <c r="K103" i="32"/>
  <c r="M103" i="32" s="1"/>
  <c r="O103" i="32" s="1"/>
  <c r="M45" i="31" l="1"/>
  <c r="N45" i="31"/>
  <c r="I104" i="32"/>
  <c r="P190" i="32"/>
  <c r="J191" i="32"/>
  <c r="O190" i="32"/>
  <c r="I191" i="32"/>
  <c r="J104" i="32"/>
  <c r="P45" i="31" l="1"/>
  <c r="J46" i="31"/>
  <c r="R46" i="31" s="1"/>
  <c r="O45" i="31"/>
  <c r="I46" i="31"/>
  <c r="Q104" i="32"/>
  <c r="K191" i="32"/>
  <c r="M191" i="32" s="1"/>
  <c r="L191" i="32"/>
  <c r="N191" i="32" s="1"/>
  <c r="Q191" i="32"/>
  <c r="K104" i="32"/>
  <c r="M104" i="32" s="1"/>
  <c r="L104" i="32"/>
  <c r="L46" i="31" l="1"/>
  <c r="K46" i="31"/>
  <c r="Q46" i="31"/>
  <c r="I105" i="32"/>
  <c r="P191" i="32"/>
  <c r="J192" i="32"/>
  <c r="O191" i="32"/>
  <c r="I192" i="32"/>
  <c r="N104" i="32"/>
  <c r="J105" i="32" s="1"/>
  <c r="O104" i="32"/>
  <c r="M46" i="31" l="1"/>
  <c r="N46" i="31"/>
  <c r="K105" i="32"/>
  <c r="M105" i="32" s="1"/>
  <c r="K192" i="32"/>
  <c r="M192" i="32" s="1"/>
  <c r="L192" i="32"/>
  <c r="N192" i="32" s="1"/>
  <c r="Q192" i="32"/>
  <c r="Q105" i="32"/>
  <c r="P104" i="32"/>
  <c r="L105" i="32"/>
  <c r="P46" i="31" l="1"/>
  <c r="J47" i="31"/>
  <c r="I47" i="31"/>
  <c r="O46" i="31"/>
  <c r="O105" i="32"/>
  <c r="P192" i="32"/>
  <c r="J193" i="32"/>
  <c r="O192" i="32"/>
  <c r="I193" i="32"/>
  <c r="I106" i="32"/>
  <c r="N105" i="32"/>
  <c r="P105" i="32" s="1"/>
  <c r="K47" i="31" l="1"/>
  <c r="Q47" i="31"/>
  <c r="L47" i="31"/>
  <c r="M47" i="31" s="1"/>
  <c r="R47" i="31"/>
  <c r="L193" i="32"/>
  <c r="N193" i="32" s="1"/>
  <c r="K193" i="32"/>
  <c r="M193" i="32" s="1"/>
  <c r="Q193" i="32"/>
  <c r="J106" i="32"/>
  <c r="K106" i="32" s="1"/>
  <c r="M106" i="32" s="1"/>
  <c r="N47" i="31" l="1"/>
  <c r="J48" i="31" s="1"/>
  <c r="E63" i="31" s="1"/>
  <c r="O47" i="31"/>
  <c r="I48" i="31"/>
  <c r="C63" i="31" s="1"/>
  <c r="P193" i="32"/>
  <c r="J194" i="32"/>
  <c r="O193" i="32"/>
  <c r="I194" i="32"/>
  <c r="L106" i="32"/>
  <c r="N106" i="32" s="1"/>
  <c r="P106" i="32" s="1"/>
  <c r="Q106" i="32"/>
  <c r="P47" i="31" l="1"/>
  <c r="R48" i="31"/>
  <c r="Q48" i="31"/>
  <c r="K48" i="31"/>
  <c r="L48" i="31"/>
  <c r="K194" i="32"/>
  <c r="M194" i="32" s="1"/>
  <c r="L194" i="32"/>
  <c r="N194" i="32" s="1"/>
  <c r="J195" i="32" s="1"/>
  <c r="Q194" i="32"/>
  <c r="J107" i="32"/>
  <c r="O106" i="32"/>
  <c r="M48" i="31" l="1"/>
  <c r="O48" i="31" s="1"/>
  <c r="N48" i="31"/>
  <c r="P48" i="31" s="1"/>
  <c r="P194" i="32"/>
  <c r="O194" i="32"/>
  <c r="I195" i="32"/>
  <c r="I107" i="32"/>
  <c r="L107" i="32" l="1"/>
  <c r="N107" i="32" s="1"/>
  <c r="J108" i="32" s="1"/>
  <c r="K195" i="32"/>
  <c r="M195" i="32" s="1"/>
  <c r="L195" i="32"/>
  <c r="N195" i="32" s="1"/>
  <c r="Q195" i="32"/>
  <c r="Q107" i="32"/>
  <c r="K107" i="32"/>
  <c r="M107" i="32" s="1"/>
  <c r="O107" i="32" s="1"/>
  <c r="I108" i="32" l="1"/>
  <c r="Q108" i="32" s="1"/>
  <c r="J196" i="32"/>
  <c r="P195" i="32"/>
  <c r="O195" i="32"/>
  <c r="I196" i="32"/>
  <c r="P107" i="32"/>
  <c r="L108" i="32" l="1"/>
  <c r="N108" i="32" s="1"/>
  <c r="K108" i="32"/>
  <c r="M108" i="32" s="1"/>
  <c r="Q196" i="32"/>
  <c r="L196" i="32"/>
  <c r="N196" i="32" s="1"/>
  <c r="K196" i="32"/>
  <c r="M196" i="32" s="1"/>
  <c r="O108" i="32" l="1"/>
  <c r="I109" i="32"/>
  <c r="O196" i="32"/>
  <c r="I197" i="32"/>
  <c r="P196" i="32"/>
  <c r="J197" i="32"/>
  <c r="J109" i="32"/>
  <c r="P108" i="32"/>
  <c r="L109" i="32" l="1"/>
  <c r="N109" i="32" s="1"/>
  <c r="Q197" i="32"/>
  <c r="K197" i="32"/>
  <c r="M197" i="32" s="1"/>
  <c r="L197" i="32"/>
  <c r="N197" i="32" s="1"/>
  <c r="K109" i="32"/>
  <c r="M109" i="32" s="1"/>
  <c r="O109" i="32" s="1"/>
  <c r="Q109" i="32"/>
  <c r="I110" i="32" l="1"/>
  <c r="O197" i="32"/>
  <c r="I198" i="32"/>
  <c r="P197" i="32"/>
  <c r="J198" i="32"/>
  <c r="P109" i="32"/>
  <c r="J110" i="32"/>
  <c r="K110" i="32" l="1"/>
  <c r="M110" i="32" s="1"/>
  <c r="Q198" i="32"/>
  <c r="K198" i="32"/>
  <c r="M198" i="32" s="1"/>
  <c r="L198" i="32"/>
  <c r="N198" i="32" s="1"/>
  <c r="J199" i="32" s="1"/>
  <c r="L110" i="32"/>
  <c r="Q110" i="32"/>
  <c r="I111" i="32" l="1"/>
  <c r="O198" i="32"/>
  <c r="I199" i="32"/>
  <c r="Q199" i="32" s="1"/>
  <c r="P198" i="32"/>
  <c r="O110" i="32"/>
  <c r="N110" i="32"/>
  <c r="J111" i="32" s="1"/>
  <c r="L199" i="32" l="1"/>
  <c r="N199" i="32" s="1"/>
  <c r="K199" i="32"/>
  <c r="M199" i="32" s="1"/>
  <c r="P110" i="32"/>
  <c r="L111" i="32"/>
  <c r="K111" i="32"/>
  <c r="M111" i="32" s="1"/>
  <c r="Q111" i="32"/>
  <c r="I112" i="32" l="1"/>
  <c r="J200" i="32"/>
  <c r="P199" i="32"/>
  <c r="O199" i="32"/>
  <c r="I200" i="32"/>
  <c r="O111" i="32"/>
  <c r="N111" i="32"/>
  <c r="J112" i="32" s="1"/>
  <c r="K200" i="32" l="1"/>
  <c r="M200" i="32" s="1"/>
  <c r="L200" i="32"/>
  <c r="N200" i="32" s="1"/>
  <c r="Q200" i="32"/>
  <c r="P111" i="32"/>
  <c r="L112" i="32"/>
  <c r="K112" i="32"/>
  <c r="M112" i="32" s="1"/>
  <c r="Q112" i="32"/>
  <c r="O112" i="32" l="1"/>
  <c r="J201" i="32"/>
  <c r="P200" i="32"/>
  <c r="O200" i="32"/>
  <c r="I201" i="32"/>
  <c r="N112" i="32"/>
  <c r="P112" i="32" s="1"/>
  <c r="I113" i="32"/>
  <c r="J113" i="32"/>
  <c r="L113" i="32" l="1"/>
  <c r="N113" i="32" s="1"/>
  <c r="L201" i="32"/>
  <c r="N201" i="32" s="1"/>
  <c r="K201" i="32"/>
  <c r="M201" i="32" s="1"/>
  <c r="Q201" i="32"/>
  <c r="K113" i="32"/>
  <c r="M113" i="32" s="1"/>
  <c r="Q113" i="32"/>
  <c r="O113" i="32" l="1"/>
  <c r="I114" i="32"/>
  <c r="P201" i="32"/>
  <c r="J202" i="32"/>
  <c r="O201" i="32"/>
  <c r="I202" i="32"/>
  <c r="P113" i="32"/>
  <c r="J114" i="32"/>
  <c r="K202" i="32" l="1"/>
  <c r="M202" i="32" s="1"/>
  <c r="L202" i="32"/>
  <c r="N202" i="32" s="1"/>
  <c r="Q202" i="32"/>
  <c r="Q114" i="32"/>
  <c r="K114" i="32"/>
  <c r="M114" i="32" s="1"/>
  <c r="L114" i="32"/>
  <c r="J203" i="32" l="1"/>
  <c r="P202" i="32"/>
  <c r="O202" i="32"/>
  <c r="I203" i="32"/>
  <c r="O114" i="32"/>
  <c r="I115" i="32"/>
  <c r="N114" i="32"/>
  <c r="L203" i="32" l="1"/>
  <c r="N203" i="32" s="1"/>
  <c r="K203" i="32"/>
  <c r="M203" i="32" s="1"/>
  <c r="Q203" i="32"/>
  <c r="P114" i="32"/>
  <c r="J115" i="32"/>
  <c r="K115" i="32" s="1"/>
  <c r="M115" i="32" s="1"/>
  <c r="L115" i="32" l="1"/>
  <c r="O115" i="32" s="1"/>
  <c r="P203" i="32"/>
  <c r="J204" i="32"/>
  <c r="O203" i="32"/>
  <c r="I204" i="32"/>
  <c r="Q115" i="32"/>
  <c r="N115" i="32" l="1"/>
  <c r="P115" i="32" s="1"/>
  <c r="I116" i="32"/>
  <c r="K204" i="32"/>
  <c r="M204" i="32" s="1"/>
  <c r="O204" i="32" s="1"/>
  <c r="L204" i="32"/>
  <c r="N204" i="32" s="1"/>
  <c r="P204" i="32" s="1"/>
  <c r="Q204" i="32"/>
  <c r="J116" i="32" l="1"/>
  <c r="L116" i="32" s="1"/>
  <c r="Q116" i="32" l="1"/>
  <c r="K116" i="32"/>
  <c r="M116" i="32" s="1"/>
  <c r="O116" i="32" s="1"/>
  <c r="N116" i="32"/>
  <c r="J117" i="32" s="1"/>
  <c r="P116" i="32" l="1"/>
  <c r="I117" i="32"/>
  <c r="L117" i="32" s="1"/>
  <c r="N117" i="32" s="1"/>
  <c r="K117" i="32" l="1"/>
  <c r="M117" i="32" s="1"/>
  <c r="I118" i="32" s="1"/>
  <c r="Q117" i="32"/>
  <c r="P117" i="32"/>
  <c r="J118" i="32"/>
  <c r="O117" i="32" l="1"/>
  <c r="L118" i="32"/>
  <c r="N118" i="32" s="1"/>
  <c r="J119" i="32" s="1"/>
  <c r="K118" i="32"/>
  <c r="M118" i="32" s="1"/>
  <c r="Q118" i="32"/>
  <c r="O118" i="32" l="1"/>
  <c r="I119" i="32"/>
  <c r="Q119" i="32" s="1"/>
  <c r="P118" i="32"/>
  <c r="K119" i="32" l="1"/>
  <c r="M119" i="32" s="1"/>
  <c r="L119" i="32"/>
  <c r="N119" i="32" s="1"/>
  <c r="I120" i="32" l="1"/>
  <c r="O119" i="32"/>
  <c r="J120" i="32"/>
  <c r="P119" i="32"/>
  <c r="K120" i="32" l="1"/>
  <c r="M120" i="32" s="1"/>
  <c r="L120" i="32"/>
  <c r="Q120" i="32"/>
  <c r="O120" i="32" l="1"/>
  <c r="N120" i="32"/>
  <c r="J121" i="32" s="1"/>
  <c r="I121" i="32"/>
  <c r="L121" i="32" l="1"/>
  <c r="N121" i="32" s="1"/>
  <c r="P120" i="32"/>
  <c r="K121" i="32"/>
  <c r="M121" i="32" s="1"/>
  <c r="Q121" i="32"/>
  <c r="O121" i="32" l="1"/>
  <c r="I122" i="32"/>
  <c r="P121" i="32"/>
  <c r="J122" i="32"/>
  <c r="K122" i="32" l="1"/>
  <c r="M122" i="32" s="1"/>
  <c r="L122" i="32"/>
  <c r="Q122" i="32"/>
  <c r="I123" i="32" l="1"/>
  <c r="N122" i="32"/>
  <c r="J123" i="32" s="1"/>
  <c r="E206" i="32"/>
  <c r="C206" i="32"/>
  <c r="O122" i="32"/>
  <c r="Q123" i="32" l="1"/>
  <c r="P122" i="32"/>
  <c r="L123" i="32"/>
  <c r="K123" i="32"/>
  <c r="M123" i="32" s="1"/>
  <c r="O123" i="32" l="1"/>
  <c r="I124" i="32"/>
  <c r="N123" i="32"/>
  <c r="P123" i="32" s="1"/>
  <c r="E126" i="32" l="1"/>
  <c r="J124" i="32"/>
  <c r="L124" i="32" s="1"/>
  <c r="Q124" i="32" l="1"/>
  <c r="K124" i="32"/>
  <c r="M124" i="32" s="1"/>
  <c r="O124" i="32" s="1"/>
  <c r="B101" i="32"/>
  <c r="C126" i="32"/>
  <c r="B182" i="32"/>
  <c r="B181" i="32"/>
  <c r="B102" i="32"/>
  <c r="N124" i="32"/>
  <c r="P124" i="32" s="1"/>
</calcChain>
</file>

<file path=xl/sharedStrings.xml><?xml version="1.0" encoding="utf-8"?>
<sst xmlns="http://schemas.openxmlformats.org/spreadsheetml/2006/main" count="1424" uniqueCount="775">
  <si>
    <t>i1002051695</t>
  </si>
  <si>
    <t xml:space="preserve">Дом 74 м² на участке 22 сот. </t>
  </si>
  <si>
    <t>i976364669</t>
  </si>
  <si>
    <t xml:space="preserve">Дом 71 м² на участке 16 сот. </t>
  </si>
  <si>
    <t>i834942562</t>
  </si>
  <si>
    <t>i901992897</t>
  </si>
  <si>
    <t>i878265979</t>
  </si>
  <si>
    <t>i756577753</t>
  </si>
  <si>
    <t xml:space="preserve">Дом 70 м² на участке 15 сот. </t>
  </si>
  <si>
    <t>i728990236</t>
  </si>
  <si>
    <t>i1126899427</t>
  </si>
  <si>
    <t xml:space="preserve">Дом 46 м² на участке 13 сот. </t>
  </si>
  <si>
    <t>i695250477</t>
  </si>
  <si>
    <t>i920068668</t>
  </si>
  <si>
    <t>i889191086</t>
  </si>
  <si>
    <t>i906070279</t>
  </si>
  <si>
    <t xml:space="preserve">Дом 160 м² на участке 15 сот. </t>
  </si>
  <si>
    <t>i840633320</t>
  </si>
  <si>
    <t>i908309906</t>
  </si>
  <si>
    <t>i1210481044</t>
  </si>
  <si>
    <t xml:space="preserve">Дом 74 м² на участке 8 сот. </t>
  </si>
  <si>
    <t>i868270555</t>
  </si>
  <si>
    <t>i838757098</t>
  </si>
  <si>
    <t>i895429615</t>
  </si>
  <si>
    <t>i838896158</t>
  </si>
  <si>
    <t>i764225178</t>
  </si>
  <si>
    <t xml:space="preserve">Дом 34 м² на участке 5 сот. </t>
  </si>
  <si>
    <t>i856886486</t>
  </si>
  <si>
    <t xml:space="preserve">Дом 80 м² на участке 24 сот. </t>
  </si>
  <si>
    <t>i1115920598</t>
  </si>
  <si>
    <t xml:space="preserve">Дом 60 м² на участке 6 сот. </t>
  </si>
  <si>
    <t>i890250829</t>
  </si>
  <si>
    <t>i734999553</t>
  </si>
  <si>
    <t>i854747207</t>
  </si>
  <si>
    <t>i829741610</t>
  </si>
  <si>
    <t xml:space="preserve">Дом 60 м² на участке 4 сот. </t>
  </si>
  <si>
    <t>i885854226</t>
  </si>
  <si>
    <t>i834062075</t>
  </si>
  <si>
    <t>i971713035</t>
  </si>
  <si>
    <t>i744453221</t>
  </si>
  <si>
    <t>i1079541924</t>
  </si>
  <si>
    <t>i980728584</t>
  </si>
  <si>
    <t xml:space="preserve">Дом 50 м² на участке 8 сот. </t>
  </si>
  <si>
    <t>i633285236</t>
  </si>
  <si>
    <t>i657853687</t>
  </si>
  <si>
    <t>i799320716</t>
  </si>
  <si>
    <t>i723685018</t>
  </si>
  <si>
    <t>i1031567765</t>
  </si>
  <si>
    <t xml:space="preserve">Дом 64 м² на участке 6 сот. </t>
  </si>
  <si>
    <t>i1060447784</t>
  </si>
  <si>
    <t>i725523530</t>
  </si>
  <si>
    <t xml:space="preserve">Дом 40 м² на участке 50 сот. </t>
  </si>
  <si>
    <t>i808614783</t>
  </si>
  <si>
    <t>i853079584</t>
  </si>
  <si>
    <t>i1224761300</t>
  </si>
  <si>
    <t xml:space="preserve">Дом 90 м² на участке 12 сот. </t>
  </si>
  <si>
    <t>i676092799</t>
  </si>
  <si>
    <t xml:space="preserve">Дом 60 м² на участке 3 сот. </t>
  </si>
  <si>
    <t>i1212945314</t>
  </si>
  <si>
    <t>i972157449</t>
  </si>
  <si>
    <t>i1171143854</t>
  </si>
  <si>
    <t xml:space="preserve">Дом 53.7 м² на участке 18 сот. </t>
  </si>
  <si>
    <t>i1156384481</t>
  </si>
  <si>
    <t xml:space="preserve">Дом 85.5 м² на участке 44 сот. </t>
  </si>
  <si>
    <t>i923699639</t>
  </si>
  <si>
    <t>i1191372884</t>
  </si>
  <si>
    <t>i1215861824</t>
  </si>
  <si>
    <t xml:space="preserve">Дом 60 м² на участке 60 сот. </t>
  </si>
  <si>
    <t>i777204361</t>
  </si>
  <si>
    <t>i919444436</t>
  </si>
  <si>
    <t xml:space="preserve">Дом 70 м² на участке 30 сот. </t>
  </si>
  <si>
    <t>i1136483006</t>
  </si>
  <si>
    <t>i999672776</t>
  </si>
  <si>
    <t>i756796706</t>
  </si>
  <si>
    <t>i1009379246</t>
  </si>
  <si>
    <t>i1066013435</t>
  </si>
  <si>
    <t>i864619187</t>
  </si>
  <si>
    <t>i1152104361</t>
  </si>
  <si>
    <t>i1218414108</t>
  </si>
  <si>
    <t xml:space="preserve">Дом 117 м² на участке 4 сот. </t>
  </si>
  <si>
    <t>Зеленые - снятые с Avito</t>
  </si>
  <si>
    <t>i918171218</t>
  </si>
  <si>
    <t>i1104073643</t>
  </si>
  <si>
    <t>15 мая</t>
  </si>
  <si>
    <t>10 мая</t>
  </si>
  <si>
    <t>i971915077</t>
  </si>
  <si>
    <t>22.05.2017</t>
  </si>
  <si>
    <t>1 800 000</t>
  </si>
  <si>
    <t>18 мая</t>
  </si>
  <si>
    <t>350 000</t>
  </si>
  <si>
    <t>650 000</t>
  </si>
  <si>
    <t>13 мая</t>
  </si>
  <si>
    <t>1 500 000</t>
  </si>
  <si>
    <t>1 000 000</t>
  </si>
  <si>
    <t>250 000</t>
  </si>
  <si>
    <t>920 000</t>
  </si>
  <si>
    <t>1 400 000</t>
  </si>
  <si>
    <t>420 000</t>
  </si>
  <si>
    <t>2 500 000</t>
  </si>
  <si>
    <t>1 300 000</t>
  </si>
  <si>
    <t>2 950 000</t>
  </si>
  <si>
    <t>1 350 000</t>
  </si>
  <si>
    <t>1 490 000</t>
  </si>
  <si>
    <t>450 000</t>
  </si>
  <si>
    <t>-</t>
  </si>
  <si>
    <t>23 мая</t>
  </si>
  <si>
    <t>i999231779</t>
  </si>
  <si>
    <t>i694027009</t>
  </si>
  <si>
    <t>i960682317</t>
  </si>
  <si>
    <t>i909105835</t>
  </si>
  <si>
    <t>i542106531</t>
  </si>
  <si>
    <t>i1140068242</t>
  </si>
  <si>
    <t>i355746895</t>
  </si>
  <si>
    <t>i1032091743</t>
  </si>
  <si>
    <t>i943136301</t>
  </si>
  <si>
    <t>i880618955</t>
  </si>
  <si>
    <t>i573038009</t>
  </si>
  <si>
    <t>time</t>
  </si>
  <si>
    <t>3ка Дорогобуж</t>
  </si>
  <si>
    <t>added</t>
  </si>
  <si>
    <t>sold</t>
  </si>
  <si>
    <t>changed</t>
  </si>
  <si>
    <t>Дом Дорогобуж</t>
  </si>
  <si>
    <t>i1028187908</t>
  </si>
  <si>
    <t>25 мая</t>
  </si>
  <si>
    <t>i866972393</t>
  </si>
  <si>
    <t>i851740171</t>
  </si>
  <si>
    <t>i1211733890</t>
  </si>
  <si>
    <t>i1180015632</t>
  </si>
  <si>
    <t>i1139388932</t>
  </si>
  <si>
    <t>28 мая</t>
  </si>
  <si>
    <t>30 мая</t>
  </si>
  <si>
    <t>3-к квартира, 65.3 м², 1/2 эт. в Дорогобуже</t>
  </si>
  <si>
    <t>i1221318960</t>
  </si>
  <si>
    <t>Дом 53.7 м² на участке 15 сот. в Дорогобуже</t>
  </si>
  <si>
    <t>Дом 70 м² на участке 12 сот. в Дорогобуже</t>
  </si>
  <si>
    <t>Дом 40 м² на участке 17 сот. в Дорогобуже</t>
  </si>
  <si>
    <t>Дом 60 м² на участке 15 сот. в Дорогобуже</t>
  </si>
  <si>
    <t>Дом 86 м² на участке 76 сот. в Дорогобуже</t>
  </si>
  <si>
    <t>i938751029</t>
  </si>
  <si>
    <t>2 июня</t>
  </si>
  <si>
    <t>i610720709</t>
  </si>
  <si>
    <t>i649051825</t>
  </si>
  <si>
    <t>i1004077611</t>
  </si>
  <si>
    <t>12-июн-17</t>
  </si>
  <si>
    <t>i923337773</t>
  </si>
  <si>
    <t>i832024692</t>
  </si>
  <si>
    <t>13-июн-17</t>
  </si>
  <si>
    <t>i1126241718</t>
  </si>
  <si>
    <t>i1107364698</t>
  </si>
  <si>
    <t>i947457794</t>
  </si>
  <si>
    <t xml:space="preserve">3-к квартира, 66.2 м², 1/1 эт. в Дорогобуже | ул. Коммунистическая, </t>
  </si>
  <si>
    <t xml:space="preserve">3-к квартира, 69 м², 4/5 эт. в Дорогобуже | ул. Свердлова, д. 9, </t>
  </si>
  <si>
    <t xml:space="preserve">3-к квартира, 61 м², 3/5 эт. в Дорогобуже | ул. Чистякова д.4 </t>
  </si>
  <si>
    <t xml:space="preserve">3-к квартира, 63 м², 5/5 эт. в Дорогобуже | ул Мира, 36 </t>
  </si>
  <si>
    <t xml:space="preserve">3-к квартира, 70 м², 1/2 эт. в Дорогобуже | г. Дорогобуж ул. Чистякова д. 36 (в районе ёлочек) </t>
  </si>
  <si>
    <t xml:space="preserve">3-к квартира, 63 м², 3/5 эт. в Дорогобуже | Путенкова 11 </t>
  </si>
  <si>
    <t xml:space="preserve">3-к квартира, 54 м², 1/2 эт. в Дорогобуже | ул Павлова </t>
  </si>
  <si>
    <t xml:space="preserve">3-к квартира, 63 м², 2/5 эт. в Дорогобуже | ул Мира, 47 </t>
  </si>
  <si>
    <t xml:space="preserve">3-к квартира, 62.1 м², 3/5 эт. в Дорогобуже | улица Чистякова, 4 </t>
  </si>
  <si>
    <t xml:space="preserve">3-к квартира, 63 м², 5/5 эт. в Дорогобуже | ул Путенкова, 3 </t>
  </si>
  <si>
    <t xml:space="preserve">3-к квартира, 63 м², 5/5 эт. в Дорогобуже | ул. Мира, д.20 </t>
  </si>
  <si>
    <t xml:space="preserve">3-к квартира, 69 м², 3/4 эт. в Дорогобуже | Строителей пер, 20 </t>
  </si>
  <si>
    <t xml:space="preserve">3-к квартира, 62 м², 5/5 эт. в Дорогобуже | Ул. Мира д. 47 </t>
  </si>
  <si>
    <t xml:space="preserve">3-к квартира, 60 м², 5/9 эт. в Дорогобуже | мира 12 кв 34 </t>
  </si>
  <si>
    <t xml:space="preserve">Дом 90 м² на участке 15 сот. в Дорогобуже | ул Лермонтова </t>
  </si>
  <si>
    <t xml:space="preserve">Дом 50 м² на участке 50 сот. в Дорогобуже | Дорогобужский район д. Логиновка </t>
  </si>
  <si>
    <t xml:space="preserve">Дом 63.9 м² на участке 6.4 сот. в Дорогобуже | ул Карла Маркса </t>
  </si>
  <si>
    <t xml:space="preserve">Дом 61 м² на участке 72 сот. в Дорогобуже | с. алексино </t>
  </si>
  <si>
    <t xml:space="preserve">Дом 108 м² на участке 25 сот. в Дорогобуже | деревня МАРТЫНКОВО </t>
  </si>
  <si>
    <t xml:space="preserve">Дом 60 м² на участке 30 сот. в Дорогобуже | ул.Октябрьская </t>
  </si>
  <si>
    <t xml:space="preserve">Дом 50 м² на участке 15 сот. в Дорогобуже | ул Мясникова </t>
  </si>
  <si>
    <t xml:space="preserve">Дом 60 м² на участке 6 сот. в Дорогобуже | ул. Советская, д. 15 </t>
  </si>
  <si>
    <t xml:space="preserve">Дом 95 м² на участке 15 сот. в Дорогобуже | путенкова 65 </t>
  </si>
  <si>
    <t xml:space="preserve">Дом 34 м² на участке 11 сот. в Дорогобуже | СМОЛЕНСКАЯ обл.ДОРОГОБУЖСКИЙ РАЙОН.д ЕЛИСЕЕНКИ </t>
  </si>
  <si>
    <t xml:space="preserve">Дом 38.9 м² на участке 43.5 сот. в Дорогобуже | д. Михайловка, ул Старо-Смоленская </t>
  </si>
  <si>
    <t xml:space="preserve">Дом 60 м² на участке 9 сот. в Дорогобуже | д. Садовая, ул Молодежная </t>
  </si>
  <si>
    <t xml:space="preserve">Дом 60 м² на участке 10 сот. в Дорогобуже | ул Воровского </t>
  </si>
  <si>
    <t xml:space="preserve">Дом 277 м² на участке 21 сот. в Дорогобуже | д. Новомихайловское ул. Акционерная д.6 </t>
  </si>
  <si>
    <t xml:space="preserve">Дом 68 м² на участке 24 сот. в Дорогобуже | Смоленская область Дорогобужский район д. Струково </t>
  </si>
  <si>
    <t xml:space="preserve">Дом 156 м² на участке 15 сот. в Дорогобуже | ул Павлова </t>
  </si>
  <si>
    <t xml:space="preserve">Дом 180 м² на участке 15 сот. в Дорогобуже | Комсомольская ул </t>
  </si>
  <si>
    <t xml:space="preserve">Дом 93 м² на участке 14 сот. в Дорогобуже | ул Симоновой </t>
  </si>
  <si>
    <t xml:space="preserve">Дом 36 м² на участке 15 сот. в Дорогобуже | Смоленская обл.г . Дорогобуж </t>
  </si>
  <si>
    <t xml:space="preserve">Дом 56 м² на участке 6 сот. в Дорогобуже | Дорогобужский р-н, д.Садовая </t>
  </si>
  <si>
    <t xml:space="preserve">Дом 63.4 м² на участке 15 сот. в Дорогобуже | ул Карла Маркса </t>
  </si>
  <si>
    <t xml:space="preserve">Дом 45 м² на участке 4.5 сот. в Дорогобуже | Дер. Садовая . </t>
  </si>
  <si>
    <t xml:space="preserve">Дом 70 м² на участке 15 сот. в Дорогобуже | Дорогобужский пер д.Садовая </t>
  </si>
  <si>
    <t xml:space="preserve">Дом 70 м² на участке 9 сот. в Дорогобуже | Ул интернациональная 7 </t>
  </si>
  <si>
    <t xml:space="preserve">Дом 140 м² на участке 20 сот. в Дорогобуже | ул Плеханова </t>
  </si>
  <si>
    <t xml:space="preserve">Дом 52.2 м² на участке 7 сот. в Дорогобуже | Дорогобуж </t>
  </si>
  <si>
    <t xml:space="preserve">Дом 85 м² на участке 15 сот. в Дорогобуже | ул. Лермонтова дом 24 кв 1 </t>
  </si>
  <si>
    <t xml:space="preserve">Дом 261 м² на участке 7 сот. в Дорогобуже | Молодогвардейский пер, 4 </t>
  </si>
  <si>
    <t xml:space="preserve">Дом 100 м² на участке 15 сот. в Дорогобуже | г.Дорогобуж,ул.Кутузова </t>
  </si>
  <si>
    <t xml:space="preserve">Дом 50 м² на участке 8 сот. в Дорогобуже | д. Усвятье, ул Усвятская </t>
  </si>
  <si>
    <t xml:space="preserve">Дом 70 м² на участке 15 сот. в Дорогобуже | Сафоново </t>
  </si>
  <si>
    <t xml:space="preserve">Дом 47 м² на участке 50 сот. в Дорогобуже | д. Семендяево(СВЕТ и ВОДОПРОВОД) </t>
  </si>
  <si>
    <t xml:space="preserve">Дом 80 м² на участке 24 сот. в Дорогобуже | ул. Пржевальского 21 </t>
  </si>
  <si>
    <t xml:space="preserve">Дом 130 м² на участке 46 сот. в Дорогобуже | д. Озерище </t>
  </si>
  <si>
    <t xml:space="preserve">Дом 90 м² на участке 15 сот. в Дорогобуже | ул 3 Пятилетка, 19 </t>
  </si>
  <si>
    <t xml:space="preserve">Дом 72 м² на участке 36 сот. в Дорогобуже | д. Васино, ул Парковая, д. 1, кв. 2 </t>
  </si>
  <si>
    <t xml:space="preserve">Дом 79.1 м² на участке 79 сот. в Дорогобуже | д. Следнево </t>
  </si>
  <si>
    <t xml:space="preserve">Дом 40 м² на участке 10 сот. в Дорогобуже | Г. Дорогобуж, ул. Воровского </t>
  </si>
  <si>
    <t xml:space="preserve">Дом 38 м² на участке 15 сот. в Дорогобуже | ул Пайтерова, д.45. </t>
  </si>
  <si>
    <t>16 июня</t>
  </si>
  <si>
    <t xml:space="preserve">Дом 90 м² на участке 10 сот. в Дорогобуже | Исаева ул </t>
  </si>
  <si>
    <t>i1048933081</t>
  </si>
  <si>
    <t xml:space="preserve">Дом 74 м² на участке 18 сот. в Дорогобуже | ул Карла Маркса, 87 </t>
  </si>
  <si>
    <t>i806694123</t>
  </si>
  <si>
    <t xml:space="preserve">Дом 60 м² на участке 28 сот. в Дорогобуже | д.Усвятье </t>
  </si>
  <si>
    <t xml:space="preserve">Дом 54 м² на участке 41 сот. в Дорогобуже | д.Семендяево д.1 </t>
  </si>
  <si>
    <t>x</t>
  </si>
  <si>
    <t xml:space="preserve">Дом 68.6 м² на участке 11.5 сот. в Дорогобуже | д. Новомихайловское, ул. Колхозная д.1 кв.1 </t>
  </si>
  <si>
    <t xml:space="preserve">Дом 70 м² на участке 15 сот. в Дорогобуже | ул Дворецкого </t>
  </si>
  <si>
    <t xml:space="preserve">Дом 71 м² на участке 10 сот. в Дорогобуже | Гусинский первый пер </t>
  </si>
  <si>
    <t>i1052729994</t>
  </si>
  <si>
    <t xml:space="preserve">Дом 40 м² на участке 33 сот. в Дорогобуже | д. Садовая, ул Большая Садовая </t>
  </si>
  <si>
    <t>i741710325</t>
  </si>
  <si>
    <t xml:space="preserve">3-к квартира, 63.4 м², 5/5 эт. в Дорогобуже | Мира ул, 8 </t>
  </si>
  <si>
    <t>i1163161850</t>
  </si>
  <si>
    <t xml:space="preserve">Дом 37.2 м² на участке 38 сот. в Дорогобуже | дкрквня Успенская дом 10 </t>
  </si>
  <si>
    <t>i1043715844</t>
  </si>
  <si>
    <t xml:space="preserve">Дом 124.8 м² на участке 7 сот. в Дорогобуже | Село Глинка, ул. Интернациональная, д.21. </t>
  </si>
  <si>
    <t xml:space="preserve">Дом 100 м² на участке 30 сот. в Дорогобуже | Дорогобужский район, с Алексино, ул. Санаторная </t>
  </si>
  <si>
    <t>i1188823638</t>
  </si>
  <si>
    <t xml:space="preserve">Дом 72.5 м² на участке 15 сот. в Дорогобуже | ул Октябрьская д38 </t>
  </si>
  <si>
    <t>29 июня</t>
  </si>
  <si>
    <t>i1034933977</t>
  </si>
  <si>
    <t xml:space="preserve">Дом 50 м² на участке 8 сот. в Дорогобуже | г.Дорогобуж,деревня Усвятье </t>
  </si>
  <si>
    <t>i962883663</t>
  </si>
  <si>
    <t xml:space="preserve">Дом 60 м² на участке 12 сот. в Дорогобуже | ул Кутузова </t>
  </si>
  <si>
    <t>i1213310864</t>
  </si>
  <si>
    <t xml:space="preserve">Дом 190 м² на участке 80 сот. в Дорогобуже | дорогобуж </t>
  </si>
  <si>
    <t>i1135514098</t>
  </si>
  <si>
    <t xml:space="preserve">Дом 56 м² на участке 1 сот. в Дорогобуже | Смоленская область </t>
  </si>
  <si>
    <t>i1000322989</t>
  </si>
  <si>
    <t xml:space="preserve">Дом 52.2 м² на участке 4 сот. в Дорогобуже | СХТ </t>
  </si>
  <si>
    <t>8 июля</t>
  </si>
  <si>
    <t xml:space="preserve">Дом 40 м² на участке 17 сот. в Дорогобуже | ул.Симоновой возле ямского магазина </t>
  </si>
  <si>
    <t xml:space="preserve">Дом 60 м² на участке 3 сот. в Дорогобуже | Ленина ул </t>
  </si>
  <si>
    <t xml:space="preserve">Дом 70 м² на участке 30 сот. в Дорогобуже | д. Садовая, ул Малая Садовая </t>
  </si>
  <si>
    <t>i1109907467</t>
  </si>
  <si>
    <t xml:space="preserve">3-к квартира, 63.1 м², 2/5 эт. в Дорогобуже | путенкова 15--28 </t>
  </si>
  <si>
    <t>i1129312657</t>
  </si>
  <si>
    <t xml:space="preserve">Дом 60 м² на участке 30 сот. в Дорогобуже | ул Октябрьская, 31 </t>
  </si>
  <si>
    <t>i1073912124</t>
  </si>
  <si>
    <t xml:space="preserve">Дом 49 м² на участке 50 сот. в Дорогобуже | д.Михайловка </t>
  </si>
  <si>
    <t>i1007691194</t>
  </si>
  <si>
    <t xml:space="preserve">3-к квартира, 64 м², 1/5 эт. в Дорогобуже | ул.Мира 24 </t>
  </si>
  <si>
    <t>th1</t>
  </si>
  <si>
    <t>th0</t>
  </si>
  <si>
    <t>y</t>
  </si>
  <si>
    <t>=</t>
  </si>
  <si>
    <t>+b</t>
  </si>
  <si>
    <t>k*</t>
  </si>
  <si>
    <t>k=</t>
  </si>
  <si>
    <t>b=</t>
  </si>
  <si>
    <t>1.Input</t>
  </si>
  <si>
    <t>2. Line between 2 points</t>
  </si>
  <si>
    <t>y=0.331*x-237.256</t>
  </si>
  <si>
    <t>f(x1)-f(x0)</t>
  </si>
  <si>
    <t>x1-x0</t>
  </si>
  <si>
    <t>b=f(x1)-k*x1</t>
  </si>
  <si>
    <t>y=k*x+f(x1)-k(x1) = f(x1) + k*(x-x1)</t>
  </si>
  <si>
    <t>*(x-x1)</t>
  </si>
  <si>
    <t>y=f(x1)+</t>
  </si>
  <si>
    <t>i1005823960</t>
  </si>
  <si>
    <t xml:space="preserve">Дом 96 м² на участке 34 сот. в Дорогобуже | д. Белавка, ул Школьная </t>
  </si>
  <si>
    <t>i921552216</t>
  </si>
  <si>
    <t xml:space="preserve">Дом 57 м² на участке 10 сот. в Дорогобуже | Смоленская область Дорогобужский район. д.Елисеенки </t>
  </si>
  <si>
    <t>i1006721036</t>
  </si>
  <si>
    <t xml:space="preserve">3-к квартира, 63 м², 1/5 эт. в Дорогобуже | ул Путенкова, 15 </t>
  </si>
  <si>
    <t>15 июля</t>
  </si>
  <si>
    <t>i968035818</t>
  </si>
  <si>
    <t xml:space="preserve">Дом 80 м² на участке 15 сот. в Дорогобуже | ул Озерная </t>
  </si>
  <si>
    <t>i1035107827</t>
  </si>
  <si>
    <t xml:space="preserve">3-к квартира, 56 м², 1/2 эт. в Дорогобуже | ул Калинина 1 </t>
  </si>
  <si>
    <t xml:space="preserve">Дом 95 м² на участке 15 сот. в Дорогобуже | Путенкова 65 </t>
  </si>
  <si>
    <t>i378841094</t>
  </si>
  <si>
    <t xml:space="preserve">Дом 140 м² на участке 15 сот. в Дорогобуже | Дорогобуж ул. Урицкого </t>
  </si>
  <si>
    <t>i897597279</t>
  </si>
  <si>
    <t xml:space="preserve">3-к квартира, 64 м², 2/5 эт. в Дорогобуже | Ул.молодежная </t>
  </si>
  <si>
    <t>delta</t>
  </si>
  <si>
    <t>lrate</t>
  </si>
  <si>
    <t>3 августа</t>
  </si>
  <si>
    <t>2 августа</t>
  </si>
  <si>
    <t>27 июля</t>
  </si>
  <si>
    <t>31 июля</t>
  </si>
  <si>
    <t>30 июля</t>
  </si>
  <si>
    <t>21 июля</t>
  </si>
  <si>
    <t>i966792521</t>
  </si>
  <si>
    <t>i1156718493</t>
  </si>
  <si>
    <t xml:space="preserve">Дом 72.5 м² на участке 15 сот. в Дорогобуже | ул Октябрьская 38 </t>
  </si>
  <si>
    <t xml:space="preserve">3-к квартира, 63 м², 3/5 эт. в Дорогобуже | ул Путенкова, 19 </t>
  </si>
  <si>
    <t>i601855436</t>
  </si>
  <si>
    <t xml:space="preserve">3-к квартира, 70 м², 5/5 эт. в Дорогобуже | улица Свердлова, дом 9, кв. 17 </t>
  </si>
  <si>
    <t>i413985045</t>
  </si>
  <si>
    <t xml:space="preserve">3-к квартира, 64 м², 5/5 эт. в Дорогобуже | путенкова11 </t>
  </si>
  <si>
    <t>i1078485951</t>
  </si>
  <si>
    <t xml:space="preserve">3-к квартира, 63 м², 3/9 эт. в Дорогобуже | ул Мира </t>
  </si>
  <si>
    <t>i1211287483</t>
  </si>
  <si>
    <t xml:space="preserve">3-к квартира, 66 м², 2/3 эт. в Дорогобуже | Строителей пер </t>
  </si>
  <si>
    <t>i724659886</t>
  </si>
  <si>
    <t xml:space="preserve">3-к квартира, 60 м², 5/9 эт. в Дорогобуже | ул Мира </t>
  </si>
  <si>
    <t>i1105685169</t>
  </si>
  <si>
    <t xml:space="preserve">3-к квартира, 59.9 м², 1/2 эт. в Дорогобуже | ул Калинина </t>
  </si>
  <si>
    <t>касательные</t>
  </si>
  <si>
    <t>dJ</t>
  </si>
  <si>
    <t>y=x^2</t>
  </si>
  <si>
    <t>dy =2x</t>
  </si>
  <si>
    <t xml:space="preserve">Дом 85 м² на участке 15 сот. в Дорогобуже | ул Дворецкого, 86 </t>
  </si>
  <si>
    <t>y=(x+1)^2</t>
  </si>
  <si>
    <t>y=(3*x+1)^2</t>
  </si>
  <si>
    <t>dy =2x+2</t>
  </si>
  <si>
    <t>J</t>
  </si>
  <si>
    <t>y = (2104*x-460)^2</t>
  </si>
  <si>
    <t>(u^n)' = n* u^(n-1)*u'</t>
  </si>
  <si>
    <t>dy =2*(3x+1)*(3x+1)'=6*(3x+1)</t>
  </si>
  <si>
    <t xml:space="preserve">dy =2*(2104x-460)*2104 = </t>
  </si>
  <si>
    <t>= 8853632x - 1935680</t>
  </si>
  <si>
    <t>d_th1</t>
  </si>
  <si>
    <t>i1035168362</t>
  </si>
  <si>
    <t xml:space="preserve">3-к квартира, 57 м², 6/9 эт. в Дорогобуже | мира 12 </t>
  </si>
  <si>
    <t>i1180685654</t>
  </si>
  <si>
    <t xml:space="preserve">Дом 93 м² на участке 6 сот. в Дорогобуже | Россия Смоленская обл. г. Дорогобуж ул. пайтерова д15 кв1 </t>
  </si>
  <si>
    <t>i1111470416</t>
  </si>
  <si>
    <t xml:space="preserve">Дом 60 м² на участке 6 сот. в Дорогобуже | ул Горбачева </t>
  </si>
  <si>
    <t>x1</t>
  </si>
  <si>
    <t>J(h(x))</t>
  </si>
  <si>
    <t>log(h_x)</t>
  </si>
  <si>
    <t>h_x</t>
  </si>
  <si>
    <t>log(1 - h_x)</t>
  </si>
  <si>
    <t>i1024831293</t>
  </si>
  <si>
    <t xml:space="preserve">Дом 200 м² на участке 40 сот. в Дорогобуже | Новомихайловское </t>
  </si>
  <si>
    <t>19 августа</t>
  </si>
  <si>
    <t>i1036029806</t>
  </si>
  <si>
    <t xml:space="preserve">Дом 65.4 м² на участке 30 сот. в Дорогобуже | д. Пискарево </t>
  </si>
  <si>
    <t>i1058931725</t>
  </si>
  <si>
    <t xml:space="preserve">Дом 108 м² на участке 25 сот. в Дорогобуже | деревня Мартынково </t>
  </si>
  <si>
    <t>h_x-y</t>
  </si>
  <si>
    <t>X*(h_x-y)</t>
  </si>
  <si>
    <t>th1(asm)</t>
  </si>
  <si>
    <t>new th1</t>
  </si>
  <si>
    <t>e =</t>
  </si>
  <si>
    <t xml:space="preserve">сходимость </t>
  </si>
  <si>
    <t xml:space="preserve">delta = </t>
  </si>
  <si>
    <t>3.Assume</t>
  </si>
  <si>
    <t>1.Given</t>
  </si>
  <si>
    <t>2.Const &amp; Var</t>
  </si>
  <si>
    <t xml:space="preserve">r = </t>
  </si>
  <si>
    <t>dx в dy/dx</t>
  </si>
  <si>
    <t>z=X*th</t>
  </si>
  <si>
    <t>4.Step1</t>
  </si>
  <si>
    <t>5.Step2</t>
  </si>
  <si>
    <t>6.Step3</t>
  </si>
  <si>
    <t>Step3_check</t>
  </si>
  <si>
    <t>7.Step4</t>
  </si>
  <si>
    <t>J (avg) =</t>
  </si>
  <si>
    <t>8.Step5</t>
  </si>
  <si>
    <t>9.Step6</t>
  </si>
  <si>
    <t>10.Step7</t>
  </si>
  <si>
    <t>11.Step8</t>
  </si>
  <si>
    <t>найти значения J для разных th и построить график</t>
  </si>
  <si>
    <t>12.Step9</t>
  </si>
  <si>
    <t>построить касательную в точке для проверки производной</t>
  </si>
  <si>
    <t xml:space="preserve">k = </t>
  </si>
  <si>
    <t>b =</t>
  </si>
  <si>
    <t>13.Step10</t>
  </si>
  <si>
    <t>итеративно th = th - l_rate*dJ найти th при dJ/dx = 0</t>
  </si>
  <si>
    <t>14.Step11</t>
  </si>
  <si>
    <t>построить график sigmoid при оптимальном th</t>
  </si>
  <si>
    <t xml:space="preserve">Результат: </t>
  </si>
  <si>
    <t xml:space="preserve">th1 = </t>
  </si>
  <si>
    <t>Одного параметра th1 мало для разделения 2х групп.</t>
  </si>
  <si>
    <t>x0</t>
  </si>
  <si>
    <t>new th0</t>
  </si>
  <si>
    <t>l_rate =</t>
  </si>
  <si>
    <t>dJ(th0)</t>
  </si>
  <si>
    <t>dJ(th1)</t>
  </si>
  <si>
    <t>d_th0</t>
  </si>
  <si>
    <t>z</t>
  </si>
  <si>
    <t>i1091679729</t>
  </si>
  <si>
    <t xml:space="preserve">3-к квартира, 100 м², 1/2 эт. в Дорогобуже | ул Карла Маркса 17 </t>
  </si>
  <si>
    <t>25 августа</t>
  </si>
  <si>
    <t>+ b</t>
  </si>
  <si>
    <t>k *</t>
  </si>
  <si>
    <t>2.Вычесть одно ур-ние из другого и получить k</t>
  </si>
  <si>
    <t>3.Получить b</t>
  </si>
  <si>
    <t xml:space="preserve">b = </t>
  </si>
  <si>
    <t>4.Построить график</t>
  </si>
  <si>
    <t>1. Построить уравнение по 2м точкам</t>
  </si>
  <si>
    <t>4.Find h</t>
  </si>
  <si>
    <t>h=X*th</t>
  </si>
  <si>
    <t>5. diff</t>
  </si>
  <si>
    <t>(h_x-y)^2</t>
  </si>
  <si>
    <t>6.J(el)</t>
  </si>
  <si>
    <t>9.dJ/dx(el)</t>
  </si>
  <si>
    <t>11. найти значения J для разных th и построить график</t>
  </si>
  <si>
    <t>2. Построить уравнение по 3м точкам и по одному параметру th1 (проходит через центр осей)</t>
  </si>
  <si>
    <t>7. J(sum)</t>
  </si>
  <si>
    <t>8.reserved</t>
  </si>
  <si>
    <t>range for tangent</t>
  </si>
  <si>
    <t>13. итеративно th = th - l_rate*dJ найти th при dJ/dx = 0</t>
  </si>
  <si>
    <t>10.dJ/dx=</t>
  </si>
  <si>
    <t>dJ/dx</t>
  </si>
  <si>
    <t>12.create tangent for check</t>
  </si>
  <si>
    <t>y=</t>
  </si>
  <si>
    <t>* x +</t>
  </si>
  <si>
    <t>3. Построить уравнение по 3м точкам и по двум параметрам th0 и th1</t>
  </si>
  <si>
    <t>th0+th1*X</t>
  </si>
  <si>
    <t>8.res</t>
  </si>
  <si>
    <t>построить график прямой при оптимальном th1</t>
  </si>
  <si>
    <t>12.create tangent for check th1</t>
  </si>
  <si>
    <t>12.create tangent for check th0</t>
  </si>
  <si>
    <t>10.dJ(th1)=</t>
  </si>
  <si>
    <t>dJ(th0) =</t>
  </si>
  <si>
    <t>l_rate0 =</t>
  </si>
  <si>
    <t>l_rate1 =</t>
  </si>
  <si>
    <t>y =</t>
  </si>
  <si>
    <t>построить график прямой при оптимальном th0 и th1</t>
  </si>
  <si>
    <t>x1*th1</t>
  </si>
  <si>
    <t>-y1</t>
  </si>
  <si>
    <t xml:space="preserve">^2 = </t>
  </si>
  <si>
    <t>th0^2</t>
  </si>
  <si>
    <t>x1^2*th1^2</t>
  </si>
  <si>
    <t>+</t>
  </si>
  <si>
    <t>-2*y1*th0</t>
  </si>
  <si>
    <t>2*x1*th1*th0</t>
  </si>
  <si>
    <t>-2*x1*y1*th1</t>
  </si>
  <si>
    <t>y1^2</t>
  </si>
  <si>
    <t>=1000</t>
  </si>
  <si>
    <t>4. Построить нормализованное уравнение по 3м точкам и по двум параметрам th0 и th1</t>
  </si>
  <si>
    <t>mean</t>
  </si>
  <si>
    <t>dev</t>
  </si>
  <si>
    <t>30 августа</t>
  </si>
  <si>
    <t>i1177472310</t>
  </si>
  <si>
    <t xml:space="preserve">Дом 74 м² на участке 30 сот. в Дорогобуже | Дорогобужский район деревня Пискарево </t>
  </si>
  <si>
    <t>i1024354324</t>
  </si>
  <si>
    <t xml:space="preserve">Дом 71.6 м² на участке 9.6 сот. в Дорогобуже | 1-й Гусинский переулок, дом.1 </t>
  </si>
  <si>
    <t>29 августа</t>
  </si>
  <si>
    <t>i1125260339</t>
  </si>
  <si>
    <t>i1062461567</t>
  </si>
  <si>
    <t xml:space="preserve">3-к квартира, 62 м², 2/5 эт. в Дорогобуже | ул Мира, 47 </t>
  </si>
  <si>
    <t>1 сентября</t>
  </si>
  <si>
    <t>i717018150</t>
  </si>
  <si>
    <t xml:space="preserve">3-к квартира, 62.8 м², 8/9 эт. в Дорогобуже | Мира ул, 26 </t>
  </si>
  <si>
    <t>3^x  = 9</t>
  </si>
  <si>
    <t>х = log3 9</t>
  </si>
  <si>
    <t>е^0 = 1</t>
  </si>
  <si>
    <t>e^-34 = 0</t>
  </si>
  <si>
    <t>log(1 -h_x)</t>
  </si>
  <si>
    <t>dy/dth0</t>
  </si>
  <si>
    <t>dy/dth1</t>
  </si>
  <si>
    <t>1. Найти оптимальный th0 and  th1</t>
  </si>
  <si>
    <t xml:space="preserve">th0 = </t>
  </si>
  <si>
    <t>8 сентября</t>
  </si>
  <si>
    <t>i996635998</t>
  </si>
  <si>
    <t xml:space="preserve">Дом 100 м² на участке 50 сот. в Дорогобуже | село Усвятье </t>
  </si>
  <si>
    <t>i1043228011</t>
  </si>
  <si>
    <t xml:space="preserve">Дом 58 м² на участке 15 сот. в Дорогобуже | ул Гарнизонная </t>
  </si>
  <si>
    <t>19 сентября</t>
  </si>
  <si>
    <t>16 сентября</t>
  </si>
  <si>
    <t>21 сентября</t>
  </si>
  <si>
    <t>20 сентября</t>
  </si>
  <si>
    <t>i947525528</t>
  </si>
  <si>
    <t xml:space="preserve">Дом 70 м² на участке 10 сот. в Дорогобуже | д.Ушаково за Дорогобужем </t>
  </si>
  <si>
    <t>i1122516100</t>
  </si>
  <si>
    <t xml:space="preserve">Дом 90 м² на участке 12 сот. в Дорогобуже | Дорогобуж </t>
  </si>
  <si>
    <t>i1053246117</t>
  </si>
  <si>
    <t xml:space="preserve">Дом 98 м² на участке 10 сот. в Дорогобуже | Смоленская обл. Г. Дорогобуж улица Смолякова </t>
  </si>
  <si>
    <t>i1051979528</t>
  </si>
  <si>
    <t xml:space="preserve">Дом 66.8 м² на участке 50 сот. в Дорогобуже | д. Хатунь </t>
  </si>
  <si>
    <t>i947265211</t>
  </si>
  <si>
    <t xml:space="preserve">Дом 72.5 м² на участке 3 сот. в Дорогобуже | ул Седова </t>
  </si>
  <si>
    <t>14 сентября</t>
  </si>
  <si>
    <t xml:space="preserve">Дом 50 м² на участке 48 сот. в Дорогобуже | д.Михайловка </t>
  </si>
  <si>
    <t>i1069427164</t>
  </si>
  <si>
    <t xml:space="preserve">3-к квартира, 66 м², 6/9 эт. в Дорогобуже | ул Чистякова д 8 </t>
  </si>
  <si>
    <t>i1219851803</t>
  </si>
  <si>
    <t xml:space="preserve">3-к квартира, 65 м², 6/9 эт. в Дорогобуже | ул Мира дом 12 </t>
  </si>
  <si>
    <t>x2</t>
  </si>
  <si>
    <t>th2</t>
  </si>
  <si>
    <t>-LOG(1 - h_x)</t>
  </si>
  <si>
    <t>8 октября</t>
  </si>
  <si>
    <t>4 октября</t>
  </si>
  <si>
    <t>28 сентября</t>
  </si>
  <si>
    <t>26 сентября</t>
  </si>
  <si>
    <t xml:space="preserve">Дом 100 м² на участке 50 сот. в Дорогобуже | Смоленская область Дорогобужский район село Усвятье </t>
  </si>
  <si>
    <t>i1213550802</t>
  </si>
  <si>
    <t xml:space="preserve">Дом 72 м² на участке 3 сот. в Дорогобуже | ул Павлова </t>
  </si>
  <si>
    <t>i947598319</t>
  </si>
  <si>
    <t xml:space="preserve">Дом 49.4 м² на участке 6 сот. в Дорогобуже | д. Пушкарёво, ул. Заречная, дом 1, кв. 1 </t>
  </si>
  <si>
    <t>7 октября</t>
  </si>
  <si>
    <t>i1211040175</t>
  </si>
  <si>
    <t xml:space="preserve">Дом 200 м² на участке 25 сот. в Дорогобуже | Д,Новомихайловское </t>
  </si>
  <si>
    <t>i1020449931</t>
  </si>
  <si>
    <t xml:space="preserve">Дом 90 м² на участке 40 сот. в Дорогобуже | д.княщина </t>
  </si>
  <si>
    <t>i931833979</t>
  </si>
  <si>
    <t xml:space="preserve">3-к квартира, 50 м², 2/2 эт. в Дорогобуже | г.Дорогобуж ул Калинина , д.2,кв.6 </t>
  </si>
  <si>
    <t>i1019668259</t>
  </si>
  <si>
    <t xml:space="preserve">3-к квартира, 65 м², 6/9 эт. в Дорогобуже | ул Мира, 2 </t>
  </si>
  <si>
    <t>i1141074541</t>
  </si>
  <si>
    <t xml:space="preserve">3-к квартира, 66 м², 7/9 эт. в Дорогобуже | мира 12 </t>
  </si>
  <si>
    <t>i1108800990</t>
  </si>
  <si>
    <t>Hyundai Solaris, 2017 в Москве | 1 068 км, 1.4 MT (107 л.с.), седан, передний, бензин</t>
  </si>
  <si>
    <t>i1035995420</t>
  </si>
  <si>
    <t>Hyundai Solaris, 2017 в Москве | 1 800 км, 1.6 MT (123 л.с.), седан, передний, бензин</t>
  </si>
  <si>
    <t>i1130123544</t>
  </si>
  <si>
    <t>Hyundai Solaris, 2017 в Москве | 1 730 км, 1.6 MT (123 л.с.), седан, передний, бензин</t>
  </si>
  <si>
    <t>i1112282879</t>
  </si>
  <si>
    <t>Hyundai Solaris, 2017 в Москве | 35 км, 1.4 MT (95 л.с.), седан, передний, бензин</t>
  </si>
  <si>
    <t>i1085216762</t>
  </si>
  <si>
    <t>Hyundai Solaris, 2017 в Москве | 20 000 км, 1.4 MT (100 л.с.), седан, передний, бензин</t>
  </si>
  <si>
    <t>i1087578288</t>
  </si>
  <si>
    <t>Hyundai Solaris, 2017 в Москве | 42 км, 1.6 MT (123 л.с.), седан, передний, бензин</t>
  </si>
  <si>
    <t>i1122756580</t>
  </si>
  <si>
    <t>Hyundai Solaris, 2017 в Москве | 8 700 км, 1.6 MT (123 л.с.), седан, передний, бензин</t>
  </si>
  <si>
    <t>i1025867835</t>
  </si>
  <si>
    <t>i1194297707</t>
  </si>
  <si>
    <t>Hyundai Solaris, 2017 в Москве | 8 903 км, 1.6 MT (123 л.с.), седан, передний, бензин</t>
  </si>
  <si>
    <t>x1^2</t>
  </si>
  <si>
    <t>x1^x2</t>
  </si>
  <si>
    <t>x2^2</t>
  </si>
  <si>
    <t>3.th</t>
  </si>
  <si>
    <t>2.mapFeature</t>
  </si>
  <si>
    <t>Const:</t>
  </si>
  <si>
    <t>3. Найти оптимальные th</t>
  </si>
  <si>
    <t>-LOG(h_x)(if 1)</t>
  </si>
  <si>
    <t>2. Найти оптимальные th</t>
  </si>
  <si>
    <t xml:space="preserve">1.Given (no step 2) </t>
  </si>
  <si>
    <t>X1(h_x-y)</t>
  </si>
  <si>
    <t>9.gradX1</t>
  </si>
  <si>
    <t>8.gradX0</t>
  </si>
  <si>
    <t>X2(h_x-y)</t>
  </si>
  <si>
    <t>10.gradX2</t>
  </si>
  <si>
    <t>dJ(th2)</t>
  </si>
  <si>
    <t>11.Optimization th</t>
  </si>
  <si>
    <t>loop</t>
  </si>
  <si>
    <t>macros</t>
  </si>
  <si>
    <t>lrate1 =</t>
  </si>
  <si>
    <t>lrate2 =</t>
  </si>
  <si>
    <t>i1114407440</t>
  </si>
  <si>
    <t>Hyundai Solaris, 2017 в Москве | 51 км, 1.6 MT (123 л.с.), седан, передний, бензин</t>
  </si>
  <si>
    <t>10 октября</t>
  </si>
  <si>
    <t>i1027592336</t>
  </si>
  <si>
    <t xml:space="preserve">Дом 60 м² на участке 50 сот. в Дорогобуже | д. Михайловка, ул Старо-Смоленская, 10 </t>
  </si>
  <si>
    <t>i948826346</t>
  </si>
  <si>
    <t xml:space="preserve">3-к квартира, 64 м², 1/5 эт. в Дорогобуже | ул Мира, 32 </t>
  </si>
  <si>
    <t>11 октября</t>
  </si>
  <si>
    <t>Solaris meh 17</t>
  </si>
  <si>
    <t>i959340156</t>
  </si>
  <si>
    <t>Hyundai Solaris, 2017 в Москве | 12 000 км, 1.4 MT (100 л.с.), седан, передний, бензин</t>
  </si>
  <si>
    <t>i1217092639</t>
  </si>
  <si>
    <t xml:space="preserve">3-к квартира, 68 м², 5/5 эт. в Дорогобуже | ул Свердлова,д. 9 </t>
  </si>
  <si>
    <t>i1081254433</t>
  </si>
  <si>
    <t xml:space="preserve">3-к квартира, 60 м², 2/4 эт. в Дорогобуже | ул Ленина, 13 </t>
  </si>
  <si>
    <t>i1220700691</t>
  </si>
  <si>
    <t xml:space="preserve">Дом 68 м² на участке 7 сот. в Дорогобуже | Филиппов пер </t>
  </si>
  <si>
    <t>i1020306511</t>
  </si>
  <si>
    <t>Hyundai Solaris, 2017 в Москве | 10 км, 1.6 MT (123 л.с.), седан, передний, бензин</t>
  </si>
  <si>
    <t>18 октября</t>
  </si>
  <si>
    <t>i927078905</t>
  </si>
  <si>
    <t>Hyundai Solaris, 2017 в Москве | 45 600 км, 1.6 MT (123 л.с.), седан, передний, бензин</t>
  </si>
  <si>
    <t>21 октября</t>
  </si>
  <si>
    <t>i1209342730</t>
  </si>
  <si>
    <t xml:space="preserve">Дом 72 м² на участке 5 сот. в Дорогобуже | ул. Павлова </t>
  </si>
  <si>
    <t>i1080416622</t>
  </si>
  <si>
    <t>Hyundai Solaris, 2017 в Москве | 19 800 км, 1.6 MT (123 л.с.), седан, передний, бензин</t>
  </si>
  <si>
    <t>i939483313</t>
  </si>
  <si>
    <t xml:space="preserve">3-к квартира, 62.2 м², 5/5 эт. в Дорогобуже | Смоленская обл гДорогобуж улМира д38 </t>
  </si>
  <si>
    <t>i1023894397</t>
  </si>
  <si>
    <t>Hyundai Solaris, 2017 в Москве | 100 км, 1.4 MT (100 л.с.), седан, передний, бензин</t>
  </si>
  <si>
    <t>i969008505</t>
  </si>
  <si>
    <t>Hyundai Solaris, 2017 в Москве | 1 км, 1.4 MT (99 л.с.), седан, передний, бензин</t>
  </si>
  <si>
    <t>i565105695</t>
  </si>
  <si>
    <t>Hyundai Solaris, 2017 в Москве | 12 458 км, 1.4 MT (100 л.с.), седан, передний, бензин</t>
  </si>
  <si>
    <t>i1167276255</t>
  </si>
  <si>
    <t>Hyundai Solaris, 2017 в Москве | 25 000 км, 1.6 MT (123 л.с.), седан, передний, бензин</t>
  </si>
  <si>
    <t>i1091870972</t>
  </si>
  <si>
    <t xml:space="preserve">Дом 40 м² на участке 17 сот. в Дорогобуже | ул Симоновой, 37 </t>
  </si>
  <si>
    <t>i1078204313</t>
  </si>
  <si>
    <t>Hyundai Solaris, 2017 в Москве | 10 000 км, 1.4 MT (100 л.с.), седан, передний, бензин</t>
  </si>
  <si>
    <t>i952126483</t>
  </si>
  <si>
    <t>Hyundai Solaris, 2017 в Москве | 25 км, 1.4 MT (107 л.с.), седан, передний, бензин</t>
  </si>
  <si>
    <t>i940439214</t>
  </si>
  <si>
    <t>Hyundai Solaris, 2017 в Москве | 32 км, 1.6 MT (123 л.с.), седан, передний, бензин</t>
  </si>
  <si>
    <t>27 октября</t>
  </si>
  <si>
    <t>i1116729992</t>
  </si>
  <si>
    <t>Hyundai Solaris, 2017 в Москве | 16 032 км, 1.4 MT (107 л.с.), седан, передний, бензин</t>
  </si>
  <si>
    <t>i1136426579</t>
  </si>
  <si>
    <t xml:space="preserve">3-к квартира, 49.9 м², 1/2 эт. в Дорогобуже | г. Дорогобуж, ул. Симоновой, дом 121 </t>
  </si>
  <si>
    <t>i953731798</t>
  </si>
  <si>
    <t xml:space="preserve">Дом 40 м² на участке 18 сот. в Дорогобуже | деревня Новоспасское </t>
  </si>
  <si>
    <t>i1085677751</t>
  </si>
  <si>
    <t xml:space="preserve">Дом 75 м² на участке 100 сот. в Дорогобуже | дер. Давыдово </t>
  </si>
  <si>
    <t>i999131777</t>
  </si>
  <si>
    <t>Hyundai Solaris, 2017 в Москве | 12 065 км, 1.6 MT (123 л.с.), седан, передний, бензин</t>
  </si>
  <si>
    <t>i1125553701</t>
  </si>
  <si>
    <t xml:space="preserve">Дом 60 м² на участке 40 сот. в Дорогобуже | деревня Дежино </t>
  </si>
  <si>
    <t>i560124812</t>
  </si>
  <si>
    <t xml:space="preserve">Дом 52 м² на участке 4 сот. в Дорогобуже | СХТ </t>
  </si>
  <si>
    <t>i1147438940</t>
  </si>
  <si>
    <t xml:space="preserve">Дом 58 м² на участке 15 сот. в Дорогобуже | ул </t>
  </si>
  <si>
    <t>4 ноября</t>
  </si>
  <si>
    <t>i1089485390</t>
  </si>
  <si>
    <t xml:space="preserve">3-к квартира, 67 м², 1/5 эт. в Дорогобуже | ул. Мира д.36 </t>
  </si>
  <si>
    <t>5 ноября</t>
  </si>
  <si>
    <t>i1186867941</t>
  </si>
  <si>
    <t xml:space="preserve">3-к квартира, 68 м², 1/5 эт. в Дорогобуже | ул Мира </t>
  </si>
  <si>
    <t>i967485259</t>
  </si>
  <si>
    <t>Hyundai Solaris, 2017 в Москве | 26 000 км, 1.4 MT (100 л.с.), седан, передний, бензин</t>
  </si>
  <si>
    <t>8 ноября</t>
  </si>
  <si>
    <t>Hyundai Solaris, 2017 в Москве | 21 900 км, 1.6 MT (123 л.с.), седан, передний, бензин</t>
  </si>
  <si>
    <t>i919244199</t>
  </si>
  <si>
    <t xml:space="preserve">Дом 102 м² на участке 25 сот. в Дорогобуже | деревня Мартынково </t>
  </si>
  <si>
    <t>i933504140</t>
  </si>
  <si>
    <t xml:space="preserve">Дом 240 м² на участке 6 сот. в Дорогобуже | ул.Молодогвардейцев </t>
  </si>
  <si>
    <t>i1211281010</t>
  </si>
  <si>
    <t>Hyundai Solaris, 2017 в Москве | 12 км, 1.6 MT (123 л.с.), седан, передний, бензин</t>
  </si>
  <si>
    <t>i990832241</t>
  </si>
  <si>
    <t>11 ноября</t>
  </si>
  <si>
    <t>i975953785</t>
  </si>
  <si>
    <t xml:space="preserve">Дом 226 м² на участке 15 сот. в Дорогобуже | Смоленская обл., г. Дорогобуж, ул. Дворецкого, д. 48 </t>
  </si>
  <si>
    <t>12 ноября</t>
  </si>
  <si>
    <t>i997814945</t>
  </si>
  <si>
    <t xml:space="preserve">3-к квартира, 60 м², 5/5 эт. в Дорогобуже | Россия, Смоленская область, Дорогобуж, улица Путенкова, 11 </t>
  </si>
  <si>
    <t>10 ноября</t>
  </si>
  <si>
    <t>i1103529874</t>
  </si>
  <si>
    <t>Hyundai Solaris, 2017 в Москве | 20 000 км, 1.6 MT (124 л.с.), седан, передний, бензин</t>
  </si>
  <si>
    <t>21 ноября</t>
  </si>
  <si>
    <t>20 ноября</t>
  </si>
  <si>
    <t>i1169715680</t>
  </si>
  <si>
    <t xml:space="preserve">Дом 150 м² на участке 30 сот. в Дорогобуже | ул Молодежная,деревня садовая </t>
  </si>
  <si>
    <t>17 ноября</t>
  </si>
  <si>
    <t>i1025672151</t>
  </si>
  <si>
    <t>Hyundai Solaris, 2017 в Москве | 10 700 км, 1.4 MT (100 л.с.), седан, передний, бензин</t>
  </si>
  <si>
    <t>i1056664684</t>
  </si>
  <si>
    <t>Hyundai Solaris, 2017 в Москве | 400 км, 1.6 MT (123 л.с.), седан, передний, бензин</t>
  </si>
  <si>
    <t>25 ноября</t>
  </si>
  <si>
    <t>i930098848</t>
  </si>
  <si>
    <t xml:space="preserve">Дом 53 м² на участке 20 сот. в Дорогобуже | улица Симоновой </t>
  </si>
  <si>
    <t>26 ноября</t>
  </si>
  <si>
    <t>i1184215073</t>
  </si>
  <si>
    <t xml:space="preserve">Дом 72 м² на участке 15 сот. в Дорогобуже | Филиппов пер д. 7 </t>
  </si>
  <si>
    <t>23 ноября</t>
  </si>
  <si>
    <t>i1176606626</t>
  </si>
  <si>
    <t xml:space="preserve">Дом 63 м² на участке 9 сот. в Дорогобуже | ул Воровского15 </t>
  </si>
  <si>
    <t>i963612201</t>
  </si>
  <si>
    <t>Hyundai Solaris, 2017 в Москве | 7 000 км, 1.4 MT (99 л.с.), седан, передний, бензин</t>
  </si>
  <si>
    <t>i1146637159</t>
  </si>
  <si>
    <t>Hyundai Solaris, 2017 в Москве | 11 000 км, 1.6 MT (123 л.с.), седан, передний, бензин</t>
  </si>
  <si>
    <t>4 января</t>
  </si>
  <si>
    <t>i1023249941</t>
  </si>
  <si>
    <t>Hyundai Solaris, 2017 в Москве | 9 670 км, 1.6 MT (123 л.с.), седан, передний, бензин</t>
  </si>
  <si>
    <t>3 января</t>
  </si>
  <si>
    <t>i1081472910</t>
  </si>
  <si>
    <t>Hyundai Solaris, 2017 в Москве | 15 500 км, 1.4 MT (99 л.с.), седан, передний, бензин</t>
  </si>
  <si>
    <t>24 декабря</t>
  </si>
  <si>
    <t>i970191939</t>
  </si>
  <si>
    <t>17 декабря</t>
  </si>
  <si>
    <t>i1037055492</t>
  </si>
  <si>
    <t>Hyundai Solaris, 2017 в Москве | 1 068 км, 1.6 MT (123 л.с.), седан, передний, бензин</t>
  </si>
  <si>
    <t>15 декабря</t>
  </si>
  <si>
    <t>i1091563943</t>
  </si>
  <si>
    <t>Hyundai Solaris, 2017 в Москве | 7 800 км, 1.6 MT (123 л.с.), седан, передний, бензин</t>
  </si>
  <si>
    <t>i1036711927</t>
  </si>
  <si>
    <t>Hyundai Solaris, 2017 в Москве | 12 100 км, 1.6 MT (123 л.с.), седан, передний, бензин</t>
  </si>
  <si>
    <t>14 декабря</t>
  </si>
  <si>
    <t>i1188780746</t>
  </si>
  <si>
    <t>Hyundai Solaris, 2017 в Москве | 51 км, 1.4 MT (100 л.с.), седан, передний, бензин</t>
  </si>
  <si>
    <t>13 декабря</t>
  </si>
  <si>
    <t>i1182756055</t>
  </si>
  <si>
    <t>Hyundai Solaris, 2017 в Москве | 15 290 км, 1.6 MT (123 л.с.), седан, передний, бензин</t>
  </si>
  <si>
    <t>i1133372701</t>
  </si>
  <si>
    <t>Hyundai Solaris, 2017 в Москве | 54 км, 1.4 MT (107 л.с.), седан, передний, бензин</t>
  </si>
  <si>
    <t>i1131721212</t>
  </si>
  <si>
    <t>Hyundai Solaris, 2017 в Москве | 1 000 км, 1.6 MT (123 л.с.), седан, передний, бензин</t>
  </si>
  <si>
    <t>11 декабря</t>
  </si>
  <si>
    <t>i1138846430</t>
  </si>
  <si>
    <t xml:space="preserve">Дом 58 м² на участке 50 сот. в Дорогобуже | Дорогобужский р-н, дер. Дежино </t>
  </si>
  <si>
    <t xml:space="preserve">Дом 73.5 м² на участке 3 сот. в Дорогобуже | ул Седова </t>
  </si>
  <si>
    <t>7 января</t>
  </si>
  <si>
    <t>6 января</t>
  </si>
  <si>
    <t>5 января</t>
  </si>
  <si>
    <t>i1128611773</t>
  </si>
  <si>
    <t xml:space="preserve">Дом 63 м² на участке 9 сот. в Дорогобуже | Воровского 15 </t>
  </si>
  <si>
    <t>i1026988000</t>
  </si>
  <si>
    <t xml:space="preserve">Дом 35.1 м² на участке 2 сот. в Дорогобуже | д. Садовая, ул Парковая, д. 8 </t>
  </si>
  <si>
    <t>2 января</t>
  </si>
  <si>
    <t>i1134029853</t>
  </si>
  <si>
    <t xml:space="preserve">Дом 40 м² на участке 68 сот. в Дорогобуже | Деревня следнево </t>
  </si>
  <si>
    <t>21 декабря</t>
  </si>
  <si>
    <t>i1178927400</t>
  </si>
  <si>
    <t xml:space="preserve">Дом 72.5 м² на участке 15 сот. в Дорогобуже | Россия, Смоленская область, Дорогобуж, Октябрьская улица, 38 </t>
  </si>
  <si>
    <t>i1047920502</t>
  </si>
  <si>
    <t xml:space="preserve">3-к квартира, 64 м², 4/5 эт. в Дорогобуже | ул Чистякова </t>
  </si>
  <si>
    <t>1 января</t>
  </si>
  <si>
    <t>i1020137830</t>
  </si>
  <si>
    <t xml:space="preserve">3-к квартира, 62.5 м², 5/5 эт. в Дорогобуже | ул Путенкова д.3 </t>
  </si>
  <si>
    <t>i1005589026</t>
  </si>
  <si>
    <t xml:space="preserve">3-к квартира, 59 м², 1/2 эт. в Дорогобуже | Россия, Смоленская область, Дорогобуж, улица Карла Маркса, 17,11 </t>
  </si>
  <si>
    <t>18 декабря</t>
  </si>
  <si>
    <t>i989255588</t>
  </si>
  <si>
    <t>13 января</t>
  </si>
  <si>
    <t>12 января</t>
  </si>
  <si>
    <t>i994703404</t>
  </si>
  <si>
    <t>Hyundai Solaris, 2017 в Москве | 17 000 км, 1.4 MT (107 л.с.), седан, передний, бензин</t>
  </si>
  <si>
    <t>11 января</t>
  </si>
  <si>
    <t>i928216794</t>
  </si>
  <si>
    <t xml:space="preserve">Дом 95 м² на участке 40 сот. в Дорогобуже | Смоленская область, Дорогобужский район, село Алексино, Заозерная улица, 10 </t>
  </si>
  <si>
    <t>i1173057075</t>
  </si>
  <si>
    <t xml:space="preserve">Дом 36 м² на участке 13 сот. в Дорогобуже | ул Комсомольская </t>
  </si>
  <si>
    <t>14 января</t>
  </si>
  <si>
    <t>i1100556704</t>
  </si>
  <si>
    <t xml:space="preserve">Дом 180 м² на участке 15 сот. в Дорогобуже | ул Комсомольская </t>
  </si>
  <si>
    <t>10 января</t>
  </si>
  <si>
    <t>9 января</t>
  </si>
  <si>
    <t>8 января</t>
  </si>
  <si>
    <t>i950334224</t>
  </si>
  <si>
    <t xml:space="preserve">3-к квартира, 52 м², 1/2 эт. в Дорогобуже | Комунистическая 30 </t>
  </si>
  <si>
    <t>i1150102606</t>
  </si>
  <si>
    <t xml:space="preserve">3-к квартира, 65 м², 2/5 эт. в Дорогобуже | ул Мира </t>
  </si>
  <si>
    <t>i1101820586</t>
  </si>
  <si>
    <t xml:space="preserve">3-к квартира, 63 м², 5/5 эт. в Дорогобуже | Путенкова 11 </t>
  </si>
  <si>
    <t>i968931150</t>
  </si>
  <si>
    <t xml:space="preserve">3-к квартира, 63 м², 5/5 эт. в Дорогобуже | ул Мира, 8 </t>
  </si>
  <si>
    <t>i1224288959</t>
  </si>
  <si>
    <t>Hyundai Solaris, 2017 в Москве | 7 950 км, 1.4 MT (107 л.с.), седан, передний, бензин</t>
  </si>
  <si>
    <t>i928264979</t>
  </si>
  <si>
    <t>Hyundai Solaris, 2017 в Москве | 3 000 км, 1.6 MT (123 л.с.), седан, передний, бензин</t>
  </si>
  <si>
    <t>16 января</t>
  </si>
  <si>
    <t>15 января</t>
  </si>
  <si>
    <t>i1329303104</t>
  </si>
  <si>
    <t>Hyundai Solaris, 2017 в Москве | 796 км, 1.4 MT (99 л.с.), седан, передний, бензин</t>
  </si>
  <si>
    <t>i1347320848</t>
  </si>
  <si>
    <t>Hyundai Solaris, 2017 в Москве | 2 000 км, 1.6 MT (123 л.с.), седан, передний, бензин</t>
  </si>
  <si>
    <t>29 января</t>
  </si>
  <si>
    <t>i1367450512</t>
  </si>
  <si>
    <t>Hyundai Solaris, 2017 в Москве | 50 км, 1.4 MT (100 л.с.), седан, передний, бензин</t>
  </si>
  <si>
    <t>28 января</t>
  </si>
  <si>
    <t>i1328880808</t>
  </si>
  <si>
    <t>Hyundai Solaris, 2017 в Москве | 4 000 км, 1.6 MT (123 л.с.), седан, передний, бензин</t>
  </si>
  <si>
    <t>25 января</t>
  </si>
  <si>
    <t>i1049359212</t>
  </si>
  <si>
    <t>Hyundai Solaris, 2017 в Москве | 27 800 км, 1.6 MT (123 л.с.), седан, передний, бензин</t>
  </si>
  <si>
    <t>24 января</t>
  </si>
  <si>
    <t>i1027884247</t>
  </si>
  <si>
    <t>Hyundai Solaris, 2017 в Москве | 4 500 км, 1.6 MT (123 л.с.), седан, передний, бензин</t>
  </si>
  <si>
    <t>22 января</t>
  </si>
  <si>
    <t>i1003628903</t>
  </si>
  <si>
    <t>Hyundai Solaris, 2017 в Москве | 2 220 км, 1.4 MT (100 л.с.), седан, передний, бензин</t>
  </si>
  <si>
    <t>21 января</t>
  </si>
  <si>
    <t>i1013856176</t>
  </si>
  <si>
    <t>Hyundai Solaris, 2017 в Москве | 29 000 км, 1.4 MT (107 л.с.), седан, передний, бензин</t>
  </si>
  <si>
    <t>20 января</t>
  </si>
  <si>
    <t>i1218866343</t>
  </si>
  <si>
    <t>Hyundai Solaris, 2017 в Москве | 16 000 км, 1.4 MT (107 л.с.), седан, передний, бензин</t>
  </si>
  <si>
    <t>18 января</t>
  </si>
  <si>
    <t xml:space="preserve">Дом 60 м² на участке 15 сот. в Дорогобуже | ул Воровского </t>
  </si>
  <si>
    <t>i967628634</t>
  </si>
  <si>
    <t xml:space="preserve">Дом 76 м² на участке 14 сот. в Дорогобуже | ул.седова </t>
  </si>
  <si>
    <t>27 января</t>
  </si>
  <si>
    <t>i935243710</t>
  </si>
  <si>
    <t xml:space="preserve">Дом 76.6 м² на участке 2.6 сот. в Дорогобуже | Д.Елисеенки Дорогобужского района Смоленской области </t>
  </si>
  <si>
    <t>i1260955511</t>
  </si>
  <si>
    <t xml:space="preserve">Дом 68 м² на участке 24 сот. в Дорогобуже | Смоленская обл.,Дорогобужский р-он, д.Княщина </t>
  </si>
  <si>
    <t>23 января</t>
  </si>
  <si>
    <t>i1160792507</t>
  </si>
  <si>
    <t xml:space="preserve">Дом 145 м² на участке 20 сот. в Дорогобуже | ул Дворецкого </t>
  </si>
  <si>
    <t xml:space="preserve">Дом 95 м² на участке 15 сот. в Дорогобуже | Смоленская область, Дорогобуж, улица Путенкова </t>
  </si>
  <si>
    <t>i1312464228</t>
  </si>
  <si>
    <t xml:space="preserve">3-к квартира, 57 м², 2/2 эт. в Дорогобуже | ул Чистякова </t>
  </si>
  <si>
    <t>i988058552</t>
  </si>
  <si>
    <t xml:space="preserve">3-к квартира, 64 м², 1/5 эт. в Дорогобуже | ул Чистякова д.4 </t>
  </si>
  <si>
    <t>17 января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</si>
</sst>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00"/>
    <numFmt numFmtId="166" formatCode="#,##0.00000"/>
    <numFmt numFmtId="167" formatCode="0.00000"/>
    <numFmt numFmtId="168" formatCode="#,##0.000"/>
    <numFmt numFmtId="169" formatCode="0.0000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2">
    <xf numFmtId="0" fontId="0" fillId="0" borderId="0" xfId="0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5" fontId="0" fillId="0" borderId="0" xfId="0" applyNumberFormat="1" applyFill="1" applyAlignment="1">
      <alignment horizontal="right"/>
    </xf>
    <xf numFmtId="3" fontId="0" fillId="0" borderId="0" xfId="0" applyNumberFormat="1" applyAlignment="1">
      <alignment horizontal="right"/>
    </xf>
    <xf numFmtId="3" fontId="0" fillId="0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/>
    <xf numFmtId="15" fontId="0" fillId="0" borderId="0" xfId="0" applyNumberFormat="1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4" borderId="1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0" xfId="0" applyFill="1" applyBorder="1" applyAlignment="1"/>
    <xf numFmtId="0" fontId="0" fillId="2" borderId="11" xfId="0" applyFill="1" applyBorder="1" applyAlignment="1"/>
    <xf numFmtId="1" fontId="0" fillId="0" borderId="0" xfId="0" applyNumberFormat="1"/>
    <xf numFmtId="0" fontId="0" fillId="3" borderId="15" xfId="0" applyFill="1" applyBorder="1" applyAlignment="1">
      <alignment horizontal="right"/>
    </xf>
    <xf numFmtId="0" fontId="0" fillId="3" borderId="16" xfId="0" applyFill="1" applyBorder="1" applyAlignment="1">
      <alignment horizontal="right"/>
    </xf>
    <xf numFmtId="0" fontId="0" fillId="3" borderId="17" xfId="0" applyFill="1" applyBorder="1" applyAlignment="1">
      <alignment horizontal="right"/>
    </xf>
    <xf numFmtId="15" fontId="0" fillId="3" borderId="16" xfId="0" applyNumberFormat="1" applyFill="1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15" fontId="0" fillId="0" borderId="16" xfId="0" applyNumberFormat="1" applyBorder="1" applyAlignment="1">
      <alignment horizontal="right"/>
    </xf>
    <xf numFmtId="164" fontId="0" fillId="3" borderId="16" xfId="0" applyNumberFormat="1" applyFill="1" applyBorder="1" applyAlignment="1">
      <alignment horizontal="right"/>
    </xf>
    <xf numFmtId="164" fontId="0" fillId="3" borderId="11" xfId="0" applyNumberFormat="1" applyFill="1" applyBorder="1" applyAlignment="1">
      <alignment horizontal="right"/>
    </xf>
    <xf numFmtId="164" fontId="0" fillId="0" borderId="11" xfId="0" applyNumberFormat="1" applyBorder="1" applyAlignment="1">
      <alignment horizontal="right"/>
    </xf>
    <xf numFmtId="164" fontId="0" fillId="0" borderId="16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0" fontId="0" fillId="3" borderId="20" xfId="0" applyFill="1" applyBorder="1" applyAlignment="1">
      <alignment horizontal="right"/>
    </xf>
    <xf numFmtId="0" fontId="0" fillId="3" borderId="21" xfId="0" applyFill="1" applyBorder="1" applyAlignment="1">
      <alignment horizontal="right"/>
    </xf>
    <xf numFmtId="0" fontId="0" fillId="3" borderId="22" xfId="0" applyFill="1" applyBorder="1" applyAlignment="1">
      <alignment horizontal="right"/>
    </xf>
    <xf numFmtId="15" fontId="0" fillId="3" borderId="21" xfId="0" applyNumberFormat="1" applyFill="1" applyBorder="1" applyAlignment="1">
      <alignment horizontal="right"/>
    </xf>
    <xf numFmtId="164" fontId="0" fillId="3" borderId="21" xfId="0" applyNumberFormat="1" applyFill="1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2" xfId="0" applyBorder="1" applyAlignment="1">
      <alignment horizontal="right"/>
    </xf>
    <xf numFmtId="15" fontId="0" fillId="0" borderId="21" xfId="0" applyNumberFormat="1" applyBorder="1" applyAlignment="1">
      <alignment horizontal="right"/>
    </xf>
    <xf numFmtId="164" fontId="0" fillId="0" borderId="21" xfId="0" applyNumberFormat="1" applyBorder="1" applyAlignment="1">
      <alignment horizontal="right"/>
    </xf>
    <xf numFmtId="2" fontId="0" fillId="0" borderId="0" xfId="0" applyNumberFormat="1"/>
    <xf numFmtId="3" fontId="0" fillId="0" borderId="6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0" fontId="0" fillId="6" borderId="24" xfId="0" applyFill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6" borderId="25" xfId="0" applyFill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0" borderId="20" xfId="0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22" xfId="0" applyNumberFormat="1" applyBorder="1"/>
    <xf numFmtId="2" fontId="0" fillId="0" borderId="0" xfId="0" applyNumberFormat="1" applyBorder="1"/>
    <xf numFmtId="0" fontId="0" fillId="0" borderId="0" xfId="0" applyBorder="1"/>
    <xf numFmtId="0" fontId="0" fillId="0" borderId="23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2" fontId="0" fillId="0" borderId="5" xfId="0" applyNumberFormat="1" applyBorder="1"/>
    <xf numFmtId="0" fontId="0" fillId="0" borderId="6" xfId="0" applyBorder="1"/>
    <xf numFmtId="165" fontId="0" fillId="0" borderId="13" xfId="0" applyNumberFormat="1" applyBorder="1"/>
    <xf numFmtId="0" fontId="0" fillId="5" borderId="23" xfId="0" applyFill="1" applyBorder="1"/>
    <xf numFmtId="0" fontId="0" fillId="5" borderId="7" xfId="0" applyFill="1" applyBorder="1" applyAlignment="1">
      <alignment horizontal="left"/>
    </xf>
    <xf numFmtId="0" fontId="0" fillId="5" borderId="0" xfId="0" applyFill="1" applyBorder="1"/>
    <xf numFmtId="0" fontId="0" fillId="0" borderId="18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3" fontId="0" fillId="0" borderId="8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23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11" xfId="0" applyBorder="1" applyAlignment="1">
      <alignment horizontal="left"/>
    </xf>
    <xf numFmtId="0" fontId="0" fillId="6" borderId="8" xfId="0" applyFill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3" fontId="0" fillId="4" borderId="13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3" fontId="0" fillId="4" borderId="6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2" fontId="0" fillId="5" borderId="0" xfId="0" applyNumberFormat="1" applyFill="1"/>
    <xf numFmtId="0" fontId="0" fillId="5" borderId="0" xfId="0" applyFill="1" applyAlignment="1">
      <alignment horizontal="left"/>
    </xf>
    <xf numFmtId="0" fontId="0" fillId="0" borderId="23" xfId="0" applyBorder="1" applyAlignment="1">
      <alignment horizontal="center"/>
    </xf>
    <xf numFmtId="0" fontId="0" fillId="0" borderId="0" xfId="0" quotePrefix="1"/>
    <xf numFmtId="3" fontId="0" fillId="0" borderId="0" xfId="0" applyNumberFormat="1"/>
    <xf numFmtId="3" fontId="0" fillId="4" borderId="9" xfId="0" applyNumberFormat="1" applyFill="1" applyBorder="1" applyAlignment="1">
      <alignment horizontal="center"/>
    </xf>
    <xf numFmtId="3" fontId="0" fillId="4" borderId="5" xfId="0" applyNumberFormat="1" applyFill="1" applyBorder="1" applyAlignment="1">
      <alignment horizontal="center"/>
    </xf>
    <xf numFmtId="3" fontId="0" fillId="0" borderId="25" xfId="0" applyNumberFormat="1" applyBorder="1" applyAlignment="1">
      <alignment horizontal="center"/>
    </xf>
    <xf numFmtId="3" fontId="0" fillId="0" borderId="24" xfId="0" applyNumberFormat="1" applyBorder="1" applyAlignment="1">
      <alignment horizontal="center"/>
    </xf>
    <xf numFmtId="0" fontId="0" fillId="0" borderId="25" xfId="0" applyBorder="1"/>
    <xf numFmtId="0" fontId="0" fillId="0" borderId="24" xfId="0" applyBorder="1"/>
    <xf numFmtId="167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14" xfId="0" applyNumberFormat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9" xfId="0" applyBorder="1"/>
    <xf numFmtId="3" fontId="0" fillId="10" borderId="14" xfId="0" applyNumberFormat="1" applyFill="1" applyBorder="1" applyAlignment="1">
      <alignment horizontal="center"/>
    </xf>
    <xf numFmtId="167" fontId="0" fillId="11" borderId="1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4" borderId="6" xfId="0" applyFill="1" applyBorder="1" applyAlignment="1">
      <alignment horizontal="center"/>
    </xf>
    <xf numFmtId="167" fontId="0" fillId="4" borderId="9" xfId="0" applyNumberFormat="1" applyFill="1" applyBorder="1" applyAlignment="1">
      <alignment horizontal="center"/>
    </xf>
    <xf numFmtId="167" fontId="0" fillId="4" borderId="0" xfId="0" applyNumberFormat="1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2" fontId="0" fillId="7" borderId="14" xfId="0" applyNumberFormat="1" applyFill="1" applyBorder="1" applyAlignment="1">
      <alignment horizontal="center"/>
    </xf>
    <xf numFmtId="2" fontId="0" fillId="7" borderId="25" xfId="0" applyNumberFormat="1" applyFill="1" applyBorder="1" applyAlignment="1">
      <alignment horizontal="center"/>
    </xf>
    <xf numFmtId="2" fontId="0" fillId="7" borderId="24" xfId="0" applyNumberFormat="1" applyFill="1" applyBorder="1" applyAlignment="1">
      <alignment horizontal="center"/>
    </xf>
    <xf numFmtId="167" fontId="0" fillId="4" borderId="5" xfId="0" applyNumberFormat="1" applyFill="1" applyBorder="1" applyAlignment="1">
      <alignment horizontal="center"/>
    </xf>
    <xf numFmtId="167" fontId="0" fillId="7" borderId="26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167" fontId="0" fillId="7" borderId="24" xfId="0" applyNumberFormat="1" applyFill="1" applyBorder="1" applyAlignment="1">
      <alignment horizontal="center"/>
    </xf>
    <xf numFmtId="167" fontId="0" fillId="7" borderId="13" xfId="0" applyNumberFormat="1" applyFill="1" applyBorder="1" applyAlignment="1">
      <alignment horizontal="center"/>
    </xf>
    <xf numFmtId="167" fontId="0" fillId="7" borderId="23" xfId="0" applyNumberFormat="1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167" fontId="0" fillId="7" borderId="6" xfId="0" applyNumberFormat="1" applyFill="1" applyBorder="1" applyAlignment="1">
      <alignment horizontal="center"/>
    </xf>
    <xf numFmtId="168" fontId="0" fillId="10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167" fontId="0" fillId="10" borderId="22" xfId="0" applyNumberFormat="1" applyFill="1" applyBorder="1" applyAlignment="1">
      <alignment horizontal="center"/>
    </xf>
    <xf numFmtId="0" fontId="0" fillId="9" borderId="20" xfId="0" applyFill="1" applyBorder="1" applyAlignment="1"/>
    <xf numFmtId="0" fontId="0" fillId="9" borderId="21" xfId="0" applyFill="1" applyBorder="1" applyAlignment="1">
      <alignment horizontal="center"/>
    </xf>
    <xf numFmtId="167" fontId="0" fillId="9" borderId="21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2" fontId="0" fillId="7" borderId="26" xfId="0" applyNumberFormat="1" applyFill="1" applyBorder="1" applyAlignment="1">
      <alignment horizontal="center"/>
    </xf>
    <xf numFmtId="0" fontId="1" fillId="4" borderId="23" xfId="0" applyFont="1" applyFill="1" applyBorder="1" applyAlignment="1">
      <alignment horizontal="left"/>
    </xf>
    <xf numFmtId="0" fontId="1" fillId="4" borderId="6" xfId="0" applyFont="1" applyFill="1" applyBorder="1" applyAlignment="1">
      <alignment horizontal="left"/>
    </xf>
    <xf numFmtId="167" fontId="0" fillId="7" borderId="0" xfId="0" applyNumberFormat="1" applyFill="1" applyBorder="1" applyAlignment="1">
      <alignment horizontal="center"/>
    </xf>
    <xf numFmtId="2" fontId="0" fillId="7" borderId="20" xfId="0" applyNumberFormat="1" applyFill="1" applyBorder="1" applyAlignment="1">
      <alignment horizontal="center"/>
    </xf>
    <xf numFmtId="0" fontId="0" fillId="5" borderId="8" xfId="0" applyFill="1" applyBorder="1"/>
    <xf numFmtId="0" fontId="0" fillId="5" borderId="7" xfId="0" applyFill="1" applyBorder="1"/>
    <xf numFmtId="2" fontId="0" fillId="5" borderId="7" xfId="0" applyNumberFormat="1" applyFill="1" applyBorder="1" applyAlignment="1">
      <alignment horizontal="center"/>
    </xf>
    <xf numFmtId="0" fontId="0" fillId="5" borderId="4" xfId="0" applyFill="1" applyBorder="1"/>
    <xf numFmtId="167" fontId="0" fillId="7" borderId="5" xfId="0" applyNumberFormat="1" applyFill="1" applyBorder="1" applyAlignment="1">
      <alignment horizontal="center"/>
    </xf>
    <xf numFmtId="167" fontId="0" fillId="7" borderId="8" xfId="0" applyNumberFormat="1" applyFill="1" applyBorder="1" applyAlignment="1">
      <alignment horizontal="center"/>
    </xf>
    <xf numFmtId="167" fontId="0" fillId="7" borderId="7" xfId="0" applyNumberFormat="1" applyFill="1" applyBorder="1" applyAlignment="1">
      <alignment horizontal="center"/>
    </xf>
    <xf numFmtId="167" fontId="0" fillId="7" borderId="4" xfId="0" applyNumberFormat="1" applyFill="1" applyBorder="1" applyAlignment="1">
      <alignment horizontal="center"/>
    </xf>
    <xf numFmtId="165" fontId="0" fillId="7" borderId="9" xfId="0" applyNumberFormat="1" applyFill="1" applyBorder="1" applyAlignment="1">
      <alignment horizontal="center"/>
    </xf>
    <xf numFmtId="165" fontId="0" fillId="7" borderId="13" xfId="0" applyNumberFormat="1" applyFill="1" applyBorder="1" applyAlignment="1">
      <alignment horizontal="center"/>
    </xf>
    <xf numFmtId="165" fontId="0" fillId="5" borderId="9" xfId="0" applyNumberFormat="1" applyFill="1" applyBorder="1" applyAlignment="1">
      <alignment horizontal="center"/>
    </xf>
    <xf numFmtId="165" fontId="0" fillId="5" borderId="0" xfId="0" applyNumberFormat="1" applyFill="1" applyBorder="1" applyAlignment="1">
      <alignment horizontal="center"/>
    </xf>
    <xf numFmtId="165" fontId="0" fillId="5" borderId="5" xfId="0" applyNumberFormat="1" applyFill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2" fillId="5" borderId="21" xfId="0" applyFont="1" applyFill="1" applyBorder="1" applyAlignment="1">
      <alignment horizontal="center"/>
    </xf>
    <xf numFmtId="167" fontId="2" fillId="5" borderId="22" xfId="0" applyNumberFormat="1" applyFont="1" applyFill="1" applyBorder="1" applyAlignment="1">
      <alignment horizontal="center"/>
    </xf>
    <xf numFmtId="166" fontId="0" fillId="10" borderId="14" xfId="0" applyNumberFormat="1" applyFill="1" applyBorder="1" applyAlignment="1">
      <alignment horizontal="center"/>
    </xf>
    <xf numFmtId="2" fontId="0" fillId="7" borderId="22" xfId="0" applyNumberFormat="1" applyFill="1" applyBorder="1" applyAlignment="1">
      <alignment horizontal="center"/>
    </xf>
    <xf numFmtId="2" fontId="0" fillId="7" borderId="21" xfId="0" applyNumberFormat="1" applyFill="1" applyBorder="1" applyAlignment="1">
      <alignment horizontal="center"/>
    </xf>
    <xf numFmtId="169" fontId="0" fillId="7" borderId="8" xfId="0" applyNumberFormat="1" applyFill="1" applyBorder="1" applyAlignment="1">
      <alignment horizontal="center"/>
    </xf>
    <xf numFmtId="169" fontId="0" fillId="7" borderId="9" xfId="0" applyNumberFormat="1" applyFill="1" applyBorder="1" applyAlignment="1">
      <alignment horizontal="center"/>
    </xf>
    <xf numFmtId="169" fontId="0" fillId="7" borderId="13" xfId="0" applyNumberFormat="1" applyFill="1" applyBorder="1" applyAlignment="1">
      <alignment horizontal="center"/>
    </xf>
    <xf numFmtId="169" fontId="0" fillId="7" borderId="7" xfId="0" applyNumberFormat="1" applyFill="1" applyBorder="1" applyAlignment="1">
      <alignment horizontal="center"/>
    </xf>
    <xf numFmtId="169" fontId="0" fillId="7" borderId="0" xfId="0" applyNumberFormat="1" applyFill="1" applyBorder="1" applyAlignment="1">
      <alignment horizontal="center"/>
    </xf>
    <xf numFmtId="169" fontId="0" fillId="7" borderId="23" xfId="0" applyNumberFormat="1" applyFill="1" applyBorder="1" applyAlignment="1">
      <alignment horizontal="center"/>
    </xf>
    <xf numFmtId="169" fontId="0" fillId="7" borderId="4" xfId="0" applyNumberFormat="1" applyFill="1" applyBorder="1" applyAlignment="1">
      <alignment horizontal="center"/>
    </xf>
    <xf numFmtId="169" fontId="0" fillId="7" borderId="5" xfId="0" applyNumberFormat="1" applyFill="1" applyBorder="1" applyAlignment="1">
      <alignment horizontal="center"/>
    </xf>
    <xf numFmtId="169" fontId="0" fillId="7" borderId="6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9" borderId="21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5" fontId="2" fillId="7" borderId="14" xfId="0" applyNumberFormat="1" applyFont="1" applyFill="1" applyBorder="1" applyAlignment="1">
      <alignment horizontal="center"/>
    </xf>
    <xf numFmtId="0" fontId="0" fillId="7" borderId="9" xfId="0" quotePrefix="1" applyFill="1" applyBorder="1" applyAlignment="1">
      <alignment horizontal="center"/>
    </xf>
    <xf numFmtId="0" fontId="0" fillId="7" borderId="5" xfId="0" quotePrefix="1" applyFill="1" applyBorder="1" applyAlignment="1">
      <alignment horizontal="center"/>
    </xf>
    <xf numFmtId="165" fontId="0" fillId="7" borderId="13" xfId="0" applyNumberFormat="1" applyFill="1" applyBorder="1"/>
    <xf numFmtId="165" fontId="0" fillId="7" borderId="6" xfId="0" applyNumberFormat="1" applyFill="1" applyBorder="1"/>
    <xf numFmtId="165" fontId="0" fillId="7" borderId="25" xfId="0" applyNumberFormat="1" applyFill="1" applyBorder="1" applyAlignment="1">
      <alignment horizontal="center"/>
    </xf>
    <xf numFmtId="165" fontId="0" fillId="7" borderId="24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5" fontId="0" fillId="7" borderId="26" xfId="0" applyNumberFormat="1" applyFill="1" applyBorder="1" applyAlignment="1">
      <alignment horizontal="center"/>
    </xf>
    <xf numFmtId="3" fontId="0" fillId="7" borderId="26" xfId="0" applyNumberFormat="1" applyFill="1" applyBorder="1" applyAlignment="1">
      <alignment horizontal="center"/>
    </xf>
    <xf numFmtId="3" fontId="0" fillId="7" borderId="25" xfId="0" applyNumberFormat="1" applyFill="1" applyBorder="1" applyAlignment="1">
      <alignment horizontal="center"/>
    </xf>
    <xf numFmtId="3" fontId="0" fillId="7" borderId="24" xfId="0" applyNumberFormat="1" applyFill="1" applyBorder="1" applyAlignment="1">
      <alignment horizontal="center"/>
    </xf>
    <xf numFmtId="3" fontId="0" fillId="5" borderId="24" xfId="0" applyNumberFormat="1" applyFill="1" applyBorder="1" applyAlignment="1">
      <alignment horizontal="center"/>
    </xf>
    <xf numFmtId="165" fontId="0" fillId="6" borderId="25" xfId="0" applyNumberFormat="1" applyFill="1" applyBorder="1" applyAlignment="1">
      <alignment horizontal="center"/>
    </xf>
    <xf numFmtId="165" fontId="0" fillId="6" borderId="24" xfId="0" applyNumberFormat="1" applyFill="1" applyBorder="1" applyAlignment="1">
      <alignment horizontal="center"/>
    </xf>
    <xf numFmtId="0" fontId="0" fillId="5" borderId="20" xfId="0" applyFill="1" applyBorder="1" applyAlignment="1"/>
    <xf numFmtId="0" fontId="0" fillId="5" borderId="21" xfId="0" applyFill="1" applyBorder="1" applyAlignment="1"/>
    <xf numFmtId="0" fontId="0" fillId="5" borderId="22" xfId="0" applyFill="1" applyBorder="1" applyAlignment="1"/>
    <xf numFmtId="0" fontId="0" fillId="10" borderId="20" xfId="0" applyFill="1" applyBorder="1" applyAlignment="1">
      <alignment horizontal="left"/>
    </xf>
    <xf numFmtId="3" fontId="0" fillId="5" borderId="26" xfId="0" applyNumberFormat="1" applyFill="1" applyBorder="1" applyAlignment="1">
      <alignment horizontal="center"/>
    </xf>
    <xf numFmtId="3" fontId="0" fillId="10" borderId="13" xfId="0" applyNumberFormat="1" applyFill="1" applyBorder="1" applyAlignment="1">
      <alignment horizontal="center"/>
    </xf>
    <xf numFmtId="3" fontId="0" fillId="0" borderId="22" xfId="0" applyNumberFormat="1" applyFill="1" applyBorder="1" applyAlignment="1">
      <alignment horizontal="center"/>
    </xf>
    <xf numFmtId="165" fontId="0" fillId="7" borderId="8" xfId="0" applyNumberFormat="1" applyFill="1" applyBorder="1" applyAlignment="1">
      <alignment horizontal="center"/>
    </xf>
    <xf numFmtId="165" fontId="0" fillId="7" borderId="7" xfId="0" applyNumberFormat="1" applyFill="1" applyBorder="1" applyAlignment="1">
      <alignment horizontal="center"/>
    </xf>
    <xf numFmtId="165" fontId="2" fillId="6" borderId="8" xfId="0" applyNumberFormat="1" applyFont="1" applyFill="1" applyBorder="1" applyAlignment="1">
      <alignment horizontal="center"/>
    </xf>
    <xf numFmtId="165" fontId="0" fillId="6" borderId="4" xfId="0" applyNumberFormat="1" applyFill="1" applyBorder="1" applyAlignment="1">
      <alignment horizontal="center"/>
    </xf>
    <xf numFmtId="165" fontId="0" fillId="7" borderId="4" xfId="0" applyNumberFormat="1" applyFill="1" applyBorder="1" applyAlignment="1">
      <alignment horizontal="center"/>
    </xf>
    <xf numFmtId="3" fontId="0" fillId="7" borderId="23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7" fontId="0" fillId="11" borderId="4" xfId="0" applyNumberFormat="1" applyFill="1" applyBorder="1" applyAlignment="1">
      <alignment horizontal="center"/>
    </xf>
    <xf numFmtId="165" fontId="0" fillId="9" borderId="21" xfId="0" applyNumberFormat="1" applyFill="1" applyBorder="1" applyAlignment="1">
      <alignment horizontal="center"/>
    </xf>
    <xf numFmtId="0" fontId="1" fillId="4" borderId="13" xfId="0" applyFont="1" applyFill="1" applyBorder="1" applyAlignment="1">
      <alignment horizontal="left"/>
    </xf>
    <xf numFmtId="2" fontId="0" fillId="7" borderId="8" xfId="0" applyNumberFormat="1" applyFill="1" applyBorder="1" applyAlignment="1">
      <alignment horizontal="center"/>
    </xf>
    <xf numFmtId="2" fontId="0" fillId="7" borderId="7" xfId="0" applyNumberFormat="1" applyFill="1" applyBorder="1" applyAlignment="1">
      <alignment horizontal="center"/>
    </xf>
    <xf numFmtId="2" fontId="0" fillId="7" borderId="4" xfId="0" applyNumberFormat="1" applyFill="1" applyBorder="1" applyAlignment="1">
      <alignment horizontal="center"/>
    </xf>
    <xf numFmtId="3" fontId="0" fillId="5" borderId="6" xfId="0" applyNumberFormat="1" applyFill="1" applyBorder="1" applyAlignment="1">
      <alignment horizontal="center"/>
    </xf>
    <xf numFmtId="165" fontId="2" fillId="6" borderId="14" xfId="0" applyNumberFormat="1" applyFont="1" applyFill="1" applyBorder="1" applyAlignment="1">
      <alignment horizontal="center"/>
    </xf>
    <xf numFmtId="165" fontId="2" fillId="6" borderId="20" xfId="0" applyNumberFormat="1" applyFont="1" applyFill="1" applyBorder="1" applyAlignment="1">
      <alignment horizontal="center"/>
    </xf>
    <xf numFmtId="165" fontId="0" fillId="6" borderId="7" xfId="0" applyNumberFormat="1" applyFill="1" applyBorder="1" applyAlignment="1">
      <alignment horizontal="center"/>
    </xf>
    <xf numFmtId="4" fontId="0" fillId="10" borderId="13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168" fontId="4" fillId="7" borderId="21" xfId="0" applyNumberFormat="1" applyFont="1" applyFill="1" applyBorder="1" applyAlignment="1">
      <alignment horizontal="center"/>
    </xf>
    <xf numFmtId="168" fontId="5" fillId="6" borderId="20" xfId="0" applyNumberFormat="1" applyFont="1" applyFill="1" applyBorder="1" applyAlignment="1">
      <alignment horizontal="center"/>
    </xf>
    <xf numFmtId="168" fontId="4" fillId="6" borderId="22" xfId="0" applyNumberFormat="1" applyFont="1" applyFill="1" applyBorder="1" applyAlignment="1">
      <alignment horizontal="center"/>
    </xf>
    <xf numFmtId="168" fontId="4" fillId="7" borderId="22" xfId="0" applyNumberFormat="1" applyFont="1" applyFill="1" applyBorder="1" applyAlignment="1">
      <alignment horizontal="center"/>
    </xf>
    <xf numFmtId="1" fontId="0" fillId="7" borderId="25" xfId="0" applyNumberFormat="1" applyFill="1" applyBorder="1" applyAlignment="1">
      <alignment horizontal="center"/>
    </xf>
    <xf numFmtId="1" fontId="0" fillId="7" borderId="24" xfId="0" applyNumberFormat="1" applyFill="1" applyBorder="1" applyAlignment="1">
      <alignment horizontal="center"/>
    </xf>
    <xf numFmtId="2" fontId="0" fillId="7" borderId="13" xfId="0" applyNumberFormat="1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0" fillId="9" borderId="21" xfId="0" applyFill="1" applyBorder="1" applyAlignment="1"/>
    <xf numFmtId="0" fontId="0" fillId="9" borderId="22" xfId="0" applyFill="1" applyBorder="1" applyAlignment="1"/>
    <xf numFmtId="167" fontId="0" fillId="7" borderId="9" xfId="0" applyNumberFormat="1" applyFill="1" applyBorder="1" applyAlignment="1">
      <alignment horizontal="center"/>
    </xf>
    <xf numFmtId="167" fontId="0" fillId="11" borderId="20" xfId="0" applyNumberForma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quotePrefix="1" applyFill="1" applyAlignment="1">
      <alignment horizontal="center"/>
    </xf>
    <xf numFmtId="0" fontId="4" fillId="0" borderId="0" xfId="0" quotePrefix="1" applyFont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2" xfId="0" quotePrefix="1" applyFont="1" applyBorder="1" applyAlignment="1">
      <alignment horizontal="center"/>
    </xf>
    <xf numFmtId="0" fontId="4" fillId="0" borderId="20" xfId="0" quotePrefix="1" applyFont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7" fontId="0" fillId="11" borderId="22" xfId="0" applyNumberFormat="1" applyFill="1" applyBorder="1" applyAlignment="1">
      <alignment horizontal="center"/>
    </xf>
    <xf numFmtId="3" fontId="0" fillId="10" borderId="26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3" fontId="0" fillId="10" borderId="9" xfId="0" applyNumberFormat="1" applyFill="1" applyBorder="1" applyAlignment="1">
      <alignment horizontal="center"/>
    </xf>
    <xf numFmtId="1" fontId="0" fillId="7" borderId="5" xfId="0" applyNumberFormat="1" applyFill="1" applyBorder="1" applyAlignment="1">
      <alignment horizontal="center"/>
    </xf>
    <xf numFmtId="165" fontId="0" fillId="4" borderId="13" xfId="0" applyNumberFormat="1" applyFill="1" applyBorder="1" applyAlignment="1">
      <alignment horizontal="center"/>
    </xf>
    <xf numFmtId="165" fontId="0" fillId="4" borderId="23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2" fillId="6" borderId="22" xfId="0" applyNumberFormat="1" applyFont="1" applyFill="1" applyBorder="1" applyAlignment="1">
      <alignment horizontal="center"/>
    </xf>
    <xf numFmtId="165" fontId="0" fillId="6" borderId="23" xfId="0" applyNumberFormat="1" applyFill="1" applyBorder="1" applyAlignment="1">
      <alignment horizontal="center"/>
    </xf>
    <xf numFmtId="165" fontId="0" fillId="6" borderId="6" xfId="0" applyNumberForma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4" fontId="0" fillId="7" borderId="26" xfId="0" applyNumberFormat="1" applyFill="1" applyBorder="1" applyAlignment="1">
      <alignment horizontal="center"/>
    </xf>
    <xf numFmtId="4" fontId="0" fillId="7" borderId="25" xfId="0" applyNumberFormat="1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2" fontId="0" fillId="10" borderId="6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3" fillId="7" borderId="8" xfId="0" applyNumberFormat="1" applyFont="1" applyFill="1" applyBorder="1" applyAlignment="1">
      <alignment horizontal="center"/>
    </xf>
    <xf numFmtId="4" fontId="3" fillId="7" borderId="9" xfId="0" applyNumberFormat="1" applyFont="1" applyFill="1" applyBorder="1" applyAlignment="1">
      <alignment horizontal="center"/>
    </xf>
    <xf numFmtId="4" fontId="3" fillId="7" borderId="13" xfId="0" applyNumberFormat="1" applyFont="1" applyFill="1" applyBorder="1" applyAlignment="1">
      <alignment horizontal="center"/>
    </xf>
    <xf numFmtId="4" fontId="3" fillId="7" borderId="7" xfId="0" applyNumberFormat="1" applyFont="1" applyFill="1" applyBorder="1" applyAlignment="1">
      <alignment horizontal="center"/>
    </xf>
    <xf numFmtId="4" fontId="3" fillId="7" borderId="0" xfId="0" applyNumberFormat="1" applyFont="1" applyFill="1" applyBorder="1" applyAlignment="1">
      <alignment horizontal="center"/>
    </xf>
    <xf numFmtId="4" fontId="3" fillId="7" borderId="23" xfId="0" applyNumberFormat="1" applyFont="1" applyFill="1" applyBorder="1" applyAlignment="1">
      <alignment horizontal="center"/>
    </xf>
    <xf numFmtId="4" fontId="3" fillId="5" borderId="14" xfId="0" applyNumberFormat="1" applyFont="1" applyFill="1" applyBorder="1" applyAlignment="1">
      <alignment horizontal="center"/>
    </xf>
    <xf numFmtId="4" fontId="3" fillId="5" borderId="13" xfId="0" applyNumberFormat="1" applyFont="1" applyFill="1" applyBorder="1" applyAlignment="1">
      <alignment horizontal="center"/>
    </xf>
    <xf numFmtId="4" fontId="3" fillId="5" borderId="4" xfId="0" applyNumberFormat="1" applyFont="1" applyFill="1" applyBorder="1" applyAlignment="1">
      <alignment horizontal="center"/>
    </xf>
    <xf numFmtId="4" fontId="3" fillId="5" borderId="6" xfId="0" applyNumberFormat="1" applyFont="1" applyFill="1" applyBorder="1" applyAlignment="1">
      <alignment horizontal="center"/>
    </xf>
    <xf numFmtId="4" fontId="3" fillId="7" borderId="4" xfId="0" applyNumberFormat="1" applyFont="1" applyFill="1" applyBorder="1" applyAlignment="1">
      <alignment horizontal="center"/>
    </xf>
    <xf numFmtId="4" fontId="3" fillId="7" borderId="5" xfId="0" applyNumberFormat="1" applyFont="1" applyFill="1" applyBorder="1" applyAlignment="1">
      <alignment horizontal="center"/>
    </xf>
    <xf numFmtId="4" fontId="3" fillId="7" borderId="6" xfId="0" applyNumberFormat="1" applyFont="1" applyFill="1" applyBorder="1" applyAlignment="1">
      <alignment horizontal="center"/>
    </xf>
    <xf numFmtId="2" fontId="0" fillId="10" borderId="14" xfId="0" applyNumberFormat="1" applyFill="1" applyBorder="1" applyAlignment="1">
      <alignment horizontal="center"/>
    </xf>
    <xf numFmtId="168" fontId="0" fillId="7" borderId="13" xfId="0" applyNumberFormat="1" applyFill="1" applyBorder="1" applyAlignment="1">
      <alignment horizontal="center"/>
    </xf>
    <xf numFmtId="168" fontId="0" fillId="7" borderId="23" xfId="0" applyNumberFormat="1" applyFill="1" applyBorder="1" applyAlignment="1">
      <alignment horizontal="center"/>
    </xf>
    <xf numFmtId="168" fontId="0" fillId="7" borderId="6" xfId="0" applyNumberFormat="1" applyFill="1" applyBorder="1" applyAlignment="1">
      <alignment horizontal="center"/>
    </xf>
    <xf numFmtId="168" fontId="0" fillId="7" borderId="25" xfId="0" applyNumberFormat="1" applyFill="1" applyBorder="1" applyAlignment="1">
      <alignment horizontal="center"/>
    </xf>
    <xf numFmtId="168" fontId="0" fillId="7" borderId="24" xfId="0" applyNumberForma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4" fontId="0" fillId="5" borderId="22" xfId="0" applyNumberFormat="1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167" fontId="0" fillId="10" borderId="14" xfId="0" applyNumberForma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5" fontId="0" fillId="0" borderId="23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8" fontId="3" fillId="7" borderId="0" xfId="0" applyNumberFormat="1" applyFont="1" applyFill="1" applyBorder="1" applyAlignment="1">
      <alignment horizontal="center"/>
    </xf>
    <xf numFmtId="169" fontId="0" fillId="0" borderId="0" xfId="0" applyNumberFormat="1"/>
    <xf numFmtId="168" fontId="3" fillId="7" borderId="8" xfId="0" applyNumberFormat="1" applyFont="1" applyFill="1" applyBorder="1" applyAlignment="1">
      <alignment horizontal="center"/>
    </xf>
    <xf numFmtId="168" fontId="3" fillId="7" borderId="13" xfId="0" applyNumberFormat="1" applyFont="1" applyFill="1" applyBorder="1" applyAlignment="1">
      <alignment horizontal="center"/>
    </xf>
    <xf numFmtId="168" fontId="3" fillId="7" borderId="4" xfId="0" applyNumberFormat="1" applyFont="1" applyFill="1" applyBorder="1" applyAlignment="1">
      <alignment horizontal="center"/>
    </xf>
    <xf numFmtId="168" fontId="3" fillId="7" borderId="6" xfId="0" applyNumberFormat="1" applyFont="1" applyFill="1" applyBorder="1" applyAlignment="1">
      <alignment horizontal="center"/>
    </xf>
    <xf numFmtId="165" fontId="2" fillId="7" borderId="8" xfId="0" applyNumberFormat="1" applyFont="1" applyFill="1" applyBorder="1" applyAlignment="1">
      <alignment horizontal="center"/>
    </xf>
    <xf numFmtId="165" fontId="2" fillId="7" borderId="13" xfId="0" applyNumberFormat="1" applyFont="1" applyFill="1" applyBorder="1" applyAlignment="1">
      <alignment horizontal="center"/>
    </xf>
    <xf numFmtId="165" fontId="2" fillId="5" borderId="8" xfId="0" applyNumberFormat="1" applyFont="1" applyFill="1" applyBorder="1" applyAlignment="1">
      <alignment horizontal="center"/>
    </xf>
    <xf numFmtId="165" fontId="2" fillId="5" borderId="4" xfId="0" applyNumberFormat="1" applyFont="1" applyFill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0" fontId="0" fillId="0" borderId="13" xfId="0" applyBorder="1"/>
    <xf numFmtId="1" fontId="0" fillId="0" borderId="8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7" xfId="0" applyNumberFormat="1" applyFill="1" applyBorder="1" applyAlignment="1">
      <alignment horizontal="center"/>
    </xf>
    <xf numFmtId="1" fontId="0" fillId="0" borderId="4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7" fontId="0" fillId="6" borderId="6" xfId="0" applyNumberFormat="1" applyFill="1" applyBorder="1" applyAlignment="1">
      <alignment horizontal="center"/>
    </xf>
    <xf numFmtId="167" fontId="0" fillId="6" borderId="21" xfId="0" applyNumberFormat="1" applyFill="1" applyBorder="1" applyAlignment="1">
      <alignment horizontal="center"/>
    </xf>
    <xf numFmtId="167" fontId="0" fillId="6" borderId="22" xfId="0" applyNumberFormat="1" applyFill="1" applyBorder="1" applyAlignment="1">
      <alignment horizontal="center"/>
    </xf>
    <xf numFmtId="167" fontId="0" fillId="4" borderId="23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2" fontId="1" fillId="7" borderId="26" xfId="0" quotePrefix="1" applyNumberFormat="1" applyFont="1" applyFill="1" applyBorder="1" applyAlignment="1">
      <alignment horizontal="center"/>
    </xf>
    <xf numFmtId="167" fontId="7" fillId="0" borderId="8" xfId="0" applyNumberFormat="1" applyFont="1" applyBorder="1" applyAlignment="1">
      <alignment horizontal="center"/>
    </xf>
    <xf numFmtId="167" fontId="3" fillId="7" borderId="26" xfId="0" applyNumberFormat="1" applyFont="1" applyFill="1" applyBorder="1" applyAlignment="1">
      <alignment horizontal="center"/>
    </xf>
    <xf numFmtId="167" fontId="7" fillId="0" borderId="7" xfId="0" applyNumberFormat="1" applyFont="1" applyBorder="1" applyAlignment="1">
      <alignment horizontal="center"/>
    </xf>
    <xf numFmtId="167" fontId="3" fillId="7" borderId="25" xfId="0" applyNumberFormat="1" applyFont="1" applyFill="1" applyBorder="1" applyAlignment="1">
      <alignment horizontal="center"/>
    </xf>
    <xf numFmtId="167" fontId="3" fillId="0" borderId="7" xfId="0" applyNumberFormat="1" applyFont="1" applyBorder="1" applyAlignment="1">
      <alignment horizontal="center"/>
    </xf>
    <xf numFmtId="167" fontId="7" fillId="7" borderId="25" xfId="0" applyNumberFormat="1" applyFont="1" applyFill="1" applyBorder="1" applyAlignment="1">
      <alignment horizontal="center"/>
    </xf>
    <xf numFmtId="167" fontId="3" fillId="0" borderId="4" xfId="0" applyNumberFormat="1" applyFont="1" applyBorder="1" applyAlignment="1">
      <alignment horizontal="center"/>
    </xf>
    <xf numFmtId="167" fontId="7" fillId="7" borderId="24" xfId="0" applyNumberFormat="1" applyFont="1" applyFill="1" applyBorder="1" applyAlignment="1">
      <alignment horizontal="center"/>
    </xf>
    <xf numFmtId="0" fontId="6" fillId="5" borderId="20" xfId="0" applyFont="1" applyFill="1" applyBorder="1" applyAlignment="1">
      <alignment horizontal="center"/>
    </xf>
    <xf numFmtId="0" fontId="6" fillId="5" borderId="21" xfId="0" applyFont="1" applyFill="1" applyBorder="1" applyAlignment="1">
      <alignment horizontal="center"/>
    </xf>
    <xf numFmtId="167" fontId="6" fillId="5" borderId="21" xfId="0" applyNumberFormat="1" applyFont="1" applyFill="1" applyBorder="1" applyAlignment="1">
      <alignment horizontal="center"/>
    </xf>
    <xf numFmtId="167" fontId="6" fillId="5" borderId="22" xfId="0" applyNumberFormat="1" applyFont="1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167" fontId="7" fillId="0" borderId="9" xfId="0" applyNumberFormat="1" applyFont="1" applyBorder="1" applyAlignment="1">
      <alignment horizontal="center"/>
    </xf>
    <xf numFmtId="167" fontId="7" fillId="0" borderId="0" xfId="0" applyNumberFormat="1" applyFont="1" applyBorder="1" applyAlignment="1">
      <alignment horizontal="center"/>
    </xf>
    <xf numFmtId="167" fontId="3" fillId="0" borderId="0" xfId="0" applyNumberFormat="1" applyFont="1" applyBorder="1" applyAlignment="1">
      <alignment horizontal="center"/>
    </xf>
    <xf numFmtId="167" fontId="3" fillId="0" borderId="5" xfId="0" applyNumberFormat="1" applyFont="1" applyBorder="1" applyAlignment="1">
      <alignment horizontal="center"/>
    </xf>
    <xf numFmtId="167" fontId="6" fillId="5" borderId="6" xfId="0" applyNumberFormat="1" applyFont="1" applyFill="1" applyBorder="1" applyAlignment="1">
      <alignment horizontal="center"/>
    </xf>
    <xf numFmtId="165" fontId="0" fillId="0" borderId="0" xfId="0" applyNumberFormat="1"/>
    <xf numFmtId="167" fontId="6" fillId="5" borderId="14" xfId="0" applyNumberFormat="1" applyFont="1" applyFill="1" applyBorder="1" applyAlignment="1">
      <alignment horizontal="center"/>
    </xf>
    <xf numFmtId="2" fontId="1" fillId="7" borderId="8" xfId="0" quotePrefix="1" applyNumberFormat="1" applyFont="1" applyFill="1" applyBorder="1" applyAlignment="1">
      <alignment horizontal="center"/>
    </xf>
    <xf numFmtId="2" fontId="0" fillId="7" borderId="9" xfId="0" applyNumberFormat="1" applyFill="1" applyBorder="1" applyAlignment="1">
      <alignment horizontal="center"/>
    </xf>
    <xf numFmtId="167" fontId="6" fillId="6" borderId="14" xfId="0" applyNumberFormat="1" applyFont="1" applyFill="1" applyBorder="1" applyAlignment="1">
      <alignment horizontal="center"/>
    </xf>
    <xf numFmtId="167" fontId="6" fillId="6" borderId="21" xfId="0" applyNumberFormat="1" applyFont="1" applyFill="1" applyBorder="1" applyAlignment="1">
      <alignment horizontal="center"/>
    </xf>
    <xf numFmtId="167" fontId="0" fillId="6" borderId="14" xfId="0" applyNumberFormat="1" applyFill="1" applyBorder="1" applyAlignment="1">
      <alignment horizontal="center"/>
    </xf>
    <xf numFmtId="3" fontId="0" fillId="4" borderId="14" xfId="0" applyNumberFormat="1" applyFill="1" applyBorder="1" applyAlignment="1">
      <alignment horizontal="center"/>
    </xf>
    <xf numFmtId="3" fontId="0" fillId="4" borderId="12" xfId="0" applyNumberFormat="1" applyFill="1" applyBorder="1" applyAlignment="1">
      <alignment horizontal="center"/>
    </xf>
    <xf numFmtId="0" fontId="0" fillId="0" borderId="7" xfId="0" applyBorder="1" applyAlignment="1">
      <alignment horizontal="right"/>
    </xf>
    <xf numFmtId="3" fontId="0" fillId="0" borderId="0" xfId="0" applyNumberFormat="1" applyBorder="1" applyAlignment="1">
      <alignment horizontal="right"/>
    </xf>
    <xf numFmtId="3" fontId="0" fillId="0" borderId="5" xfId="0" applyNumberFormat="1" applyBorder="1" applyAlignment="1">
      <alignment horizontal="right"/>
    </xf>
    <xf numFmtId="0" fontId="0" fillId="5" borderId="25" xfId="0" applyFill="1" applyBorder="1"/>
    <xf numFmtId="0" fontId="0" fillId="5" borderId="20" xfId="0" applyFill="1" applyBorder="1" applyAlignment="1">
      <alignment horizontal="right"/>
    </xf>
    <xf numFmtId="0" fontId="0" fillId="5" borderId="21" xfId="0" applyFill="1" applyBorder="1" applyAlignment="1">
      <alignment horizontal="right"/>
    </xf>
    <xf numFmtId="15" fontId="0" fillId="5" borderId="21" xfId="0" applyNumberFormat="1" applyFill="1" applyBorder="1" applyAlignment="1">
      <alignment horizontal="right"/>
    </xf>
    <xf numFmtId="0" fontId="0" fillId="5" borderId="22" xfId="0" applyFill="1" applyBorder="1" applyAlignment="1">
      <alignment horizontal="right"/>
    </xf>
    <xf numFmtId="164" fontId="0" fillId="2" borderId="11" xfId="0" applyNumberFormat="1" applyFill="1" applyBorder="1" applyAlignment="1">
      <alignment horizontal="center"/>
    </xf>
    <xf numFmtId="164" fontId="0" fillId="5" borderId="21" xfId="0" applyNumberFormat="1" applyFill="1" applyBorder="1" applyAlignment="1">
      <alignment horizontal="right"/>
    </xf>
    <xf numFmtId="0" fontId="0" fillId="3" borderId="28" xfId="0" applyFill="1" applyBorder="1" applyAlignment="1">
      <alignment horizontal="right"/>
    </xf>
    <xf numFmtId="0" fontId="0" fillId="3" borderId="29" xfId="0" applyFill="1" applyBorder="1" applyAlignment="1">
      <alignment horizontal="right"/>
    </xf>
    <xf numFmtId="0" fontId="0" fillId="3" borderId="30" xfId="0" applyFill="1" applyBorder="1" applyAlignment="1">
      <alignment horizontal="right"/>
    </xf>
    <xf numFmtId="15" fontId="0" fillId="3" borderId="29" xfId="0" applyNumberFormat="1" applyFill="1" applyBorder="1" applyAlignment="1">
      <alignment horizontal="right"/>
    </xf>
    <xf numFmtId="164" fontId="0" fillId="3" borderId="29" xfId="0" applyNumberFormat="1" applyFill="1" applyBorder="1" applyAlignment="1">
      <alignment horizontal="right"/>
    </xf>
    <xf numFmtId="3" fontId="0" fillId="0" borderId="21" xfId="0" applyNumberFormat="1" applyBorder="1" applyAlignment="1">
      <alignment horizontal="right"/>
    </xf>
    <xf numFmtId="3" fontId="0" fillId="3" borderId="21" xfId="0" applyNumberFormat="1" applyFill="1" applyBorder="1" applyAlignment="1">
      <alignment horizontal="right"/>
    </xf>
    <xf numFmtId="3" fontId="0" fillId="3" borderId="29" xfId="0" applyNumberFormat="1" applyFill="1" applyBorder="1" applyAlignment="1">
      <alignment horizontal="right"/>
    </xf>
    <xf numFmtId="3" fontId="0" fillId="0" borderId="2" xfId="0" applyNumberFormat="1" applyFill="1" applyBorder="1" applyAlignment="1">
      <alignment horizontal="right"/>
    </xf>
    <xf numFmtId="3" fontId="0" fillId="0" borderId="11" xfId="0" applyNumberFormat="1" applyBorder="1" applyAlignment="1">
      <alignment horizontal="right"/>
    </xf>
    <xf numFmtId="3" fontId="0" fillId="0" borderId="16" xfId="0" applyNumberFormat="1" applyBorder="1" applyAlignment="1">
      <alignment horizontal="right"/>
    </xf>
    <xf numFmtId="3" fontId="0" fillId="3" borderId="16" xfId="0" applyNumberFormat="1" applyFill="1" applyBorder="1" applyAlignment="1">
      <alignment horizontal="right"/>
    </xf>
    <xf numFmtId="3" fontId="0" fillId="4" borderId="0" xfId="0" applyNumberFormat="1" applyFill="1" applyBorder="1" applyAlignment="1">
      <alignment horizontal="center"/>
    </xf>
    <xf numFmtId="0" fontId="0" fillId="0" borderId="28" xfId="0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30" xfId="0" applyBorder="1" applyAlignment="1">
      <alignment horizontal="right"/>
    </xf>
    <xf numFmtId="15" fontId="0" fillId="0" borderId="29" xfId="0" applyNumberFormat="1" applyBorder="1" applyAlignment="1">
      <alignment horizontal="right"/>
    </xf>
    <xf numFmtId="164" fontId="0" fillId="0" borderId="29" xfId="0" applyNumberFormat="1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13" xfId="0" quotePrefix="1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67" fontId="0" fillId="5" borderId="20" xfId="0" applyNumberFormat="1" applyFill="1" applyBorder="1" applyAlignment="1">
      <alignment horizontal="center"/>
    </xf>
    <xf numFmtId="167" fontId="0" fillId="5" borderId="21" xfId="0" applyNumberFormat="1" applyFill="1" applyBorder="1" applyAlignment="1">
      <alignment horizontal="center"/>
    </xf>
    <xf numFmtId="167" fontId="0" fillId="5" borderId="22" xfId="0" applyNumberFormat="1" applyFill="1" applyBorder="1" applyAlignment="1">
      <alignment horizontal="center"/>
    </xf>
    <xf numFmtId="167" fontId="0" fillId="5" borderId="21" xfId="0" applyNumberFormat="1" applyFill="1" applyBorder="1" applyAlignment="1">
      <alignment horizontal="left"/>
    </xf>
    <xf numFmtId="167" fontId="0" fillId="5" borderId="22" xfId="0" applyNumberFormat="1" applyFill="1" applyBorder="1" applyAlignment="1">
      <alignment horizontal="left"/>
    </xf>
    <xf numFmtId="0" fontId="0" fillId="5" borderId="20" xfId="0" applyFill="1" applyBorder="1" applyAlignment="1">
      <alignment horizontal="left"/>
    </xf>
    <xf numFmtId="0" fontId="0" fillId="5" borderId="21" xfId="0" applyFill="1" applyBorder="1" applyAlignment="1">
      <alignment horizontal="left"/>
    </xf>
    <xf numFmtId="0" fontId="0" fillId="5" borderId="22" xfId="0" applyFill="1" applyBorder="1" applyAlignment="1">
      <alignment horizontal="left"/>
    </xf>
    <xf numFmtId="0" fontId="0" fillId="12" borderId="20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2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9" borderId="21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7" borderId="4" xfId="0" applyFill="1" applyBorder="1" applyAlignment="1">
      <alignment horizontal="left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23" xfId="0" applyFill="1" applyBorder="1" applyAlignment="1">
      <alignment horizontal="left"/>
    </xf>
    <xf numFmtId="167" fontId="0" fillId="6" borderId="20" xfId="0" applyNumberFormat="1" applyFill="1" applyBorder="1" applyAlignment="1">
      <alignment horizontal="center"/>
    </xf>
    <xf numFmtId="167" fontId="0" fillId="6" borderId="21" xfId="0" applyNumberFormat="1" applyFill="1" applyBorder="1" applyAlignment="1">
      <alignment horizontal="center"/>
    </xf>
    <xf numFmtId="167" fontId="0" fillId="6" borderId="22" xfId="0" applyNumberFormat="1" applyFill="1" applyBorder="1" applyAlignment="1">
      <alignment horizontal="center"/>
    </xf>
    <xf numFmtId="167" fontId="0" fillId="5" borderId="9" xfId="0" applyNumberFormat="1" applyFill="1" applyBorder="1" applyAlignment="1">
      <alignment horizontal="left"/>
    </xf>
    <xf numFmtId="167" fontId="0" fillId="5" borderId="13" xfId="0" applyNumberFormat="1" applyFill="1" applyBorder="1" applyAlignment="1">
      <alignment horizontal="left"/>
    </xf>
    <xf numFmtId="0" fontId="0" fillId="12" borderId="9" xfId="0" applyFill="1" applyBorder="1" applyAlignment="1">
      <alignment horizontal="center"/>
    </xf>
    <xf numFmtId="3" fontId="0" fillId="0" borderId="31" xfId="0" applyNumberFormat="1" applyBorder="1" applyAlignment="1">
      <alignment horizontal="right"/>
    </xf>
    <xf numFmtId="16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left"/>
    </xf>
    <xf numFmtId="0" fontId="0" fillId="0" borderId="32" xfId="0" applyBorder="1" applyAlignment="1">
      <alignment horizontal="center" vertical="center"/>
    </xf>
    <xf numFmtId="0" fontId="0" fillId="5" borderId="33" xfId="0" applyFill="1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7039296144319985E-2"/>
                  <c:y val="7.298494603305248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hs17R!$G$5:$G$19</c:f>
              <c:numCache>
                <c:formatCode>General</c:formatCode>
                <c:ptCount val="15"/>
                <c:pt idx="0">
                  <c:v>115</c:v>
                </c:pt>
                <c:pt idx="2">
                  <c:v>11</c:v>
                </c:pt>
                <c:pt idx="3">
                  <c:v>3</c:v>
                </c:pt>
                <c:pt idx="4">
                  <c:v>43</c:v>
                </c:pt>
                <c:pt idx="5">
                  <c:v>62</c:v>
                </c:pt>
                <c:pt idx="6">
                  <c:v>3</c:v>
                </c:pt>
                <c:pt idx="7">
                  <c:v>11</c:v>
                </c:pt>
                <c:pt idx="8">
                  <c:v>5</c:v>
                </c:pt>
                <c:pt idx="9">
                  <c:v>92</c:v>
                </c:pt>
                <c:pt idx="10">
                  <c:v>76</c:v>
                </c:pt>
                <c:pt idx="11">
                  <c:v>5</c:v>
                </c:pt>
                <c:pt idx="12">
                  <c:v>14</c:v>
                </c:pt>
                <c:pt idx="14">
                  <c:v>19</c:v>
                </c:pt>
              </c:numCache>
            </c:numRef>
          </c:xVal>
          <c:yVal>
            <c:numRef>
              <c:f>hs17R!$H$5:$H$19</c:f>
              <c:numCache>
                <c:formatCode>General</c:formatCode>
                <c:ptCount val="15"/>
                <c:pt idx="0">
                  <c:v>470000</c:v>
                </c:pt>
                <c:pt idx="2">
                  <c:v>551000</c:v>
                </c:pt>
                <c:pt idx="3">
                  <c:v>590000</c:v>
                </c:pt>
                <c:pt idx="4">
                  <c:v>595000</c:v>
                </c:pt>
                <c:pt idx="5">
                  <c:v>615000</c:v>
                </c:pt>
                <c:pt idx="6">
                  <c:v>640000</c:v>
                </c:pt>
                <c:pt idx="7">
                  <c:v>640000</c:v>
                </c:pt>
                <c:pt idx="8">
                  <c:v>650000</c:v>
                </c:pt>
                <c:pt idx="9">
                  <c:v>659000</c:v>
                </c:pt>
                <c:pt idx="10">
                  <c:v>659000</c:v>
                </c:pt>
                <c:pt idx="11">
                  <c:v>659000</c:v>
                </c:pt>
                <c:pt idx="12">
                  <c:v>720000</c:v>
                </c:pt>
                <c:pt idx="14">
                  <c:v>750000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120080"/>
        <c:axId val="244119688"/>
      </c:scatterChart>
      <c:valAx>
        <c:axId val="24412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19688"/>
        <c:crosses val="autoZero"/>
        <c:crossBetween val="midCat"/>
      </c:valAx>
      <c:valAx>
        <c:axId val="24411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20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hs17R!$H$7:$H$19</c:f>
              <c:numCache>
                <c:formatCode>General</c:formatCode>
                <c:ptCount val="13"/>
                <c:pt idx="0">
                  <c:v>551000</c:v>
                </c:pt>
                <c:pt idx="1">
                  <c:v>590000</c:v>
                </c:pt>
                <c:pt idx="2">
                  <c:v>595000</c:v>
                </c:pt>
                <c:pt idx="3">
                  <c:v>615000</c:v>
                </c:pt>
                <c:pt idx="4">
                  <c:v>640000</c:v>
                </c:pt>
                <c:pt idx="5">
                  <c:v>640000</c:v>
                </c:pt>
                <c:pt idx="6">
                  <c:v>650000</c:v>
                </c:pt>
                <c:pt idx="7">
                  <c:v>659000</c:v>
                </c:pt>
                <c:pt idx="8">
                  <c:v>659000</c:v>
                </c:pt>
                <c:pt idx="9">
                  <c:v>659000</c:v>
                </c:pt>
                <c:pt idx="10">
                  <c:v>720000</c:v>
                </c:pt>
                <c:pt idx="12">
                  <c:v>750000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118904"/>
        <c:axId val="244118120"/>
      </c:scatterChart>
      <c:valAx>
        <c:axId val="24411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18120"/>
        <c:crosses val="autoZero"/>
        <c:crossBetween val="midCat"/>
      </c:valAx>
      <c:valAx>
        <c:axId val="24411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18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ml!$G$25:$G$29</c:f>
              <c:numCache>
                <c:formatCode>General</c:formatCode>
                <c:ptCount val="5"/>
                <c:pt idx="0">
                  <c:v>-1000</c:v>
                </c:pt>
                <c:pt idx="1">
                  <c:v>0</c:v>
                </c:pt>
                <c:pt idx="2">
                  <c:v>1000</c:v>
                </c:pt>
                <c:pt idx="3">
                  <c:v>2000</c:v>
                </c:pt>
                <c:pt idx="4">
                  <c:v>3000</c:v>
                </c:pt>
              </c:numCache>
            </c:numRef>
          </c:xVal>
          <c:yVal>
            <c:numRef>
              <c:f>ml!$H$25:$H$29</c:f>
              <c:numCache>
                <c:formatCode>General</c:formatCode>
                <c:ptCount val="5"/>
                <c:pt idx="0">
                  <c:v>-568.65116279069753</c:v>
                </c:pt>
                <c:pt idx="1">
                  <c:v>-237.25581395348831</c:v>
                </c:pt>
                <c:pt idx="2">
                  <c:v>94.139534883720955</c:v>
                </c:pt>
                <c:pt idx="3">
                  <c:v>425.53488372093022</c:v>
                </c:pt>
                <c:pt idx="4">
                  <c:v>756.93023255813955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CBA-446C-A17F-713B8069C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116944"/>
        <c:axId val="243819800"/>
      </c:scatterChar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ml!$A$3:$A$5</c:f>
              <c:numCache>
                <c:formatCode>General</c:formatCode>
                <c:ptCount val="3"/>
                <c:pt idx="0">
                  <c:v>2104</c:v>
                </c:pt>
                <c:pt idx="1">
                  <c:v>1416</c:v>
                </c:pt>
                <c:pt idx="2">
                  <c:v>1534</c:v>
                </c:pt>
              </c:numCache>
            </c:numRef>
          </c:xVal>
          <c:yVal>
            <c:numRef>
              <c:f>ml!$C$3:$C$5</c:f>
              <c:numCache>
                <c:formatCode>General</c:formatCode>
                <c:ptCount val="3"/>
                <c:pt idx="0">
                  <c:v>460</c:v>
                </c:pt>
                <c:pt idx="1">
                  <c:v>232</c:v>
                </c:pt>
                <c:pt idx="2">
                  <c:v>315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CBA-446C-A17F-713B8069C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116944"/>
        <c:axId val="243819800"/>
      </c:scatterChart>
      <c:valAx>
        <c:axId val="24411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19800"/>
        <c:crosses val="autoZero"/>
        <c:crossBetween val="midCat"/>
      </c:valAx>
      <c:valAx>
        <c:axId val="24381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16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4"/>
          <c:order val="0"/>
          <c:tx>
            <c:v>n4</c:v>
          </c:tx>
          <c:xVal>
            <c:numRef>
              <c:f>ml!$Q$7:$Q$8</c:f>
              <c:numCache>
                <c:formatCode>General</c:formatCode>
                <c:ptCount val="2"/>
                <c:pt idx="0">
                  <c:v>-0.5</c:v>
                </c:pt>
                <c:pt idx="1">
                  <c:v>0.5</c:v>
                </c:pt>
              </c:numCache>
            </c:numRef>
          </c:xVal>
          <c:yVal>
            <c:numRef>
              <c:f>ml!$R$7:$R$8</c:f>
              <c:numCache>
                <c:formatCode>#,##0</c:formatCode>
                <c:ptCount val="2"/>
                <c:pt idx="0">
                  <c:v>357368.49233776267</c:v>
                </c:pt>
                <c:pt idx="1">
                  <c:v>-235818.82567109604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054C-4198-87FD-01756D1D18B1}"/>
            </c:ext>
          </c:extLst>
        </c:ser>
        <c:ser>
          <c:idx val="5"/>
          <c:order val="1"/>
          <c:tx>
            <c:v>n2</c:v>
          </c:tx>
          <c:xVal>
            <c:numRef>
              <c:f>ml!$Q$3:$Q$4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ml!$R$3:$R$4</c:f>
              <c:numCache>
                <c:formatCode>#,##0</c:formatCode>
                <c:ptCount val="2"/>
                <c:pt idx="0">
                  <c:v>3878898.5165447542</c:v>
                </c:pt>
                <c:pt idx="1">
                  <c:v>357368.48345524562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054C-4198-87FD-01756D1D18B1}"/>
            </c:ext>
          </c:extLst>
        </c:ser>
        <c:ser>
          <c:idx val="6"/>
          <c:order val="2"/>
          <c:tx>
            <c:v>n3</c:v>
          </c:tx>
          <c:xVal>
            <c:numRef>
              <c:f>ml!$Q$5:$Q$6</c:f>
              <c:numCache>
                <c:formatCode>General</c:formatCode>
                <c:ptCount val="2"/>
                <c:pt idx="0">
                  <c:v>-1</c:v>
                </c:pt>
                <c:pt idx="1">
                  <c:v>0</c:v>
                </c:pt>
              </c:numCache>
            </c:numRef>
          </c:xVal>
          <c:yVal>
            <c:numRef>
              <c:f>ml!$R$5:$R$6</c:f>
              <c:numCache>
                <c:formatCode>#,##0</c:formatCode>
                <c:ptCount val="2"/>
                <c:pt idx="0">
                  <c:v>1752090.656791799</c:v>
                </c:pt>
                <c:pt idx="1">
                  <c:v>-305267.99012513249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054C-4198-87FD-01756D1D18B1}"/>
            </c:ext>
          </c:extLst>
        </c:ser>
        <c:ser>
          <c:idx val="7"/>
          <c:order val="3"/>
          <c:tx>
            <c:v>sq</c:v>
          </c:tx>
          <c:xVal>
            <c:numRef>
              <c:f>ml!$M$3:$M$14</c:f>
              <c:numCache>
                <c:formatCode>General</c:formatCode>
                <c:ptCount val="12"/>
                <c:pt idx="0">
                  <c:v>-1</c:v>
                </c:pt>
                <c:pt idx="1">
                  <c:v>-0.99999998999999995</c:v>
                </c:pt>
                <c:pt idx="2">
                  <c:v>-0.5</c:v>
                </c:pt>
                <c:pt idx="3">
                  <c:v>-0.49999999000000001</c:v>
                </c:pt>
                <c:pt idx="4">
                  <c:v>0</c:v>
                </c:pt>
                <c:pt idx="5">
                  <c:v>1E-8</c:v>
                </c:pt>
                <c:pt idx="6">
                  <c:v>0.1</c:v>
                </c:pt>
                <c:pt idx="7">
                  <c:v>0.10000001</c:v>
                </c:pt>
                <c:pt idx="8">
                  <c:v>1</c:v>
                </c:pt>
                <c:pt idx="9">
                  <c:v>1.0000000099999999</c:v>
                </c:pt>
              </c:numCache>
            </c:numRef>
          </c:xVal>
          <c:yVal>
            <c:numRef>
              <c:f>ml!$N$3:$N$14</c:f>
              <c:numCache>
                <c:formatCode>#,##0</c:formatCode>
                <c:ptCount val="12"/>
                <c:pt idx="0">
                  <c:v>2118133.5</c:v>
                </c:pt>
                <c:pt idx="1">
                  <c:v>2118133.4647846995</c:v>
                </c:pt>
                <c:pt idx="2">
                  <c:v>723411.33333333326</c:v>
                </c:pt>
                <c:pt idx="3">
                  <c:v>723411.3127597468</c:v>
                </c:pt>
                <c:pt idx="4">
                  <c:v>60774.833333333328</c:v>
                </c:pt>
                <c:pt idx="5">
                  <c:v>60774.827401460148</c:v>
                </c:pt>
                <c:pt idx="6">
                  <c:v>16097.813333333332</c:v>
                </c:pt>
                <c:pt idx="7">
                  <c:v>16097.810329802811</c:v>
                </c:pt>
                <c:pt idx="8">
                  <c:v>931758.83333333326</c:v>
                </c:pt>
                <c:pt idx="9">
                  <c:v>931758.8566848865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054C-4198-87FD-01756D1D18B1}"/>
            </c:ext>
          </c:extLst>
        </c:ser>
        <c:ser>
          <c:idx val="0"/>
          <c:order val="4"/>
          <c:tx>
            <c:v>n4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ml!$Q$7:$Q$8</c:f>
              <c:numCache>
                <c:formatCode>General</c:formatCode>
                <c:ptCount val="2"/>
                <c:pt idx="0">
                  <c:v>-0.5</c:v>
                </c:pt>
                <c:pt idx="1">
                  <c:v>0.5</c:v>
                </c:pt>
              </c:numCache>
            </c:numRef>
          </c:xVal>
          <c:yVal>
            <c:numRef>
              <c:f>ml!$R$7:$R$8</c:f>
              <c:numCache>
                <c:formatCode>#,##0</c:formatCode>
                <c:ptCount val="2"/>
                <c:pt idx="0">
                  <c:v>357368.49233776267</c:v>
                </c:pt>
                <c:pt idx="1">
                  <c:v>-235818.82567109604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54C-4198-87FD-01756D1D18B1}"/>
            </c:ext>
          </c:extLst>
        </c:ser>
        <c:ser>
          <c:idx val="1"/>
          <c:order val="5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ml!$Q$3:$Q$4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ml!$R$3:$R$4</c:f>
              <c:numCache>
                <c:formatCode>#,##0</c:formatCode>
                <c:ptCount val="2"/>
                <c:pt idx="0">
                  <c:v>3878898.5165447542</c:v>
                </c:pt>
                <c:pt idx="1">
                  <c:v>357368.48345524562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54C-4198-87FD-01756D1D18B1}"/>
            </c:ext>
          </c:extLst>
        </c:ser>
        <c:ser>
          <c:idx val="2"/>
          <c:order val="6"/>
          <c:tx>
            <c:v>n3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ml!$Q$5:$Q$6</c:f>
              <c:numCache>
                <c:formatCode>General</c:formatCode>
                <c:ptCount val="2"/>
                <c:pt idx="0">
                  <c:v>-1</c:v>
                </c:pt>
                <c:pt idx="1">
                  <c:v>0</c:v>
                </c:pt>
              </c:numCache>
            </c:numRef>
          </c:xVal>
          <c:yVal>
            <c:numRef>
              <c:f>ml!$R$5:$R$6</c:f>
              <c:numCache>
                <c:formatCode>#,##0</c:formatCode>
                <c:ptCount val="2"/>
                <c:pt idx="0">
                  <c:v>1752090.656791799</c:v>
                </c:pt>
                <c:pt idx="1">
                  <c:v>-305267.99012513249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054C-4198-87FD-01756D1D18B1}"/>
            </c:ext>
          </c:extLst>
        </c:ser>
        <c:ser>
          <c:idx val="3"/>
          <c:order val="7"/>
          <c:tx>
            <c:v>sq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ml!$M$3:$M$14</c:f>
              <c:numCache>
                <c:formatCode>General</c:formatCode>
                <c:ptCount val="12"/>
                <c:pt idx="0">
                  <c:v>-1</c:v>
                </c:pt>
                <c:pt idx="1">
                  <c:v>-0.99999998999999995</c:v>
                </c:pt>
                <c:pt idx="2">
                  <c:v>-0.5</c:v>
                </c:pt>
                <c:pt idx="3">
                  <c:v>-0.49999999000000001</c:v>
                </c:pt>
                <c:pt idx="4">
                  <c:v>0</c:v>
                </c:pt>
                <c:pt idx="5">
                  <c:v>1E-8</c:v>
                </c:pt>
                <c:pt idx="6">
                  <c:v>0.1</c:v>
                </c:pt>
                <c:pt idx="7">
                  <c:v>0.10000001</c:v>
                </c:pt>
                <c:pt idx="8">
                  <c:v>1</c:v>
                </c:pt>
                <c:pt idx="9">
                  <c:v>1.0000000099999999</c:v>
                </c:pt>
              </c:numCache>
            </c:numRef>
          </c:xVal>
          <c:yVal>
            <c:numRef>
              <c:f>ml!$N$3:$N$14</c:f>
              <c:numCache>
                <c:formatCode>#,##0</c:formatCode>
                <c:ptCount val="12"/>
                <c:pt idx="0">
                  <c:v>2118133.5</c:v>
                </c:pt>
                <c:pt idx="1">
                  <c:v>2118133.4647846995</c:v>
                </c:pt>
                <c:pt idx="2">
                  <c:v>723411.33333333326</c:v>
                </c:pt>
                <c:pt idx="3">
                  <c:v>723411.3127597468</c:v>
                </c:pt>
                <c:pt idx="4">
                  <c:v>60774.833333333328</c:v>
                </c:pt>
                <c:pt idx="5">
                  <c:v>60774.827401460148</c:v>
                </c:pt>
                <c:pt idx="6">
                  <c:v>16097.813333333332</c:v>
                </c:pt>
                <c:pt idx="7">
                  <c:v>16097.810329802811</c:v>
                </c:pt>
                <c:pt idx="8">
                  <c:v>931758.83333333326</c:v>
                </c:pt>
                <c:pt idx="9">
                  <c:v>931758.8566848865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54C-4198-87FD-01756D1D18B1}"/>
            </c:ext>
          </c:extLst>
        </c:ser>
        <c:ser>
          <c:idx val="8"/>
          <c:order val="8"/>
          <c:tx>
            <c:v>n5</c:v>
          </c:tx>
          <c:xVal>
            <c:numRef>
              <c:f>ml!$Q$11:$Q$12</c:f>
              <c:numCache>
                <c:formatCode>General</c:formatCode>
                <c:ptCount val="2"/>
                <c:pt idx="0">
                  <c:v>0.5</c:v>
                </c:pt>
                <c:pt idx="1">
                  <c:v>1.5</c:v>
                </c:pt>
              </c:numCache>
            </c:numRef>
          </c:xVal>
          <c:yVal>
            <c:numRef>
              <c:f>ml!$R$11:$R$12</c:f>
              <c:numCache>
                <c:formatCode>#,##0</c:formatCode>
                <c:ptCount val="2"/>
                <c:pt idx="0">
                  <c:v>-235818.83603496524</c:v>
                </c:pt>
                <c:pt idx="1">
                  <c:v>2099336.5027016313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054C-4198-87FD-01756D1D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20192"/>
        <c:axId val="243817840"/>
      </c:scatterChart>
      <c:valAx>
        <c:axId val="24382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17840"/>
        <c:crosses val="autoZero"/>
        <c:crossBetween val="midCat"/>
      </c:valAx>
      <c:valAx>
        <c:axId val="24381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0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sq</c:v>
          </c:tx>
          <c:xVal>
            <c:numRef>
              <c:f>ml!$F$36:$F$45</c:f>
              <c:numCache>
                <c:formatCode>General</c:formatCode>
                <c:ptCount val="10"/>
                <c:pt idx="0">
                  <c:v>-1</c:v>
                </c:pt>
                <c:pt idx="1">
                  <c:v>-0.99999000000000005</c:v>
                </c:pt>
                <c:pt idx="2">
                  <c:v>-0.5</c:v>
                </c:pt>
                <c:pt idx="3">
                  <c:v>-0.49998999999999999</c:v>
                </c:pt>
                <c:pt idx="4">
                  <c:v>0</c:v>
                </c:pt>
                <c:pt idx="5">
                  <c:v>1.0000000000000001E-5</c:v>
                </c:pt>
                <c:pt idx="6">
                  <c:v>0.5</c:v>
                </c:pt>
                <c:pt idx="7">
                  <c:v>0.50000999999999995</c:v>
                </c:pt>
                <c:pt idx="8">
                  <c:v>1</c:v>
                </c:pt>
                <c:pt idx="9">
                  <c:v>1.0000100000000001</c:v>
                </c:pt>
              </c:numCache>
            </c:numRef>
          </c:xVal>
          <c:yVal>
            <c:numRef>
              <c:f>ml!$G$36:$G$45</c:f>
              <c:numCache>
                <c:formatCode>#,##0.00000</c:formatCode>
                <c:ptCount val="10"/>
                <c:pt idx="0">
                  <c:v>1</c:v>
                </c:pt>
                <c:pt idx="1">
                  <c:v>0.9999800001000001</c:v>
                </c:pt>
                <c:pt idx="2">
                  <c:v>0.25</c:v>
                </c:pt>
                <c:pt idx="3">
                  <c:v>0.2499900001</c:v>
                </c:pt>
                <c:pt idx="4">
                  <c:v>0</c:v>
                </c:pt>
                <c:pt idx="5">
                  <c:v>1.0000000000000002E-10</c:v>
                </c:pt>
                <c:pt idx="6">
                  <c:v>0.25</c:v>
                </c:pt>
                <c:pt idx="7">
                  <c:v>0.25001000009999996</c:v>
                </c:pt>
                <c:pt idx="8">
                  <c:v>1</c:v>
                </c:pt>
                <c:pt idx="9">
                  <c:v>1.0000200001000001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81B4-454A-86C5-D87BD54C04A1}"/>
            </c:ext>
          </c:extLst>
        </c:ser>
        <c:ser>
          <c:idx val="0"/>
          <c:order val="1"/>
          <c:tx>
            <c:v>n1</c:v>
          </c:tx>
          <c:xVal>
            <c:numRef>
              <c:f>ml!$J$36:$J$37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ml!$K$36:$K$37</c:f>
              <c:numCache>
                <c:formatCode>#,##0</c:formatCode>
                <c:ptCount val="2"/>
                <c:pt idx="0">
                  <c:v>1.9999949999995863</c:v>
                </c:pt>
                <c:pt idx="1">
                  <c:v>5.000000413701855E-6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1B4-454A-86C5-D87BD54C0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17056"/>
        <c:axId val="243821368"/>
      </c:scatterChart>
      <c:valAx>
        <c:axId val="243817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1368"/>
        <c:crosses val="autoZero"/>
        <c:crossBetween val="midCat"/>
      </c:valAx>
      <c:valAx>
        <c:axId val="24382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170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sq</c:v>
          </c:tx>
          <c:xVal>
            <c:numRef>
              <c:f>ml!$F$49:$F$58</c:f>
              <c:numCache>
                <c:formatCode>General</c:formatCode>
                <c:ptCount val="10"/>
                <c:pt idx="0">
                  <c:v>-1</c:v>
                </c:pt>
                <c:pt idx="1">
                  <c:v>-0.99999000000000005</c:v>
                </c:pt>
                <c:pt idx="2">
                  <c:v>-0.5</c:v>
                </c:pt>
                <c:pt idx="3">
                  <c:v>-0.49998999999999999</c:v>
                </c:pt>
                <c:pt idx="4">
                  <c:v>0</c:v>
                </c:pt>
                <c:pt idx="5">
                  <c:v>1.0000000000000001E-5</c:v>
                </c:pt>
                <c:pt idx="6">
                  <c:v>0.5</c:v>
                </c:pt>
                <c:pt idx="7">
                  <c:v>0.50000999999999995</c:v>
                </c:pt>
                <c:pt idx="8">
                  <c:v>1</c:v>
                </c:pt>
                <c:pt idx="9">
                  <c:v>1.0000100000000001</c:v>
                </c:pt>
              </c:numCache>
            </c:numRef>
          </c:xVal>
          <c:yVal>
            <c:numRef>
              <c:f>ml!$G$49:$G$58</c:f>
              <c:numCache>
                <c:formatCode>#,##0.00000</c:formatCode>
                <c:ptCount val="10"/>
                <c:pt idx="0">
                  <c:v>0</c:v>
                </c:pt>
                <c:pt idx="1">
                  <c:v>9.9999999999089795E-11</c:v>
                </c:pt>
                <c:pt idx="2">
                  <c:v>0.25</c:v>
                </c:pt>
                <c:pt idx="3">
                  <c:v>0.25001000010000007</c:v>
                </c:pt>
                <c:pt idx="4">
                  <c:v>1</c:v>
                </c:pt>
                <c:pt idx="5">
                  <c:v>1.0000200001000001</c:v>
                </c:pt>
                <c:pt idx="6">
                  <c:v>2.25</c:v>
                </c:pt>
                <c:pt idx="7">
                  <c:v>2.2500300001000002</c:v>
                </c:pt>
                <c:pt idx="8">
                  <c:v>4</c:v>
                </c:pt>
                <c:pt idx="9">
                  <c:v>4.0000400001000003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81B4-454A-86C5-D87BD54C04A1}"/>
            </c:ext>
          </c:extLst>
        </c:ser>
        <c:ser>
          <c:idx val="0"/>
          <c:order val="1"/>
          <c:tx>
            <c:v>n1</c:v>
          </c:tx>
          <c:xVal>
            <c:numRef>
              <c:f>ml!$J$49:$J$50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ml!$K$49:$K$50</c:f>
              <c:numCache>
                <c:formatCode>#,##0</c:formatCode>
                <c:ptCount val="2"/>
                <c:pt idx="0">
                  <c:v>-4.9999999999772449E-6</c:v>
                </c:pt>
                <c:pt idx="1">
                  <c:v>4.9999999999772449E-6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1B4-454A-86C5-D87BD54C0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90440"/>
        <c:axId val="246089264"/>
      </c:scatterChart>
      <c:valAx>
        <c:axId val="246090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089264"/>
        <c:crosses val="autoZero"/>
        <c:crossBetween val="midCat"/>
      </c:valAx>
      <c:valAx>
        <c:axId val="24608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090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sq</c:v>
          </c:tx>
          <c:xVal>
            <c:numRef>
              <c:f>ml!$F$62:$F$71</c:f>
              <c:numCache>
                <c:formatCode>General</c:formatCode>
                <c:ptCount val="10"/>
                <c:pt idx="0">
                  <c:v>-1</c:v>
                </c:pt>
                <c:pt idx="1">
                  <c:v>-0.99999000000000005</c:v>
                </c:pt>
                <c:pt idx="2">
                  <c:v>-0.5</c:v>
                </c:pt>
                <c:pt idx="3">
                  <c:v>-0.49998999999999999</c:v>
                </c:pt>
                <c:pt idx="4">
                  <c:v>0</c:v>
                </c:pt>
                <c:pt idx="5">
                  <c:v>1.0000000000000001E-5</c:v>
                </c:pt>
                <c:pt idx="6">
                  <c:v>0.5</c:v>
                </c:pt>
                <c:pt idx="7">
                  <c:v>0.50000999999999995</c:v>
                </c:pt>
                <c:pt idx="8">
                  <c:v>1</c:v>
                </c:pt>
                <c:pt idx="9">
                  <c:v>1.0000100000000001</c:v>
                </c:pt>
              </c:numCache>
            </c:numRef>
          </c:xVal>
          <c:yVal>
            <c:numRef>
              <c:f>ml!$G$62:$G$71</c:f>
              <c:numCache>
                <c:formatCode>#,##0.00000</c:formatCode>
                <c:ptCount val="10"/>
                <c:pt idx="0">
                  <c:v>4</c:v>
                </c:pt>
                <c:pt idx="1">
                  <c:v>3.9998800009000011</c:v>
                </c:pt>
                <c:pt idx="2">
                  <c:v>0.25</c:v>
                </c:pt>
                <c:pt idx="3">
                  <c:v>0.24997000090000002</c:v>
                </c:pt>
                <c:pt idx="4">
                  <c:v>1</c:v>
                </c:pt>
                <c:pt idx="5">
                  <c:v>1.0000600009</c:v>
                </c:pt>
                <c:pt idx="6">
                  <c:v>6.25</c:v>
                </c:pt>
                <c:pt idx="7">
                  <c:v>6.2501500008999988</c:v>
                </c:pt>
                <c:pt idx="8">
                  <c:v>16</c:v>
                </c:pt>
                <c:pt idx="9">
                  <c:v>16.000240000900003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81B4-454A-86C5-D87BD54C04A1}"/>
            </c:ext>
          </c:extLst>
        </c:ser>
        <c:ser>
          <c:idx val="0"/>
          <c:order val="1"/>
          <c:tx>
            <c:v>n1</c:v>
          </c:tx>
          <c:xVal>
            <c:numRef>
              <c:f>ml!$J$62:$J$63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ml!$K$62:$K$63</c:f>
              <c:numCache>
                <c:formatCode>#,##0</c:formatCode>
                <c:ptCount val="2"/>
                <c:pt idx="0">
                  <c:v>9.9999549999740722</c:v>
                </c:pt>
                <c:pt idx="1">
                  <c:v>-1.9999549999740722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1B4-454A-86C5-D87BD54C0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90832"/>
        <c:axId val="246089656"/>
      </c:scatterChart>
      <c:valAx>
        <c:axId val="2460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089656"/>
        <c:crosses val="autoZero"/>
        <c:crossBetween val="midCat"/>
      </c:valAx>
      <c:valAx>
        <c:axId val="24608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0908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sq</c:v>
          </c:tx>
          <c:xVal>
            <c:numRef>
              <c:f>ml!$F$75:$F$84</c:f>
              <c:numCache>
                <c:formatCode>General</c:formatCode>
                <c:ptCount val="10"/>
                <c:pt idx="0">
                  <c:v>-1</c:v>
                </c:pt>
                <c:pt idx="1">
                  <c:v>-0.99999998999999995</c:v>
                </c:pt>
                <c:pt idx="2">
                  <c:v>-0.5</c:v>
                </c:pt>
                <c:pt idx="3">
                  <c:v>-0.49999999000000001</c:v>
                </c:pt>
                <c:pt idx="4">
                  <c:v>0</c:v>
                </c:pt>
                <c:pt idx="5">
                  <c:v>1E-8</c:v>
                </c:pt>
                <c:pt idx="6">
                  <c:v>0.5</c:v>
                </c:pt>
                <c:pt idx="7">
                  <c:v>0.50000001000000005</c:v>
                </c:pt>
                <c:pt idx="8">
                  <c:v>1</c:v>
                </c:pt>
                <c:pt idx="9">
                  <c:v>1.0000000099999999</c:v>
                </c:pt>
              </c:numCache>
            </c:numRef>
          </c:xVal>
          <c:yVal>
            <c:numRef>
              <c:f>ml!$G$75:$G$84</c:f>
              <c:numCache>
                <c:formatCode>#,##0</c:formatCode>
                <c:ptCount val="10"/>
                <c:pt idx="0">
                  <c:v>6574096</c:v>
                </c:pt>
                <c:pt idx="1">
                  <c:v>6574095.8921068786</c:v>
                </c:pt>
                <c:pt idx="2">
                  <c:v>2286144</c:v>
                </c:pt>
                <c:pt idx="3">
                  <c:v>2286143.9363750401</c:v>
                </c:pt>
                <c:pt idx="4">
                  <c:v>211600</c:v>
                </c:pt>
                <c:pt idx="5">
                  <c:v>211599.98064320046</c:v>
                </c:pt>
                <c:pt idx="6">
                  <c:v>350464</c:v>
                </c:pt>
                <c:pt idx="7">
                  <c:v>350464.02491136052</c:v>
                </c:pt>
                <c:pt idx="8">
                  <c:v>2702736</c:v>
                </c:pt>
                <c:pt idx="9">
                  <c:v>2702736.06917952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81B4-454A-86C5-D87BD54C04A1}"/>
            </c:ext>
          </c:extLst>
        </c:ser>
        <c:ser>
          <c:idx val="0"/>
          <c:order val="1"/>
          <c:tx>
            <c:v>n1</c:v>
          </c:tx>
          <c:xVal>
            <c:numRef>
              <c:f>ml!$J$75:$J$76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ml!$K$75:$K$76</c:f>
              <c:numCache>
                <c:formatCode>#,##0</c:formatCode>
                <c:ptCount val="2"/>
                <c:pt idx="0">
                  <c:v>11968752.044332538</c:v>
                </c:pt>
                <c:pt idx="1">
                  <c:v>1179439.9556674613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1B4-454A-86C5-D87BD54C0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92400"/>
        <c:axId val="246086912"/>
      </c:scatterChart>
      <c:valAx>
        <c:axId val="24609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086912"/>
        <c:crosses val="autoZero"/>
        <c:crossBetween val="midCat"/>
      </c:valAx>
      <c:valAx>
        <c:axId val="2460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092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ml!$T$3:$T$32</c:f>
              <c:numCache>
                <c:formatCode>General</c:formatCode>
                <c:ptCount val="30"/>
                <c:pt idx="0">
                  <c:v>0.7664844666666667</c:v>
                </c:pt>
                <c:pt idx="1">
                  <c:v>0.60135028329227558</c:v>
                </c:pt>
                <c:pt idx="2">
                  <c:v>0.48457304740792312</c:v>
                </c:pt>
                <c:pt idx="3">
                  <c:v>0.40199218775712542</c:v>
                </c:pt>
                <c:pt idx="4">
                  <c:v>0.34359383358287199</c:v>
                </c:pt>
                <c:pt idx="5">
                  <c:v>0.30229651862777629</c:v>
                </c:pt>
                <c:pt idx="6">
                  <c:v>0.27309247261285841</c:v>
                </c:pt>
                <c:pt idx="7">
                  <c:v>0.25244037199641861</c:v>
                </c:pt>
                <c:pt idx="8">
                  <c:v>0.23783591411912017</c:v>
                </c:pt>
                <c:pt idx="9">
                  <c:v>0.22750814195438462</c:v>
                </c:pt>
                <c:pt idx="10">
                  <c:v>0.22020469537780984</c:v>
                </c:pt>
                <c:pt idx="11">
                  <c:v>0.21503994822362552</c:v>
                </c:pt>
                <c:pt idx="12">
                  <c:v>0.21138761601485551</c:v>
                </c:pt>
                <c:pt idx="13">
                  <c:v>0.20880481183006372</c:v>
                </c:pt>
                <c:pt idx="14">
                  <c:v>0.20697834121466901</c:v>
                </c:pt>
                <c:pt idx="15">
                  <c:v>0.20568672378252165</c:v>
                </c:pt>
                <c:pt idx="16">
                  <c:v>0.20477333619393104</c:v>
                </c:pt>
                <c:pt idx="17">
                  <c:v>0.2041274197900278</c:v>
                </c:pt>
                <c:pt idx="18">
                  <c:v>0.20367064984258954</c:v>
                </c:pt>
                <c:pt idx="19">
                  <c:v>0.2033476377877447</c:v>
                </c:pt>
                <c:pt idx="20">
                  <c:v>0.20311921473110486</c:v>
                </c:pt>
                <c:pt idx="21">
                  <c:v>0.2029576817727459</c:v>
                </c:pt>
                <c:pt idx="22">
                  <c:v>0.2028434511997905</c:v>
                </c:pt>
                <c:pt idx="23">
                  <c:v>0.2027626712528974</c:v>
                </c:pt>
                <c:pt idx="24">
                  <c:v>0.20270554644251412</c:v>
                </c:pt>
                <c:pt idx="25">
                  <c:v>0.20266514973408789</c:v>
                </c:pt>
                <c:pt idx="26">
                  <c:v>0.20263658256614941</c:v>
                </c:pt>
                <c:pt idx="27">
                  <c:v>0.20261638084388495</c:v>
                </c:pt>
                <c:pt idx="28">
                  <c:v>0.20260209487814518</c:v>
                </c:pt>
                <c:pt idx="29">
                  <c:v>0.20259199233270644</c:v>
                </c:pt>
              </c:numCache>
            </c:numRef>
          </c:xVal>
          <c:yVal>
            <c:numRef>
              <c:f>ml!$V$3:$V$32</c:f>
              <c:numCache>
                <c:formatCode>#,##0</c:formatCode>
                <c:ptCount val="30"/>
                <c:pt idx="0">
                  <c:v>466304.3272824008</c:v>
                </c:pt>
                <c:pt idx="1">
                  <c:v>233538.26726635976</c:v>
                </c:pt>
                <c:pt idx="2">
                  <c:v>117135.83052754219</c:v>
                </c:pt>
                <c:pt idx="3">
                  <c:v>58924.907174710424</c:v>
                </c:pt>
                <c:pt idx="4">
                  <c:v>29814.592197435864</c:v>
                </c:pt>
                <c:pt idx="5">
                  <c:v>15257.007653728151</c:v>
                </c:pt>
                <c:pt idx="6">
                  <c:v>7977.0016519848368</c:v>
                </c:pt>
                <c:pt idx="7">
                  <c:v>4336.3916849744455</c:v>
                </c:pt>
                <c:pt idx="8">
                  <c:v>2515.7831677944464</c:v>
                </c:pt>
                <c:pt idx="9">
                  <c:v>1605.3271170601042</c:v>
                </c:pt>
                <c:pt idx="10">
                  <c:v>1150.0231829651852</c:v>
                </c:pt>
                <c:pt idx="11">
                  <c:v>922.33325522500604</c:v>
                </c:pt>
                <c:pt idx="12">
                  <c:v>808.46930784360643</c:v>
                </c:pt>
                <c:pt idx="13">
                  <c:v>751.5278408145133</c:v>
                </c:pt>
                <c:pt idx="14">
                  <c:v>723.05235983926855</c:v>
                </c:pt>
                <c:pt idx="15">
                  <c:v>708.81224522548064</c:v>
                </c:pt>
                <c:pt idx="16">
                  <c:v>701.6910006575614</c:v>
                </c:pt>
                <c:pt idx="17">
                  <c:v>698.1297846441031</c:v>
                </c:pt>
                <c:pt idx="18">
                  <c:v>696.34887972312185</c:v>
                </c:pt>
                <c:pt idx="19">
                  <c:v>695.4582787807509</c:v>
                </c:pt>
                <c:pt idx="20">
                  <c:v>695.01290405624491</c:v>
                </c:pt>
                <c:pt idx="21">
                  <c:v>694.79017956114205</c:v>
                </c:pt>
                <c:pt idx="22">
                  <c:v>694.67879874406844</c:v>
                </c:pt>
                <c:pt idx="23">
                  <c:v>694.62309904922313</c:v>
                </c:pt>
                <c:pt idx="24">
                  <c:v>694.59524455787141</c:v>
                </c:pt>
                <c:pt idx="25">
                  <c:v>694.58131498984449</c:v>
                </c:pt>
                <c:pt idx="26">
                  <c:v>694.574349044462</c:v>
                </c:pt>
                <c:pt idx="27">
                  <c:v>694.57086549098813</c:v>
                </c:pt>
                <c:pt idx="28">
                  <c:v>694.56912342381315</c:v>
                </c:pt>
                <c:pt idx="29">
                  <c:v>694.56825224498084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41-4302-8963-2522E9DFE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88872"/>
        <c:axId val="246093184"/>
      </c:scatterChart>
      <c:valAx>
        <c:axId val="246088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093184"/>
        <c:crosses val="autoZero"/>
        <c:crossBetween val="midCat"/>
      </c:valAx>
      <c:valAx>
        <c:axId val="24609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088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'ml1'!$A$40:$A$48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'ml1'!$B$40:$B$48</c:f>
              <c:numCache>
                <c:formatCode>0.00000</c:formatCode>
                <c:ptCount val="9"/>
                <c:pt idx="0">
                  <c:v>0</c:v>
                </c:pt>
                <c:pt idx="1">
                  <c:v>19.525819937273042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316-47DE-8AB5-504FBD24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88480"/>
        <c:axId val="246093968"/>
      </c:scatterChar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'ml1'!$A$18:$A$21</c:f>
              <c:numCache>
                <c:formatCode>General</c:formatCode>
                <c:ptCount val="4"/>
                <c:pt idx="0">
                  <c:v>6.11</c:v>
                </c:pt>
                <c:pt idx="1">
                  <c:v>5.53</c:v>
                </c:pt>
                <c:pt idx="2">
                  <c:v>8.52</c:v>
                </c:pt>
              </c:numCache>
            </c:numRef>
          </c:xVal>
          <c:yVal>
            <c:numRef>
              <c:f>'ml1'!$B$18:$B$21</c:f>
              <c:numCache>
                <c:formatCode>General</c:formatCode>
                <c:ptCount val="4"/>
                <c:pt idx="0">
                  <c:v>17.59</c:v>
                </c:pt>
                <c:pt idx="1">
                  <c:v>9.1300000000000008</c:v>
                </c:pt>
                <c:pt idx="2">
                  <c:v>13.66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316-47DE-8AB5-504FBD24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88480"/>
        <c:axId val="246093968"/>
      </c:scatterChart>
      <c:valAx>
        <c:axId val="24608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093968"/>
        <c:crosses val="autoZero"/>
        <c:crossBetween val="midCat"/>
      </c:valAx>
      <c:valAx>
        <c:axId val="24609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08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'ml1'!$A$25:$A$36</c:f>
              <c:numCache>
                <c:formatCode>0.000</c:formatCode>
                <c:ptCount val="12"/>
                <c:pt idx="0">
                  <c:v>3</c:v>
                </c:pt>
                <c:pt idx="1">
                  <c:v>2.7</c:v>
                </c:pt>
                <c:pt idx="2">
                  <c:v>2.4000000000000004</c:v>
                </c:pt>
                <c:pt idx="3">
                  <c:v>2.0999999999999996</c:v>
                </c:pt>
                <c:pt idx="4">
                  <c:v>1.7999999999999998</c:v>
                </c:pt>
                <c:pt idx="5">
                  <c:v>1.5</c:v>
                </c:pt>
                <c:pt idx="6">
                  <c:v>1.5000100000000001</c:v>
                </c:pt>
                <c:pt idx="7">
                  <c:v>1.2000000000000002</c:v>
                </c:pt>
                <c:pt idx="8">
                  <c:v>0.89999999999999991</c:v>
                </c:pt>
                <c:pt idx="9">
                  <c:v>0.60000000000000009</c:v>
                </c:pt>
                <c:pt idx="10">
                  <c:v>0.30000000000000004</c:v>
                </c:pt>
                <c:pt idx="11">
                  <c:v>0.15000000000000002</c:v>
                </c:pt>
              </c:numCache>
            </c:numRef>
          </c:xVal>
          <c:yVal>
            <c:numRef>
              <c:f>'ml1'!$B$25:$B$36</c:f>
              <c:numCache>
                <c:formatCode>#,##0</c:formatCode>
                <c:ptCount val="12"/>
                <c:pt idx="0">
                  <c:v>32.968199999999989</c:v>
                </c:pt>
                <c:pt idx="1">
                  <c:v>20.359431000000001</c:v>
                </c:pt>
                <c:pt idx="2">
                  <c:v>11.965763999999997</c:v>
                </c:pt>
                <c:pt idx="3">
                  <c:v>7.7871989999999949</c:v>
                </c:pt>
                <c:pt idx="4">
                  <c:v>7.8237360000000002</c:v>
                </c:pt>
                <c:pt idx="5">
                  <c:v>12.075374999999996</c:v>
                </c:pt>
                <c:pt idx="6">
                  <c:v>12.07516302934172</c:v>
                </c:pt>
                <c:pt idx="7">
                  <c:v>20.542115999999993</c:v>
                </c:pt>
                <c:pt idx="8">
                  <c:v>33.223959000000008</c:v>
                </c:pt>
                <c:pt idx="9">
                  <c:v>50.120903999999996</c:v>
                </c:pt>
                <c:pt idx="10">
                  <c:v>71.232950999999986</c:v>
                </c:pt>
                <c:pt idx="11">
                  <c:v>83.36963775000001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2B9-4004-A846-25E9C86EAE9F}"/>
            </c:ext>
          </c:extLst>
        </c:ser>
        <c:ser>
          <c:idx val="1"/>
          <c:order val="1"/>
          <c:tx>
            <c:v>kas1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'ml1'!$J$25:$J$26</c:f>
              <c:numCache>
                <c:formatCode>0.00000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xVal>
          <c:yVal>
            <c:numRef>
              <c:f>'ml1'!$K$25:$K$26</c:f>
              <c:numCache>
                <c:formatCode>0.000</c:formatCode>
                <c:ptCount val="2"/>
                <c:pt idx="0">
                  <c:v>1.4768420862141198</c:v>
                </c:pt>
                <c:pt idx="1">
                  <c:v>22.673907913785868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2B9-4004-A846-25E9C86EA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19016"/>
        <c:axId val="243818232"/>
      </c:scatterChart>
      <c:valAx>
        <c:axId val="24381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18232"/>
        <c:crosses val="autoZero"/>
        <c:crossBetween val="midCat"/>
      </c:valAx>
      <c:valAx>
        <c:axId val="24381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1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30544125693152896"/>
                  <c:y val="0.2310493328789268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'ml1'!$B$60:$B$62</c:f>
              <c:numCache>
                <c:formatCode>General</c:formatCode>
                <c:ptCount val="3"/>
                <c:pt idx="0">
                  <c:v>6.11</c:v>
                </c:pt>
                <c:pt idx="1">
                  <c:v>5.53</c:v>
                </c:pt>
                <c:pt idx="2">
                  <c:v>8.52</c:v>
                </c:pt>
              </c:numCache>
            </c:numRef>
          </c:xVal>
          <c:yVal>
            <c:numRef>
              <c:f>'ml1'!$C$60:$C$62</c:f>
              <c:numCache>
                <c:formatCode>General</c:formatCode>
                <c:ptCount val="3"/>
                <c:pt idx="0">
                  <c:v>17.59</c:v>
                </c:pt>
                <c:pt idx="1">
                  <c:v>9.1300000000000008</c:v>
                </c:pt>
                <c:pt idx="2">
                  <c:v>13.66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316-47DE-8AB5-504FBD24A5B3}"/>
            </c:ext>
          </c:extLst>
        </c:ser>
        <c:ser>
          <c:idx val="1"/>
          <c:order val="1"/>
          <c:tx>
            <c:v>tangent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'ml1'!$A$101:$A$102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'ml1'!$B$101:$B$102</c:f>
              <c:numCache>
                <c:formatCode>0.00000</c:formatCode>
                <c:ptCount val="2"/>
                <c:pt idx="0">
                  <c:v>9.4600263819392598</c:v>
                </c:pt>
                <c:pt idx="1">
                  <c:v>15.412399006806915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DD-4EAB-8703-C85BCAF58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20584"/>
        <c:axId val="197467592"/>
      </c:scatterChart>
      <c:valAx>
        <c:axId val="243820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67592"/>
        <c:crosses val="autoZero"/>
        <c:crossBetween val="midCat"/>
      </c:valAx>
      <c:valAx>
        <c:axId val="19746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0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'ml1'!$J$4:$J$5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'ml1'!$K$4:$K$5</c:f>
              <c:numCache>
                <c:formatCode>0.000</c:formatCode>
                <c:ptCount val="2"/>
                <c:pt idx="0">
                  <c:v>-71.531724137931008</c:v>
                </c:pt>
                <c:pt idx="1">
                  <c:v>74.330344827586202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F8-4F74-8442-3D42EF7B1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66808"/>
        <c:axId val="197474256"/>
      </c:scatterChar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'ml1'!$A$4:$A$5</c:f>
              <c:numCache>
                <c:formatCode>General</c:formatCode>
                <c:ptCount val="2"/>
                <c:pt idx="0">
                  <c:v>6.11</c:v>
                </c:pt>
                <c:pt idx="1">
                  <c:v>5.53</c:v>
                </c:pt>
              </c:numCache>
            </c:numRef>
          </c:xVal>
          <c:yVal>
            <c:numRef>
              <c:f>'ml1'!$B$4:$B$5</c:f>
              <c:numCache>
                <c:formatCode>General</c:formatCode>
                <c:ptCount val="2"/>
                <c:pt idx="0">
                  <c:v>17.59</c:v>
                </c:pt>
                <c:pt idx="1">
                  <c:v>9.1300000000000008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BF8-4F74-8442-3D42EF7B1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66808"/>
        <c:axId val="197474256"/>
      </c:scatterChart>
      <c:valAx>
        <c:axId val="197466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74256"/>
        <c:crosses val="autoZero"/>
        <c:crossBetween val="midCat"/>
      </c:valAx>
      <c:valAx>
        <c:axId val="19747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66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'ml1'!$I$88:$I$124</c:f>
              <c:numCache>
                <c:formatCode>0.00000</c:formatCode>
                <c:ptCount val="37"/>
                <c:pt idx="0">
                  <c:v>9.4600000000000009</c:v>
                </c:pt>
                <c:pt idx="1">
                  <c:v>9.4600160000000013</c:v>
                </c:pt>
                <c:pt idx="2">
                  <c:v>9.4600242515520012</c:v>
                </c:pt>
                <c:pt idx="3">
                  <c:v>9.4600284584030696</c:v>
                </c:pt>
                <c:pt idx="4">
                  <c:v>9.4600305539313112</c:v>
                </c:pt>
                <c:pt idx="5">
                  <c:v>9.4600315473716439</c:v>
                </c:pt>
                <c:pt idx="6">
                  <c:v>9.4600319655507157</c:v>
                </c:pt>
                <c:pt idx="7">
                  <c:v>9.4600320834751752</c:v>
                </c:pt>
                <c:pt idx="8">
                  <c:v>9.4600320447001263</c:v>
                </c:pt>
                <c:pt idx="9">
                  <c:v>9.4600319241621769</c:v>
                </c:pt>
                <c:pt idx="10">
                  <c:v>9.4600317609786746</c:v>
                </c:pt>
                <c:pt idx="11">
                  <c:v>9.4600315755690936</c:v>
                </c:pt>
                <c:pt idx="12">
                  <c:v>9.4600313785925128</c:v>
                </c:pt>
                <c:pt idx="13">
                  <c:v>9.46003117561302</c:v>
                </c:pt>
                <c:pt idx="14">
                  <c:v>9.4600309695350902</c:v>
                </c:pt>
                <c:pt idx="15">
                  <c:v>9.4600307618748651</c:v>
                </c:pt>
                <c:pt idx="16">
                  <c:v>9.460030553423767</c:v>
                </c:pt>
                <c:pt idx="17">
                  <c:v>9.4600303445949105</c:v>
                </c:pt>
                <c:pt idx="18">
                  <c:v>9.4600301356039331</c:v>
                </c:pt>
                <c:pt idx="19">
                  <c:v>9.4600299265633847</c:v>
                </c:pt>
                <c:pt idx="20">
                  <c:v>9.4600297175320076</c:v>
                </c:pt>
                <c:pt idx="21">
                  <c:v>9.4600295085404493</c:v>
                </c:pt>
                <c:pt idx="22">
                  <c:v>9.4600292996046988</c:v>
                </c:pt>
                <c:pt idx="23">
                  <c:v>9.4600290907330891</c:v>
                </c:pt>
                <c:pt idx="24">
                  <c:v>9.4600288819299578</c:v>
                </c:pt>
                <c:pt idx="25">
                  <c:v>9.4600286731975558</c:v>
                </c:pt>
                <c:pt idx="26">
                  <c:v>9.4600284645370483</c:v>
                </c:pt>
                <c:pt idx="27">
                  <c:v>9.4600282559490285</c:v>
                </c:pt>
                <c:pt idx="28">
                  <c:v>9.4600280474337968</c:v>
                </c:pt>
                <c:pt idx="29">
                  <c:v>9.4600278389914951</c:v>
                </c:pt>
                <c:pt idx="30">
                  <c:v>9.4600276306221858</c:v>
                </c:pt>
                <c:pt idx="31">
                  <c:v>9.46002742232589</c:v>
                </c:pt>
                <c:pt idx="32">
                  <c:v>9.4600272141026078</c:v>
                </c:pt>
                <c:pt idx="33">
                  <c:v>9.4600270059523233</c:v>
                </c:pt>
                <c:pt idx="34">
                  <c:v>9.4600267978750185</c:v>
                </c:pt>
                <c:pt idx="35">
                  <c:v>9.4600265898706724</c:v>
                </c:pt>
                <c:pt idx="36">
                  <c:v>9.4600263819392598</c:v>
                </c:pt>
              </c:numCache>
            </c:numRef>
          </c:xVal>
          <c:yVal>
            <c:numRef>
              <c:f>'ml1'!$J$88:$J$124</c:f>
              <c:numCache>
                <c:formatCode>0.00000</c:formatCode>
                <c:ptCount val="37"/>
                <c:pt idx="0">
                  <c:v>0.59499999999999997</c:v>
                </c:pt>
                <c:pt idx="1">
                  <c:v>0.59511292333333321</c:v>
                </c:pt>
                <c:pt idx="2">
                  <c:v>0.59517188442575764</c:v>
                </c:pt>
                <c:pt idx="3">
                  <c:v>0.59520267690070983</c:v>
                </c:pt>
                <c:pt idx="4">
                  <c:v>0.59521876518385286</c:v>
                </c:pt>
                <c:pt idx="5">
                  <c:v>0.59522717778589229</c:v>
                </c:pt>
                <c:pt idx="6">
                  <c:v>0.59523158363144335</c:v>
                </c:pt>
                <c:pt idx="7">
                  <c:v>0.59523389792109482</c:v>
                </c:pt>
                <c:pt idx="8">
                  <c:v>0.59523512040100723</c:v>
                </c:pt>
                <c:pt idx="9">
                  <c:v>0.59523577294465579</c:v>
                </c:pt>
                <c:pt idx="10">
                  <c:v>0.59523612797311709</c:v>
                </c:pt>
                <c:pt idx="11">
                  <c:v>0.59523632769182333</c:v>
                </c:pt>
                <c:pt idx="12">
                  <c:v>0.59523644633286243</c:v>
                </c:pt>
                <c:pt idx="13">
                  <c:v>0.59523652264582994</c:v>
                </c:pt>
                <c:pt idx="14">
                  <c:v>0.59523657685824805</c:v>
                </c:pt>
                <c:pt idx="15">
                  <c:v>0.59523661952900608</c:v>
                </c:pt>
                <c:pt idx="16">
                  <c:v>0.59523665616990928</c:v>
                </c:pt>
                <c:pt idx="17">
                  <c:v>0.59523668965815468</c:v>
                </c:pt>
                <c:pt idx="18">
                  <c:v>0.59523672149565821</c:v>
                </c:pt>
                <c:pt idx="19">
                  <c:v>0.59523675246643037</c:v>
                </c:pt>
                <c:pt idx="20">
                  <c:v>0.59523678297973148</c:v>
                </c:pt>
                <c:pt idx="21">
                  <c:v>0.59523681324919919</c:v>
                </c:pt>
                <c:pt idx="22">
                  <c:v>0.59523684338635585</c:v>
                </c:pt>
                <c:pt idx="23">
                  <c:v>0.59523687344941845</c:v>
                </c:pt>
                <c:pt idx="24">
                  <c:v>0.59523690346877811</c:v>
                </c:pt>
                <c:pt idx="25">
                  <c:v>0.59523693346030127</c:v>
                </c:pt>
                <c:pt idx="26">
                  <c:v>0.59523696343227195</c:v>
                </c:pt>
                <c:pt idx="27">
                  <c:v>0.59523699338901603</c:v>
                </c:pt>
                <c:pt idx="28">
                  <c:v>0.59523702333279371</c:v>
                </c:pt>
                <c:pt idx="29">
                  <c:v>0.59523705326478638</c:v>
                </c:pt>
                <c:pt idx="30">
                  <c:v>0.59523708318561264</c:v>
                </c:pt>
                <c:pt idx="31">
                  <c:v>0.59523711309559713</c:v>
                </c:pt>
                <c:pt idx="32">
                  <c:v>0.59523714299491093</c:v>
                </c:pt>
                <c:pt idx="33">
                  <c:v>0.59523717288364519</c:v>
                </c:pt>
                <c:pt idx="34">
                  <c:v>0.59523720276184922</c:v>
                </c:pt>
                <c:pt idx="35">
                  <c:v>0.59523723262955064</c:v>
                </c:pt>
                <c:pt idx="36">
                  <c:v>0.59523726248676545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76C-4018-9EC9-93451031D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25208"/>
        <c:axId val="16602680"/>
      </c:scatterChart>
      <c:valAx>
        <c:axId val="245725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2680"/>
        <c:crosses val="autoZero"/>
        <c:crossBetween val="midCat"/>
      </c:valAx>
      <c:valAx>
        <c:axId val="1660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2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0"/>
      <c:hPercent val="100"/>
      <c:rotY val="2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'ml1'!$C$66:$R$66</c:f>
              <c:numCache>
                <c:formatCode>#,##0.00</c:formatCode>
                <c:ptCount val="16"/>
                <c:pt idx="0">
                  <c:v>38.358415526799433</c:v>
                </c:pt>
                <c:pt idx="1">
                  <c:v>24.861235654799447</c:v>
                </c:pt>
                <c:pt idx="2">
                  <c:v>24.861235654799447</c:v>
                </c:pt>
                <c:pt idx="3">
                  <c:v>19.455019718799427</c:v>
                </c:pt>
                <c:pt idx="4">
                  <c:v>14.943719782799441</c:v>
                </c:pt>
                <c:pt idx="5">
                  <c:v>11.327335846799437</c:v>
                </c:pt>
                <c:pt idx="6">
                  <c:v>8.6058679107994429</c:v>
                </c:pt>
                <c:pt idx="7">
                  <c:v>6.7793159747994354</c:v>
                </c:pt>
                <c:pt idx="8">
                  <c:v>6.7793305530094372</c:v>
                </c:pt>
                <c:pt idx="9">
                  <c:v>6.2016335067994373</c:v>
                </c:pt>
                <c:pt idx="10">
                  <c:v>5.847680038799437</c:v>
                </c:pt>
                <c:pt idx="11">
                  <c:v>5.7174555707994346</c:v>
                </c:pt>
                <c:pt idx="12">
                  <c:v>5.8109601027994344</c:v>
                </c:pt>
                <c:pt idx="13">
                  <c:v>6.1281936347994357</c:v>
                </c:pt>
                <c:pt idx="14">
                  <c:v>6.6691561667994339</c:v>
                </c:pt>
                <c:pt idx="15">
                  <c:v>7.4338476987994326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F9-4C64-84C1-04FE6931A690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'ml1'!$C$67:$R$67</c:f>
              <c:numCache>
                <c:formatCode>#,##0.00</c:formatCode>
                <c:ptCount val="16"/>
                <c:pt idx="0">
                  <c:v>36.673829407802735</c:v>
                </c:pt>
                <c:pt idx="1">
                  <c:v>23.573810607802741</c:v>
                </c:pt>
                <c:pt idx="2">
                  <c:v>23.573810607802741</c:v>
                </c:pt>
                <c:pt idx="3">
                  <c:v>18.36617520780273</c:v>
                </c:pt>
                <c:pt idx="4">
                  <c:v>14.053455807802742</c:v>
                </c:pt>
                <c:pt idx="5">
                  <c:v>10.635652407802734</c:v>
                </c:pt>
                <c:pt idx="6">
                  <c:v>8.1127650078027393</c:v>
                </c:pt>
                <c:pt idx="7">
                  <c:v>6.4847936078027359</c:v>
                </c:pt>
                <c:pt idx="8">
                  <c:v>6.4848060868527337</c:v>
                </c:pt>
                <c:pt idx="9">
                  <c:v>6.0064014078027315</c:v>
                </c:pt>
                <c:pt idx="10">
                  <c:v>5.7517382078027319</c:v>
                </c:pt>
                <c:pt idx="11">
                  <c:v>5.7208040078027338</c:v>
                </c:pt>
                <c:pt idx="12">
                  <c:v>5.9135988078027335</c:v>
                </c:pt>
                <c:pt idx="13">
                  <c:v>6.3301226078027293</c:v>
                </c:pt>
                <c:pt idx="14">
                  <c:v>6.9703754078027345</c:v>
                </c:pt>
                <c:pt idx="15">
                  <c:v>7.834357207802733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DF9-4C64-84C1-04FE6931A690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'ml1'!$C$68:$R$68</c:f>
              <c:numCache>
                <c:formatCode>#,##0.00</c:formatCode>
                <c:ptCount val="16"/>
                <c:pt idx="0">
                  <c:v>33.217890444399991</c:v>
                </c:pt>
                <c:pt idx="1">
                  <c:v>20.968931084399998</c:v>
                </c:pt>
                <c:pt idx="2">
                  <c:v>20.968931084399998</c:v>
                </c:pt>
                <c:pt idx="3">
                  <c:v>16.18682540439999</c:v>
                </c:pt>
                <c:pt idx="4">
                  <c:v>12.299635724399998</c:v>
                </c:pt>
                <c:pt idx="5">
                  <c:v>9.3073620443999978</c:v>
                </c:pt>
                <c:pt idx="6">
                  <c:v>7.2100043644000014</c:v>
                </c:pt>
                <c:pt idx="7">
                  <c:v>6.0075626843999999</c:v>
                </c:pt>
                <c:pt idx="8">
                  <c:v>6.0075706652500003</c:v>
                </c:pt>
                <c:pt idx="9">
                  <c:v>5.7419353443999981</c:v>
                </c:pt>
                <c:pt idx="10">
                  <c:v>5.7000370043999968</c:v>
                </c:pt>
                <c:pt idx="11">
                  <c:v>5.8818676643999996</c:v>
                </c:pt>
                <c:pt idx="12">
                  <c:v>6.2874273244000003</c:v>
                </c:pt>
                <c:pt idx="13">
                  <c:v>6.9167159843999961</c:v>
                </c:pt>
                <c:pt idx="14">
                  <c:v>7.7697336444000022</c:v>
                </c:pt>
                <c:pt idx="15">
                  <c:v>8.8464803044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DF9-4C64-84C1-04FE6931A690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'ml1'!$C$69:$R$69</c:f>
              <c:numCache>
                <c:formatCode>#,##0.00</c:formatCode>
                <c:ptCount val="16"/>
                <c:pt idx="0">
                  <c:v>31.749276145777081</c:v>
                </c:pt>
                <c:pt idx="1">
                  <c:v>19.878565425777083</c:v>
                </c:pt>
                <c:pt idx="2">
                  <c:v>19.878565425777083</c:v>
                </c:pt>
                <c:pt idx="3">
                  <c:v>15.285584065777076</c:v>
                </c:pt>
                <c:pt idx="4">
                  <c:v>11.587518705777082</c:v>
                </c:pt>
                <c:pt idx="5">
                  <c:v>8.7843693457770797</c:v>
                </c:pt>
                <c:pt idx="6">
                  <c:v>6.8761359857770827</c:v>
                </c:pt>
                <c:pt idx="7">
                  <c:v>5.8628186257770816</c:v>
                </c:pt>
                <c:pt idx="8">
                  <c:v>5.8628246074270809</c:v>
                </c:pt>
                <c:pt idx="9">
                  <c:v>5.6917534457770822</c:v>
                </c:pt>
                <c:pt idx="10">
                  <c:v>5.7444172657770816</c:v>
                </c:pt>
                <c:pt idx="11">
                  <c:v>6.0208100857770805</c:v>
                </c:pt>
                <c:pt idx="12">
                  <c:v>6.52093190577708</c:v>
                </c:pt>
                <c:pt idx="13">
                  <c:v>7.24478272577708</c:v>
                </c:pt>
                <c:pt idx="14">
                  <c:v>8.1923625457770832</c:v>
                </c:pt>
                <c:pt idx="15">
                  <c:v>9.3636713657770798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DF9-4C64-84C1-04FE6931A690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'ml1'!$C$70:$R$70</c:f>
              <c:numCache>
                <c:formatCode>#,##0.00</c:formatCode>
                <c:ptCount val="16"/>
                <c:pt idx="0">
                  <c:v>30.322113277308336</c:v>
                </c:pt>
                <c:pt idx="1">
                  <c:v>18.829651197308337</c:v>
                </c:pt>
                <c:pt idx="2">
                  <c:v>18.829651197308337</c:v>
                </c:pt>
                <c:pt idx="3">
                  <c:v>14.425794157308331</c:v>
                </c:pt>
                <c:pt idx="4">
                  <c:v>10.916853117308332</c:v>
                </c:pt>
                <c:pt idx="5">
                  <c:v>8.3028280773083285</c:v>
                </c:pt>
                <c:pt idx="6">
                  <c:v>6.5837190373083319</c:v>
                </c:pt>
                <c:pt idx="7">
                  <c:v>5.7595259973083301</c:v>
                </c:pt>
                <c:pt idx="8">
                  <c:v>5.7595299797583301</c:v>
                </c:pt>
                <c:pt idx="9">
                  <c:v>5.6830229773083332</c:v>
                </c:pt>
                <c:pt idx="10">
                  <c:v>5.8302489573083323</c:v>
                </c:pt>
                <c:pt idx="11">
                  <c:v>6.2012039373083292</c:v>
                </c:pt>
                <c:pt idx="12">
                  <c:v>6.7958879173083293</c:v>
                </c:pt>
                <c:pt idx="13">
                  <c:v>7.6143008973083335</c:v>
                </c:pt>
                <c:pt idx="14">
                  <c:v>8.6564428773083328</c:v>
                </c:pt>
                <c:pt idx="15">
                  <c:v>9.9223138573083283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DF9-4C64-84C1-04FE6931A690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'ml1'!$C$71:$R$71</c:f>
              <c:numCache>
                <c:formatCode>#,##0.00</c:formatCode>
                <c:ptCount val="16"/>
                <c:pt idx="0">
                  <c:v>28.936401838993749</c:v>
                </c:pt>
                <c:pt idx="1">
                  <c:v>17.822188398993749</c:v>
                </c:pt>
                <c:pt idx="2">
                  <c:v>17.822188398993749</c:v>
                </c:pt>
                <c:pt idx="3">
                  <c:v>13.607455678993745</c:v>
                </c:pt>
                <c:pt idx="4">
                  <c:v>10.287638958993757</c:v>
                </c:pt>
                <c:pt idx="5">
                  <c:v>7.8627382389937477</c:v>
                </c:pt>
                <c:pt idx="6">
                  <c:v>6.3327535189937514</c:v>
                </c:pt>
                <c:pt idx="7">
                  <c:v>5.69768479899375</c:v>
                </c:pt>
                <c:pt idx="8">
                  <c:v>5.6976867822437507</c:v>
                </c:pt>
                <c:pt idx="9">
                  <c:v>5.7157439389937501</c:v>
                </c:pt>
                <c:pt idx="10">
                  <c:v>5.9575320789937489</c:v>
                </c:pt>
                <c:pt idx="11">
                  <c:v>6.42304921899375</c:v>
                </c:pt>
                <c:pt idx="12">
                  <c:v>7.1122953589937481</c:v>
                </c:pt>
                <c:pt idx="13">
                  <c:v>8.0252704989937484</c:v>
                </c:pt>
                <c:pt idx="14">
                  <c:v>9.1619746389937511</c:v>
                </c:pt>
                <c:pt idx="15">
                  <c:v>10.522407778993747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EDF9-4C64-84C1-04FE6931A690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'ml1'!$C$72:$R$72</c:f>
              <c:numCache>
                <c:formatCode>#,##0.00</c:formatCode>
                <c:ptCount val="16"/>
                <c:pt idx="0">
                  <c:v>27.592141830833334</c:v>
                </c:pt>
                <c:pt idx="1">
                  <c:v>16.856177030833337</c:v>
                </c:pt>
                <c:pt idx="2">
                  <c:v>16.856177030833337</c:v>
                </c:pt>
                <c:pt idx="3">
                  <c:v>12.830568630833334</c:v>
                </c:pt>
                <c:pt idx="4">
                  <c:v>9.6998762308333379</c:v>
                </c:pt>
                <c:pt idx="5">
                  <c:v>7.4640998308333302</c:v>
                </c:pt>
                <c:pt idx="6">
                  <c:v>6.1232394308333342</c:v>
                </c:pt>
                <c:pt idx="7">
                  <c:v>5.6772950308333314</c:v>
                </c:pt>
                <c:pt idx="8">
                  <c:v>5.677295014883331</c:v>
                </c:pt>
                <c:pt idx="9">
                  <c:v>5.7899163308333303</c:v>
                </c:pt>
                <c:pt idx="10">
                  <c:v>6.1262666308333298</c:v>
                </c:pt>
                <c:pt idx="11">
                  <c:v>6.6863459308333306</c:v>
                </c:pt>
                <c:pt idx="12">
                  <c:v>7.4701542308333284</c:v>
                </c:pt>
                <c:pt idx="13">
                  <c:v>8.4776915308333294</c:v>
                </c:pt>
                <c:pt idx="14">
                  <c:v>9.7089578308333309</c:v>
                </c:pt>
                <c:pt idx="15">
                  <c:v>11.163953130833328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DF9-4C64-84C1-04FE6931A690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'ml1'!$C$73:$R$73</c:f>
              <c:numCache>
                <c:formatCode>#,##0.00</c:formatCode>
                <c:ptCount val="16"/>
                <c:pt idx="0">
                  <c:v>27.59258671865172</c:v>
                </c:pt>
                <c:pt idx="1">
                  <c:v>16.856494776251726</c:v>
                </c:pt>
                <c:pt idx="2">
                  <c:v>16.856494776251726</c:v>
                </c:pt>
                <c:pt idx="3">
                  <c:v>12.830822805051719</c:v>
                </c:pt>
                <c:pt idx="4">
                  <c:v>9.7000668338517251</c:v>
                </c:pt>
                <c:pt idx="5">
                  <c:v>7.4642268626517216</c:v>
                </c:pt>
                <c:pt idx="6">
                  <c:v>6.1233028914517238</c:v>
                </c:pt>
                <c:pt idx="7">
                  <c:v>5.6772949202517227</c:v>
                </c:pt>
                <c:pt idx="8">
                  <c:v>5.6772949049737225</c:v>
                </c:pt>
                <c:pt idx="9">
                  <c:v>5.7898844346517215</c:v>
                </c:pt>
                <c:pt idx="10">
                  <c:v>6.12620294905172</c:v>
                </c:pt>
                <c:pt idx="11">
                  <c:v>6.6862504634517244</c:v>
                </c:pt>
                <c:pt idx="12">
                  <c:v>7.4700269778517221</c:v>
                </c:pt>
                <c:pt idx="13">
                  <c:v>8.4775324922517203</c:v>
                </c:pt>
                <c:pt idx="14">
                  <c:v>9.7087670066517262</c:v>
                </c:pt>
                <c:pt idx="15">
                  <c:v>11.163730521051722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EDF9-4C64-84C1-04FE6931A690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'ml1'!$C$74:$R$74</c:f>
              <c:numCache>
                <c:formatCode>#,##0.00</c:formatCode>
                <c:ptCount val="16"/>
                <c:pt idx="0">
                  <c:v>26.289333252827081</c:v>
                </c:pt>
                <c:pt idx="1">
                  <c:v>15.931617092827077</c:v>
                </c:pt>
                <c:pt idx="2">
                  <c:v>15.931617092827077</c:v>
                </c:pt>
                <c:pt idx="3">
                  <c:v>12.09513301282708</c:v>
                </c:pt>
                <c:pt idx="4">
                  <c:v>9.1535649328270825</c:v>
                </c:pt>
                <c:pt idx="5">
                  <c:v>7.1069128528270795</c:v>
                </c:pt>
                <c:pt idx="6">
                  <c:v>5.9551767728270821</c:v>
                </c:pt>
                <c:pt idx="7">
                  <c:v>5.6983566928270815</c:v>
                </c:pt>
                <c:pt idx="8">
                  <c:v>5.6983546776770817</c:v>
                </c:pt>
                <c:pt idx="9">
                  <c:v>5.9055401528270828</c:v>
                </c:pt>
                <c:pt idx="10">
                  <c:v>6.3364526128270819</c:v>
                </c:pt>
                <c:pt idx="11">
                  <c:v>6.9910940728270825</c:v>
                </c:pt>
                <c:pt idx="12">
                  <c:v>7.8694645328270809</c:v>
                </c:pt>
                <c:pt idx="13">
                  <c:v>8.9715639928270825</c:v>
                </c:pt>
                <c:pt idx="14">
                  <c:v>10.297392452827086</c:v>
                </c:pt>
                <c:pt idx="15">
                  <c:v>11.846949912827082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DF9-4C64-84C1-04FE6931A690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'ml1'!$C$75:$R$75</c:f>
              <c:numCache>
                <c:formatCode>#,##0.00</c:formatCode>
                <c:ptCount val="16"/>
                <c:pt idx="0">
                  <c:v>25.027976104975</c:v>
                </c:pt>
                <c:pt idx="1">
                  <c:v>15.048508584974996</c:v>
                </c:pt>
                <c:pt idx="2">
                  <c:v>15.048508584974996</c:v>
                </c:pt>
                <c:pt idx="3">
                  <c:v>11.401148824974996</c:v>
                </c:pt>
                <c:pt idx="4">
                  <c:v>8.648705064975001</c:v>
                </c:pt>
                <c:pt idx="5">
                  <c:v>6.7911773049749975</c:v>
                </c:pt>
                <c:pt idx="6">
                  <c:v>5.8285655449749969</c:v>
                </c:pt>
                <c:pt idx="7">
                  <c:v>5.7608697849749975</c:v>
                </c:pt>
                <c:pt idx="8">
                  <c:v>5.7608657706249966</c:v>
                </c:pt>
                <c:pt idx="9">
                  <c:v>6.0626154049749994</c:v>
                </c:pt>
                <c:pt idx="10">
                  <c:v>6.5880900249749974</c:v>
                </c:pt>
                <c:pt idx="11">
                  <c:v>7.3372936449749968</c:v>
                </c:pt>
                <c:pt idx="12">
                  <c:v>8.3102262649749932</c:v>
                </c:pt>
                <c:pt idx="13">
                  <c:v>9.5068878849749971</c:v>
                </c:pt>
                <c:pt idx="14">
                  <c:v>10.927278504974996</c:v>
                </c:pt>
                <c:pt idx="15">
                  <c:v>12.571398124974994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EDF9-4C64-84C1-04FE6931A690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'ml1'!$C$76:$R$76</c:f>
              <c:numCache>
                <c:formatCode>#,##0.00</c:formatCode>
                <c:ptCount val="16"/>
                <c:pt idx="0">
                  <c:v>23.808070387277077</c:v>
                </c:pt>
                <c:pt idx="1">
                  <c:v>14.206851507277083</c:v>
                </c:pt>
                <c:pt idx="2">
                  <c:v>14.206851507277083</c:v>
                </c:pt>
                <c:pt idx="3">
                  <c:v>10.748616067277078</c:v>
                </c:pt>
                <c:pt idx="4">
                  <c:v>8.1852966272770846</c:v>
                </c:pt>
                <c:pt idx="5">
                  <c:v>6.5168931872770814</c:v>
                </c:pt>
                <c:pt idx="6">
                  <c:v>5.7434057472770821</c:v>
                </c:pt>
                <c:pt idx="7">
                  <c:v>5.864834307277083</c:v>
                </c:pt>
                <c:pt idx="8">
                  <c:v>5.8648282937270837</c:v>
                </c:pt>
                <c:pt idx="9">
                  <c:v>6.2611420872770838</c:v>
                </c:pt>
                <c:pt idx="10">
                  <c:v>6.8811788672770824</c:v>
                </c:pt>
                <c:pt idx="11">
                  <c:v>7.7249446472770842</c:v>
                </c:pt>
                <c:pt idx="12">
                  <c:v>8.7924394272770812</c:v>
                </c:pt>
                <c:pt idx="13">
                  <c:v>10.083663207277082</c:v>
                </c:pt>
                <c:pt idx="14">
                  <c:v>11.598615987277087</c:v>
                </c:pt>
                <c:pt idx="15">
                  <c:v>13.337297767277082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EDF9-4C64-84C1-04FE6931A690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'ml1'!$C$77:$R$77</c:f>
              <c:numCache>
                <c:formatCode>#,##0.00</c:formatCode>
                <c:ptCount val="16"/>
                <c:pt idx="0">
                  <c:v>22.62961609973334</c:v>
                </c:pt>
                <c:pt idx="1">
                  <c:v>13.406645859733334</c:v>
                </c:pt>
                <c:pt idx="2">
                  <c:v>13.406645859733334</c:v>
                </c:pt>
                <c:pt idx="3">
                  <c:v>10.137534739733329</c:v>
                </c:pt>
                <c:pt idx="4">
                  <c:v>7.7633396197333351</c:v>
                </c:pt>
                <c:pt idx="5">
                  <c:v>6.2840604997333305</c:v>
                </c:pt>
                <c:pt idx="6">
                  <c:v>5.6996973797333315</c:v>
                </c:pt>
                <c:pt idx="7">
                  <c:v>6.0102502597333309</c:v>
                </c:pt>
                <c:pt idx="8">
                  <c:v>6.0102422469833314</c:v>
                </c:pt>
                <c:pt idx="9">
                  <c:v>6.5011201997333323</c:v>
                </c:pt>
                <c:pt idx="10">
                  <c:v>7.2157191397333307</c:v>
                </c:pt>
                <c:pt idx="11">
                  <c:v>8.1540470797333313</c:v>
                </c:pt>
                <c:pt idx="12">
                  <c:v>9.3161040197333289</c:v>
                </c:pt>
                <c:pt idx="13">
                  <c:v>10.701889959733331</c:v>
                </c:pt>
                <c:pt idx="14">
                  <c:v>12.311404899733333</c:v>
                </c:pt>
                <c:pt idx="15">
                  <c:v>14.14464883973333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EDF9-4C64-84C1-04FE6931A690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'ml1'!$C$78:$R$78</c:f>
              <c:numCache>
                <c:formatCode>#,##0.00</c:formatCode>
                <c:ptCount val="16"/>
                <c:pt idx="0">
                  <c:v>21.492613242343754</c:v>
                </c:pt>
                <c:pt idx="1">
                  <c:v>12.647891642343746</c:v>
                </c:pt>
                <c:pt idx="2">
                  <c:v>12.647891642343746</c:v>
                </c:pt>
                <c:pt idx="3">
                  <c:v>9.5679048423437472</c:v>
                </c:pt>
                <c:pt idx="4">
                  <c:v>7.3828340423437497</c:v>
                </c:pt>
                <c:pt idx="5">
                  <c:v>6.0926792423437464</c:v>
                </c:pt>
                <c:pt idx="6">
                  <c:v>5.6974404423437459</c:v>
                </c:pt>
                <c:pt idx="7">
                  <c:v>6.1971176423437466</c:v>
                </c:pt>
                <c:pt idx="8">
                  <c:v>6.1971076303937469</c:v>
                </c:pt>
                <c:pt idx="9">
                  <c:v>6.7825497423437513</c:v>
                </c:pt>
                <c:pt idx="10">
                  <c:v>7.5917108423437485</c:v>
                </c:pt>
                <c:pt idx="11">
                  <c:v>8.6246009423437471</c:v>
                </c:pt>
                <c:pt idx="12">
                  <c:v>9.8812200423437435</c:v>
                </c:pt>
                <c:pt idx="13">
                  <c:v>11.361568142343751</c:v>
                </c:pt>
                <c:pt idx="14">
                  <c:v>13.06564524234375</c:v>
                </c:pt>
                <c:pt idx="15">
                  <c:v>14.993451342343743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EDF9-4C64-84C1-04FE6931A690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'ml1'!$C$79:$R$79</c:f>
              <c:numCache>
                <c:formatCode>#,##0.00</c:formatCode>
                <c:ptCount val="16"/>
                <c:pt idx="0">
                  <c:v>20.397061815108337</c:v>
                </c:pt>
                <c:pt idx="1">
                  <c:v>11.930588855108336</c:v>
                </c:pt>
                <c:pt idx="2">
                  <c:v>11.930588855108336</c:v>
                </c:pt>
                <c:pt idx="3">
                  <c:v>9.0397263751083319</c:v>
                </c:pt>
                <c:pt idx="4">
                  <c:v>7.0437798951083348</c:v>
                </c:pt>
                <c:pt idx="5">
                  <c:v>5.9427494151083327</c:v>
                </c:pt>
                <c:pt idx="6">
                  <c:v>5.7366349351083317</c:v>
                </c:pt>
                <c:pt idx="7">
                  <c:v>6.4254364551083327</c:v>
                </c:pt>
                <c:pt idx="8">
                  <c:v>6.4254244439583319</c:v>
                </c:pt>
                <c:pt idx="9">
                  <c:v>7.1054307151083336</c:v>
                </c:pt>
                <c:pt idx="10">
                  <c:v>8.0091539751083296</c:v>
                </c:pt>
                <c:pt idx="11">
                  <c:v>9.1366062351083315</c:v>
                </c:pt>
                <c:pt idx="12">
                  <c:v>10.48778749510833</c:v>
                </c:pt>
                <c:pt idx="13">
                  <c:v>12.062697755108331</c:v>
                </c:pt>
                <c:pt idx="14">
                  <c:v>13.861337015108335</c:v>
                </c:pt>
                <c:pt idx="15">
                  <c:v>15.883705275108328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EDF9-4C64-84C1-04FE6931A690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49685176"/>
        <c:axId val="249685568"/>
        <c:axId val="249681504"/>
      </c:surface3DChart>
      <c:catAx>
        <c:axId val="249685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85568"/>
        <c:crosses val="autoZero"/>
        <c:auto val="1"/>
        <c:lblAlgn val="ctr"/>
        <c:lblOffset val="100"/>
        <c:noMultiLvlLbl val="0"/>
      </c:catAx>
      <c:valAx>
        <c:axId val="24968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85176"/>
        <c:crosses val="autoZero"/>
        <c:crossBetween val="midCat"/>
      </c:valAx>
      <c:serAx>
        <c:axId val="249681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85568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'ml1'!$B$140:$B$142</c:f>
              <c:numCache>
                <c:formatCode>0.000</c:formatCode>
                <c:ptCount val="3"/>
                <c:pt idx="0">
                  <c:v>-0.20401337792642127</c:v>
                </c:pt>
                <c:pt idx="1">
                  <c:v>-0.3979933110367892</c:v>
                </c:pt>
                <c:pt idx="2">
                  <c:v>0.60200668896321075</c:v>
                </c:pt>
              </c:numCache>
            </c:numRef>
          </c:xVal>
          <c:yVal>
            <c:numRef>
              <c:f>'ml1'!$C$140:$C$142</c:f>
              <c:numCache>
                <c:formatCode>0.000</c:formatCode>
                <c:ptCount val="3"/>
                <c:pt idx="0">
                  <c:v>17.59</c:v>
                </c:pt>
                <c:pt idx="1">
                  <c:v>9.1300000000000008</c:v>
                </c:pt>
                <c:pt idx="2">
                  <c:v>13.66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316-47DE-8AB5-504FBD24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86352"/>
        <c:axId val="249686744"/>
      </c:scatterChart>
      <c:valAx>
        <c:axId val="24968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86744"/>
        <c:crosses val="autoZero"/>
        <c:crossBetween val="midCat"/>
      </c:valAx>
      <c:valAx>
        <c:axId val="24968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8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'ml1'!$I$168:$I$204</c:f>
              <c:numCache>
                <c:formatCode>0.00000</c:formatCode>
                <c:ptCount val="37"/>
                <c:pt idx="0">
                  <c:v>13.46</c:v>
                </c:pt>
                <c:pt idx="1">
                  <c:v>13.46</c:v>
                </c:pt>
                <c:pt idx="2">
                  <c:v>13.46</c:v>
                </c:pt>
                <c:pt idx="3">
                  <c:v>13.46</c:v>
                </c:pt>
                <c:pt idx="4">
                  <c:v>13.46</c:v>
                </c:pt>
                <c:pt idx="5">
                  <c:v>13.46</c:v>
                </c:pt>
                <c:pt idx="6">
                  <c:v>13.46</c:v>
                </c:pt>
                <c:pt idx="7">
                  <c:v>13.46</c:v>
                </c:pt>
                <c:pt idx="8">
                  <c:v>13.46</c:v>
                </c:pt>
                <c:pt idx="9">
                  <c:v>13.46</c:v>
                </c:pt>
                <c:pt idx="10">
                  <c:v>13.46</c:v>
                </c:pt>
                <c:pt idx="11">
                  <c:v>13.46</c:v>
                </c:pt>
                <c:pt idx="12">
                  <c:v>13.46</c:v>
                </c:pt>
                <c:pt idx="13">
                  <c:v>13.46</c:v>
                </c:pt>
                <c:pt idx="14">
                  <c:v>13.46</c:v>
                </c:pt>
                <c:pt idx="15">
                  <c:v>13.46</c:v>
                </c:pt>
                <c:pt idx="16">
                  <c:v>13.46</c:v>
                </c:pt>
                <c:pt idx="17">
                  <c:v>13.46</c:v>
                </c:pt>
                <c:pt idx="18">
                  <c:v>13.46</c:v>
                </c:pt>
                <c:pt idx="19">
                  <c:v>13.46</c:v>
                </c:pt>
                <c:pt idx="20">
                  <c:v>13.46</c:v>
                </c:pt>
                <c:pt idx="21">
                  <c:v>13.46</c:v>
                </c:pt>
                <c:pt idx="22">
                  <c:v>13.46</c:v>
                </c:pt>
                <c:pt idx="23">
                  <c:v>13.46</c:v>
                </c:pt>
                <c:pt idx="24">
                  <c:v>13.46</c:v>
                </c:pt>
                <c:pt idx="25">
                  <c:v>13.46</c:v>
                </c:pt>
                <c:pt idx="26">
                  <c:v>13.46</c:v>
                </c:pt>
                <c:pt idx="27">
                  <c:v>13.46</c:v>
                </c:pt>
                <c:pt idx="28">
                  <c:v>13.46</c:v>
                </c:pt>
                <c:pt idx="29">
                  <c:v>13.46</c:v>
                </c:pt>
                <c:pt idx="30">
                  <c:v>13.46</c:v>
                </c:pt>
                <c:pt idx="31">
                  <c:v>13.46</c:v>
                </c:pt>
                <c:pt idx="32">
                  <c:v>13.46</c:v>
                </c:pt>
                <c:pt idx="33">
                  <c:v>13.46</c:v>
                </c:pt>
                <c:pt idx="34">
                  <c:v>13.46</c:v>
                </c:pt>
                <c:pt idx="35">
                  <c:v>13.46</c:v>
                </c:pt>
                <c:pt idx="36">
                  <c:v>13.46</c:v>
                </c:pt>
              </c:numCache>
            </c:numRef>
          </c:xVal>
          <c:yVal>
            <c:numRef>
              <c:f>'ml1'!$J$168:$J$204</c:f>
              <c:numCache>
                <c:formatCode>0.00000</c:formatCode>
                <c:ptCount val="37"/>
                <c:pt idx="0">
                  <c:v>1.7789999999999999</c:v>
                </c:pt>
                <c:pt idx="1">
                  <c:v>1.7790190087359201</c:v>
                </c:pt>
                <c:pt idx="2">
                  <c:v>1.7790376611010095</c:v>
                </c:pt>
                <c:pt idx="3">
                  <c:v>1.7790559637764154</c:v>
                </c:pt>
                <c:pt idx="4">
                  <c:v>1.779073923318029</c:v>
                </c:pt>
                <c:pt idx="5">
                  <c:v>1.7790915461588335</c:v>
                </c:pt>
                <c:pt idx="6">
                  <c:v>1.7791088386112077</c:v>
                </c:pt>
                <c:pt idx="7">
                  <c:v>1.7791258068691882</c:v>
                </c:pt>
                <c:pt idx="8">
                  <c:v>1.7791424570106869</c:v>
                </c:pt>
                <c:pt idx="9">
                  <c:v>1.7791587949996686</c:v>
                </c:pt>
                <c:pt idx="10">
                  <c:v>1.7791748266882874</c:v>
                </c:pt>
                <c:pt idx="11">
                  <c:v>1.7791905578189831</c:v>
                </c:pt>
                <c:pt idx="12">
                  <c:v>1.779205994026537</c:v>
                </c:pt>
                <c:pt idx="13">
                  <c:v>1.7792211408400915</c:v>
                </c:pt>
                <c:pt idx="14">
                  <c:v>1.77923600368513</c:v>
                </c:pt>
                <c:pt idx="15">
                  <c:v>1.7792505878854201</c:v>
                </c:pt>
                <c:pt idx="16">
                  <c:v>1.7792648986649213</c:v>
                </c:pt>
                <c:pt idx="17">
                  <c:v>1.779278941149655</c:v>
                </c:pt>
                <c:pt idx="18">
                  <c:v>1.7792927203695419</c:v>
                </c:pt>
                <c:pt idx="19">
                  <c:v>1.7793062412602025</c:v>
                </c:pt>
                <c:pt idx="20">
                  <c:v>1.7793195086647262</c:v>
                </c:pt>
                <c:pt idx="21">
                  <c:v>1.7793325273354048</c:v>
                </c:pt>
                <c:pt idx="22">
                  <c:v>1.7793453019354357</c:v>
                </c:pt>
                <c:pt idx="23">
                  <c:v>1.779357837040592</c:v>
                </c:pt>
                <c:pt idx="24">
                  <c:v>1.7793701371408612</c:v>
                </c:pt>
                <c:pt idx="25">
                  <c:v>1.7793822066420537</c:v>
                </c:pt>
                <c:pt idx="26">
                  <c:v>1.7793940498673808</c:v>
                </c:pt>
                <c:pt idx="27">
                  <c:v>1.7794056710590038</c:v>
                </c:pt>
                <c:pt idx="28">
                  <c:v>1.7794170743795525</c:v>
                </c:pt>
                <c:pt idx="29">
                  <c:v>1.7794282639136172</c:v>
                </c:pt>
                <c:pt idx="30">
                  <c:v>1.779439243669211</c:v>
                </c:pt>
                <c:pt idx="31">
                  <c:v>1.7794500175792063</c:v>
                </c:pt>
                <c:pt idx="32">
                  <c:v>1.7794605895027427</c:v>
                </c:pt>
                <c:pt idx="33">
                  <c:v>1.7794709632266097</c:v>
                </c:pt>
                <c:pt idx="34">
                  <c:v>1.779481142466603</c:v>
                </c:pt>
                <c:pt idx="35">
                  <c:v>1.7794911308688559</c:v>
                </c:pt>
                <c:pt idx="36">
                  <c:v>1.7795009320111443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FE-48B8-8388-D472396A5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87528"/>
        <c:axId val="249687920"/>
      </c:scatterChart>
      <c:valAx>
        <c:axId val="24968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87920"/>
        <c:crosses val="autoZero"/>
        <c:crossBetween val="midCat"/>
      </c:valAx>
      <c:valAx>
        <c:axId val="24968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8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'ml1'!$C$146:$R$146</c:f>
              <c:numCache>
                <c:formatCode>#,##0.000</c:formatCode>
                <c:ptCount val="16"/>
                <c:pt idx="0">
                  <c:v>16.778285700526503</c:v>
                </c:pt>
                <c:pt idx="1">
                  <c:v>13.834247200526494</c:v>
                </c:pt>
                <c:pt idx="2">
                  <c:v>11.343137700526501</c:v>
                </c:pt>
                <c:pt idx="3">
                  <c:v>9.3049572005264913</c:v>
                </c:pt>
                <c:pt idx="4">
                  <c:v>7.7197057005264869</c:v>
                </c:pt>
                <c:pt idx="5">
                  <c:v>6.5873832005264905</c:v>
                </c:pt>
                <c:pt idx="6">
                  <c:v>5.907989700526489</c:v>
                </c:pt>
                <c:pt idx="7">
                  <c:v>5.6815252005264885</c:v>
                </c:pt>
                <c:pt idx="8">
                  <c:v>5.6815252005764894</c:v>
                </c:pt>
                <c:pt idx="9">
                  <c:v>5.9079897005264872</c:v>
                </c:pt>
                <c:pt idx="10">
                  <c:v>6.587383200526487</c:v>
                </c:pt>
                <c:pt idx="11">
                  <c:v>7.7197057005264869</c:v>
                </c:pt>
                <c:pt idx="12">
                  <c:v>9.3049572005264842</c:v>
                </c:pt>
                <c:pt idx="13">
                  <c:v>11.343137700526485</c:v>
                </c:pt>
                <c:pt idx="14">
                  <c:v>13.834247200526486</c:v>
                </c:pt>
                <c:pt idx="15">
                  <c:v>16.778285700526485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90C-4122-8C53-0C40510C5C9A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'ml1'!$C$147:$R$147</c:f>
              <c:numCache>
                <c:formatCode>#,##0.000</c:formatCode>
                <c:ptCount val="16"/>
                <c:pt idx="0">
                  <c:v>16.776987124307013</c:v>
                </c:pt>
                <c:pt idx="1">
                  <c:v>13.832948624307003</c:v>
                </c:pt>
                <c:pt idx="2">
                  <c:v>11.341839124307009</c:v>
                </c:pt>
                <c:pt idx="3">
                  <c:v>9.3036586243069976</c:v>
                </c:pt>
                <c:pt idx="4">
                  <c:v>7.718407124306994</c:v>
                </c:pt>
                <c:pt idx="5">
                  <c:v>6.5860846243069995</c:v>
                </c:pt>
                <c:pt idx="6">
                  <c:v>5.9066911243069962</c:v>
                </c:pt>
                <c:pt idx="7">
                  <c:v>5.6802266243069983</c:v>
                </c:pt>
                <c:pt idx="8">
                  <c:v>5.6802266243569983</c:v>
                </c:pt>
                <c:pt idx="9">
                  <c:v>5.9066911243069935</c:v>
                </c:pt>
                <c:pt idx="10">
                  <c:v>6.5860846243069968</c:v>
                </c:pt>
                <c:pt idx="11">
                  <c:v>7.718407124306994</c:v>
                </c:pt>
                <c:pt idx="12">
                  <c:v>9.3036586243069976</c:v>
                </c:pt>
                <c:pt idx="13">
                  <c:v>11.341839124306993</c:v>
                </c:pt>
                <c:pt idx="14">
                  <c:v>13.832948624306995</c:v>
                </c:pt>
                <c:pt idx="15">
                  <c:v>16.776987124306991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90C-4122-8C53-0C40510C5C9A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'ml1'!$C$148:$R$148</c:f>
              <c:numCache>
                <c:formatCode>#,##0.000</c:formatCode>
                <c:ptCount val="16"/>
                <c:pt idx="0">
                  <c:v>16.775925882547106</c:v>
                </c:pt>
                <c:pt idx="1">
                  <c:v>13.831887382547094</c:v>
                </c:pt>
                <c:pt idx="2">
                  <c:v>11.340777882547101</c:v>
                </c:pt>
                <c:pt idx="3">
                  <c:v>9.3025973825470931</c:v>
                </c:pt>
                <c:pt idx="4">
                  <c:v>7.7173458825470904</c:v>
                </c:pt>
                <c:pt idx="5">
                  <c:v>6.5850233825470958</c:v>
                </c:pt>
                <c:pt idx="6">
                  <c:v>5.9056298825470934</c:v>
                </c:pt>
                <c:pt idx="7">
                  <c:v>5.6791653825470938</c:v>
                </c:pt>
                <c:pt idx="8">
                  <c:v>5.6791653825970929</c:v>
                </c:pt>
                <c:pt idx="9">
                  <c:v>5.9056298825470934</c:v>
                </c:pt>
                <c:pt idx="10">
                  <c:v>6.5850233825470923</c:v>
                </c:pt>
                <c:pt idx="11">
                  <c:v>7.7173458825470913</c:v>
                </c:pt>
                <c:pt idx="12">
                  <c:v>9.3025973825470913</c:v>
                </c:pt>
                <c:pt idx="13">
                  <c:v>11.340777882547091</c:v>
                </c:pt>
                <c:pt idx="14">
                  <c:v>13.831887382547091</c:v>
                </c:pt>
                <c:pt idx="15">
                  <c:v>16.775925882547089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90C-4122-8C53-0C40510C5C9A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'ml1'!$C$149:$R$149</c:f>
              <c:numCache>
                <c:formatCode>#,##0.000</c:formatCode>
                <c:ptCount val="16"/>
                <c:pt idx="0">
                  <c:v>16.775101975246788</c:v>
                </c:pt>
                <c:pt idx="1">
                  <c:v>13.831063475246779</c:v>
                </c:pt>
                <c:pt idx="2">
                  <c:v>11.339953975246786</c:v>
                </c:pt>
                <c:pt idx="3">
                  <c:v>9.3017734752467796</c:v>
                </c:pt>
                <c:pt idx="4">
                  <c:v>7.7165219752467742</c:v>
                </c:pt>
                <c:pt idx="5">
                  <c:v>6.5841994752467814</c:v>
                </c:pt>
                <c:pt idx="6">
                  <c:v>5.9048059752467781</c:v>
                </c:pt>
                <c:pt idx="7">
                  <c:v>5.6783414752467767</c:v>
                </c:pt>
                <c:pt idx="8">
                  <c:v>5.6783414752967767</c:v>
                </c:pt>
                <c:pt idx="9">
                  <c:v>5.9048059752467754</c:v>
                </c:pt>
                <c:pt idx="10">
                  <c:v>6.584199475246777</c:v>
                </c:pt>
                <c:pt idx="11">
                  <c:v>7.7165219752467751</c:v>
                </c:pt>
                <c:pt idx="12">
                  <c:v>9.3017734752467724</c:v>
                </c:pt>
                <c:pt idx="13">
                  <c:v>11.339953975246772</c:v>
                </c:pt>
                <c:pt idx="14">
                  <c:v>13.831063475246774</c:v>
                </c:pt>
                <c:pt idx="15">
                  <c:v>16.775101975246773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90C-4122-8C53-0C40510C5C9A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'ml1'!$C$150:$R$150</c:f>
              <c:numCache>
                <c:formatCode>#,##0.000</c:formatCode>
                <c:ptCount val="16"/>
                <c:pt idx="0">
                  <c:v>16.774515402406067</c:v>
                </c:pt>
                <c:pt idx="1">
                  <c:v>13.830476902406057</c:v>
                </c:pt>
                <c:pt idx="2">
                  <c:v>11.339367402406062</c:v>
                </c:pt>
                <c:pt idx="3">
                  <c:v>9.3011869024060516</c:v>
                </c:pt>
                <c:pt idx="4">
                  <c:v>7.7159354024060463</c:v>
                </c:pt>
                <c:pt idx="5">
                  <c:v>6.5836129024060499</c:v>
                </c:pt>
                <c:pt idx="6">
                  <c:v>5.9042194024060475</c:v>
                </c:pt>
                <c:pt idx="7">
                  <c:v>5.677754902406047</c:v>
                </c:pt>
                <c:pt idx="8">
                  <c:v>5.6777549024560461</c:v>
                </c:pt>
                <c:pt idx="9">
                  <c:v>5.9042194024060457</c:v>
                </c:pt>
                <c:pt idx="10">
                  <c:v>6.5836129024060455</c:v>
                </c:pt>
                <c:pt idx="11">
                  <c:v>7.7159354024060436</c:v>
                </c:pt>
                <c:pt idx="12">
                  <c:v>9.3011869024060445</c:v>
                </c:pt>
                <c:pt idx="13">
                  <c:v>11.339367402406042</c:v>
                </c:pt>
                <c:pt idx="14">
                  <c:v>13.830476902406042</c:v>
                </c:pt>
                <c:pt idx="15">
                  <c:v>16.774515402406042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90C-4122-8C53-0C40510C5C9A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'ml1'!$C$151:$R$151</c:f>
              <c:numCache>
                <c:formatCode>#,##0.000</c:formatCode>
                <c:ptCount val="16"/>
                <c:pt idx="0">
                  <c:v>16.774166164024916</c:v>
                </c:pt>
                <c:pt idx="1">
                  <c:v>13.830127664024907</c:v>
                </c:pt>
                <c:pt idx="2">
                  <c:v>11.33901816402491</c:v>
                </c:pt>
                <c:pt idx="3">
                  <c:v>9.3008376640249075</c:v>
                </c:pt>
                <c:pt idx="4">
                  <c:v>7.7155861640249022</c:v>
                </c:pt>
                <c:pt idx="5">
                  <c:v>6.5832636640249103</c:v>
                </c:pt>
                <c:pt idx="6">
                  <c:v>5.9038701640249069</c:v>
                </c:pt>
                <c:pt idx="7">
                  <c:v>5.6774056640249073</c:v>
                </c:pt>
                <c:pt idx="8">
                  <c:v>5.6774056640749055</c:v>
                </c:pt>
                <c:pt idx="9">
                  <c:v>5.9038701640249061</c:v>
                </c:pt>
                <c:pt idx="10">
                  <c:v>6.5832636640249058</c:v>
                </c:pt>
                <c:pt idx="11">
                  <c:v>7.7155861640249057</c:v>
                </c:pt>
                <c:pt idx="12">
                  <c:v>9.300837664024904</c:v>
                </c:pt>
                <c:pt idx="13">
                  <c:v>11.339018164024907</c:v>
                </c:pt>
                <c:pt idx="14">
                  <c:v>13.830127664024904</c:v>
                </c:pt>
                <c:pt idx="15">
                  <c:v>16.774166164024905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90C-4122-8C53-0C40510C5C9A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'ml1'!$C$152:$R$152</c:f>
              <c:numCache>
                <c:formatCode>#,##0.000</c:formatCode>
                <c:ptCount val="16"/>
                <c:pt idx="0">
                  <c:v>16.77405426010337</c:v>
                </c:pt>
                <c:pt idx="1">
                  <c:v>13.830015760103359</c:v>
                </c:pt>
                <c:pt idx="2">
                  <c:v>11.338906260103364</c:v>
                </c:pt>
                <c:pt idx="3">
                  <c:v>9.3007257601033579</c:v>
                </c:pt>
                <c:pt idx="4">
                  <c:v>7.7154742601033526</c:v>
                </c:pt>
                <c:pt idx="5">
                  <c:v>6.5831517601033571</c:v>
                </c:pt>
                <c:pt idx="6">
                  <c:v>5.9037582601033538</c:v>
                </c:pt>
                <c:pt idx="7">
                  <c:v>5.6772937601033533</c:v>
                </c:pt>
                <c:pt idx="8">
                  <c:v>5.6772937601533542</c:v>
                </c:pt>
                <c:pt idx="9">
                  <c:v>5.9037582601033529</c:v>
                </c:pt>
                <c:pt idx="10">
                  <c:v>6.5831517601033527</c:v>
                </c:pt>
                <c:pt idx="11">
                  <c:v>7.7154742601033526</c:v>
                </c:pt>
                <c:pt idx="12">
                  <c:v>9.3007257601033508</c:v>
                </c:pt>
                <c:pt idx="13">
                  <c:v>11.338906260103352</c:v>
                </c:pt>
                <c:pt idx="14">
                  <c:v>13.83001576010335</c:v>
                </c:pt>
                <c:pt idx="15">
                  <c:v>16.774054260103348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90C-4122-8C53-0C40510C5C9A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'ml1'!$C$153:$R$153</c:f>
              <c:numCache>
                <c:formatCode>#,##0.000</c:formatCode>
                <c:ptCount val="16"/>
                <c:pt idx="0">
                  <c:v>16.774054258211862</c:v>
                </c:pt>
                <c:pt idx="1">
                  <c:v>13.830015758211852</c:v>
                </c:pt>
                <c:pt idx="2">
                  <c:v>11.338906258211859</c:v>
                </c:pt>
                <c:pt idx="3">
                  <c:v>9.3007257582118559</c:v>
                </c:pt>
                <c:pt idx="4">
                  <c:v>7.7154742582118523</c:v>
                </c:pt>
                <c:pt idx="5">
                  <c:v>6.5831517582118586</c:v>
                </c:pt>
                <c:pt idx="6">
                  <c:v>5.9037582582118553</c:v>
                </c:pt>
                <c:pt idx="7">
                  <c:v>5.6772937582118539</c:v>
                </c:pt>
                <c:pt idx="8">
                  <c:v>5.6772937582618548</c:v>
                </c:pt>
                <c:pt idx="9">
                  <c:v>5.9037582582118535</c:v>
                </c:pt>
                <c:pt idx="10">
                  <c:v>6.5831517582118524</c:v>
                </c:pt>
                <c:pt idx="11">
                  <c:v>7.7154742582118523</c:v>
                </c:pt>
                <c:pt idx="12">
                  <c:v>9.3007257582118505</c:v>
                </c:pt>
                <c:pt idx="13">
                  <c:v>11.338906258211852</c:v>
                </c:pt>
                <c:pt idx="14">
                  <c:v>13.83001575821185</c:v>
                </c:pt>
                <c:pt idx="15">
                  <c:v>16.774054258211848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390C-4122-8C53-0C40510C5C9A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'ml1'!$C$154:$R$154</c:f>
              <c:numCache>
                <c:formatCode>#,##0.000</c:formatCode>
                <c:ptCount val="16"/>
                <c:pt idx="0">
                  <c:v>16.774087308564937</c:v>
                </c:pt>
                <c:pt idx="1">
                  <c:v>13.830048808564928</c:v>
                </c:pt>
                <c:pt idx="2">
                  <c:v>11.338939308564933</c:v>
                </c:pt>
                <c:pt idx="3">
                  <c:v>9.3007588085649235</c:v>
                </c:pt>
                <c:pt idx="4">
                  <c:v>7.7155073085649182</c:v>
                </c:pt>
                <c:pt idx="5">
                  <c:v>6.5831848085649236</c:v>
                </c:pt>
                <c:pt idx="6">
                  <c:v>5.9037913085649203</c:v>
                </c:pt>
                <c:pt idx="7">
                  <c:v>5.6773268085649189</c:v>
                </c:pt>
                <c:pt idx="8">
                  <c:v>5.6773268086149198</c:v>
                </c:pt>
                <c:pt idx="9">
                  <c:v>5.9037913085649203</c:v>
                </c:pt>
                <c:pt idx="10">
                  <c:v>6.5831848085649201</c:v>
                </c:pt>
                <c:pt idx="11">
                  <c:v>7.71550730856492</c:v>
                </c:pt>
                <c:pt idx="12">
                  <c:v>9.3007588085649182</c:v>
                </c:pt>
                <c:pt idx="13">
                  <c:v>11.338939308564919</c:v>
                </c:pt>
                <c:pt idx="14">
                  <c:v>13.830048808564918</c:v>
                </c:pt>
                <c:pt idx="15">
                  <c:v>16.774087308564919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90C-4122-8C53-0C40510C5C9A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'ml1'!$C$155:$R$155</c:f>
              <c:numCache>
                <c:formatCode>#,##0.000</c:formatCode>
                <c:ptCount val="16"/>
                <c:pt idx="0">
                  <c:v>16.774179690641393</c:v>
                </c:pt>
                <c:pt idx="1">
                  <c:v>13.830141190641385</c:v>
                </c:pt>
                <c:pt idx="2">
                  <c:v>11.339031690641391</c:v>
                </c:pt>
                <c:pt idx="3">
                  <c:v>9.3008511906413887</c:v>
                </c:pt>
                <c:pt idx="4">
                  <c:v>7.7155996906413833</c:v>
                </c:pt>
                <c:pt idx="5">
                  <c:v>6.5832771906413914</c:v>
                </c:pt>
                <c:pt idx="6">
                  <c:v>5.9038836906413872</c:v>
                </c:pt>
                <c:pt idx="7">
                  <c:v>5.6774191906413858</c:v>
                </c:pt>
                <c:pt idx="8">
                  <c:v>5.6774191906913858</c:v>
                </c:pt>
                <c:pt idx="9">
                  <c:v>5.9038836906413863</c:v>
                </c:pt>
                <c:pt idx="10">
                  <c:v>6.5832771906413861</c:v>
                </c:pt>
                <c:pt idx="11">
                  <c:v>7.7155996906413851</c:v>
                </c:pt>
                <c:pt idx="12">
                  <c:v>9.3008511906413833</c:v>
                </c:pt>
                <c:pt idx="13">
                  <c:v>11.339031690641384</c:v>
                </c:pt>
                <c:pt idx="14">
                  <c:v>13.830141190641381</c:v>
                </c:pt>
                <c:pt idx="15">
                  <c:v>16.774179690641382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390C-4122-8C53-0C40510C5C9A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'ml1'!$C$156:$R$156</c:f>
              <c:numCache>
                <c:formatCode>#,##0.000</c:formatCode>
                <c:ptCount val="16"/>
                <c:pt idx="0">
                  <c:v>16.774331406332763</c:v>
                </c:pt>
                <c:pt idx="1">
                  <c:v>13.830292906332753</c:v>
                </c:pt>
                <c:pt idx="2">
                  <c:v>11.33918340633276</c:v>
                </c:pt>
                <c:pt idx="3">
                  <c:v>9.3010029063327551</c:v>
                </c:pt>
                <c:pt idx="4">
                  <c:v>7.7157514063327506</c:v>
                </c:pt>
                <c:pt idx="5">
                  <c:v>6.5834289063327533</c:v>
                </c:pt>
                <c:pt idx="6">
                  <c:v>5.90403540633275</c:v>
                </c:pt>
                <c:pt idx="7">
                  <c:v>5.6775709063327486</c:v>
                </c:pt>
                <c:pt idx="8">
                  <c:v>5.6775709063827495</c:v>
                </c:pt>
                <c:pt idx="9">
                  <c:v>5.9040354063327474</c:v>
                </c:pt>
                <c:pt idx="10">
                  <c:v>6.5834289063327489</c:v>
                </c:pt>
                <c:pt idx="11">
                  <c:v>7.715751406332747</c:v>
                </c:pt>
                <c:pt idx="12">
                  <c:v>9.3010029063327462</c:v>
                </c:pt>
                <c:pt idx="13">
                  <c:v>11.339183406332745</c:v>
                </c:pt>
                <c:pt idx="14">
                  <c:v>13.830292906332746</c:v>
                </c:pt>
                <c:pt idx="15">
                  <c:v>16.774331406332742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390C-4122-8C53-0C40510C5C9A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'ml1'!$C$157:$R$157</c:f>
              <c:numCache>
                <c:formatCode>#,##0.000</c:formatCode>
                <c:ptCount val="16"/>
                <c:pt idx="0">
                  <c:v>16.774542455639022</c:v>
                </c:pt>
                <c:pt idx="1">
                  <c:v>13.830503955639013</c:v>
                </c:pt>
                <c:pt idx="2">
                  <c:v>11.339394455639018</c:v>
                </c:pt>
                <c:pt idx="3">
                  <c:v>9.3012139556390121</c:v>
                </c:pt>
                <c:pt idx="4">
                  <c:v>7.7159624556390085</c:v>
                </c:pt>
                <c:pt idx="5">
                  <c:v>6.5836399556390131</c:v>
                </c:pt>
                <c:pt idx="6">
                  <c:v>5.9042464556390115</c:v>
                </c:pt>
                <c:pt idx="7">
                  <c:v>5.6777819556390101</c:v>
                </c:pt>
                <c:pt idx="8">
                  <c:v>5.6777819556890101</c:v>
                </c:pt>
                <c:pt idx="9">
                  <c:v>5.9042464556390089</c:v>
                </c:pt>
                <c:pt idx="10">
                  <c:v>6.5836399556390086</c:v>
                </c:pt>
                <c:pt idx="11">
                  <c:v>7.7159624556390094</c:v>
                </c:pt>
                <c:pt idx="12">
                  <c:v>9.3012139556390085</c:v>
                </c:pt>
                <c:pt idx="13">
                  <c:v>11.33939445563901</c:v>
                </c:pt>
                <c:pt idx="14">
                  <c:v>13.83050395563901</c:v>
                </c:pt>
                <c:pt idx="15">
                  <c:v>16.774542455639008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90C-4122-8C53-0C40510C5C9A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'ml1'!$C$158:$R$158</c:f>
              <c:numCache>
                <c:formatCode>#,##0.000</c:formatCode>
                <c:ptCount val="16"/>
                <c:pt idx="0">
                  <c:v>16.77481283856018</c:v>
                </c:pt>
                <c:pt idx="1">
                  <c:v>13.83077433856017</c:v>
                </c:pt>
                <c:pt idx="2">
                  <c:v>11.339664838560175</c:v>
                </c:pt>
                <c:pt idx="3">
                  <c:v>9.3014843385601687</c:v>
                </c:pt>
                <c:pt idx="4">
                  <c:v>7.7162328385601633</c:v>
                </c:pt>
                <c:pt idx="5">
                  <c:v>6.5839103385601696</c:v>
                </c:pt>
                <c:pt idx="6">
                  <c:v>5.9045168385601663</c:v>
                </c:pt>
                <c:pt idx="7">
                  <c:v>5.6780523385601658</c:v>
                </c:pt>
                <c:pt idx="8">
                  <c:v>5.6780523386101667</c:v>
                </c:pt>
                <c:pt idx="9">
                  <c:v>5.9045168385601663</c:v>
                </c:pt>
                <c:pt idx="10">
                  <c:v>6.5839103385601661</c:v>
                </c:pt>
                <c:pt idx="11">
                  <c:v>7.7162328385601651</c:v>
                </c:pt>
                <c:pt idx="12">
                  <c:v>9.3014843385601651</c:v>
                </c:pt>
                <c:pt idx="13">
                  <c:v>11.339664838560164</c:v>
                </c:pt>
                <c:pt idx="14">
                  <c:v>13.830774338560165</c:v>
                </c:pt>
                <c:pt idx="15">
                  <c:v>16.774812838560166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90C-4122-8C53-0C40510C5C9A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'ml1'!$C$159:$R$159</c:f>
              <c:numCache>
                <c:formatCode>#,##0.000</c:formatCode>
                <c:ptCount val="16"/>
                <c:pt idx="0">
                  <c:v>16.775142555096231</c:v>
                </c:pt>
                <c:pt idx="1">
                  <c:v>13.831104055096223</c:v>
                </c:pt>
                <c:pt idx="2">
                  <c:v>11.339994555096228</c:v>
                </c:pt>
                <c:pt idx="3">
                  <c:v>9.3018140550962212</c:v>
                </c:pt>
                <c:pt idx="4">
                  <c:v>7.7165625550962176</c:v>
                </c:pt>
                <c:pt idx="5">
                  <c:v>6.5842400550962248</c:v>
                </c:pt>
                <c:pt idx="6">
                  <c:v>5.9048465550962215</c:v>
                </c:pt>
                <c:pt idx="7">
                  <c:v>5.6783820550962201</c:v>
                </c:pt>
                <c:pt idx="8">
                  <c:v>5.678382055146221</c:v>
                </c:pt>
                <c:pt idx="9">
                  <c:v>5.9048465550962188</c:v>
                </c:pt>
                <c:pt idx="10">
                  <c:v>6.5842400550962203</c:v>
                </c:pt>
                <c:pt idx="11">
                  <c:v>7.7165625550962185</c:v>
                </c:pt>
                <c:pt idx="12">
                  <c:v>9.3018140550962176</c:v>
                </c:pt>
                <c:pt idx="13">
                  <c:v>11.339994555096215</c:v>
                </c:pt>
                <c:pt idx="14">
                  <c:v>13.831104055096215</c:v>
                </c:pt>
                <c:pt idx="15">
                  <c:v>16.775142555096213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90C-4122-8C53-0C40510C5C9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49688704"/>
        <c:axId val="249689096"/>
        <c:axId val="251567400"/>
      </c:surface3DChart>
      <c:catAx>
        <c:axId val="2496887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89096"/>
        <c:crosses val="autoZero"/>
        <c:auto val="1"/>
        <c:lblAlgn val="ctr"/>
        <c:lblOffset val="100"/>
        <c:noMultiLvlLbl val="0"/>
      </c:catAx>
      <c:valAx>
        <c:axId val="24968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88704"/>
        <c:crosses val="autoZero"/>
        <c:crossBetween val="midCat"/>
      </c:valAx>
      <c:serAx>
        <c:axId val="2515674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89096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1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'ml2'!$B$6:$B$9</c:f>
              <c:numCache>
                <c:formatCode>General</c:formatCode>
                <c:ptCount val="4"/>
                <c:pt idx="0">
                  <c:v>34</c:v>
                </c:pt>
                <c:pt idx="1">
                  <c:v>30</c:v>
                </c:pt>
                <c:pt idx="2">
                  <c:v>60</c:v>
                </c:pt>
                <c:pt idx="3">
                  <c:v>79</c:v>
                </c:pt>
              </c:numCache>
            </c:numRef>
          </c:xVal>
          <c:yVal>
            <c:numRef>
              <c:f>'ml2'!$C$6:$C$9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90272"/>
        <c:axId val="249690664"/>
      </c:scatterChart>
      <c:scatterChart>
        <c:scatterStyle val="smoothMarker"/>
        <c:varyColors val="0"/>
        <c:ser>
          <c:idx val="1"/>
          <c:order val="0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'ml2'!$K$52:$K$60</c:f>
              <c:numCache>
                <c:formatCode>General</c:formatCode>
                <c:ptCount val="9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</c:numCache>
            </c:numRef>
          </c:xVal>
          <c:yVal>
            <c:numRef>
              <c:f>'ml2'!$L$52:$L$60</c:f>
              <c:numCache>
                <c:formatCode>0.00000</c:formatCode>
                <c:ptCount val="9"/>
                <c:pt idx="0">
                  <c:v>2.7822663632748764E-9</c:v>
                </c:pt>
                <c:pt idx="1">
                  <c:v>7.1570288892796142E-7</c:v>
                </c:pt>
                <c:pt idx="2">
                  <c:v>1.8407190496342495E-4</c:v>
                </c:pt>
                <c:pt idx="3">
                  <c:v>4.5217473483287612E-2</c:v>
                </c:pt>
                <c:pt idx="4">
                  <c:v>0.92414181997875688</c:v>
                </c:pt>
                <c:pt idx="5">
                  <c:v>0.99968099987107306</c:v>
                </c:pt>
                <c:pt idx="6">
                  <c:v>0.99999875950645889</c:v>
                </c:pt>
                <c:pt idx="7">
                  <c:v>0.99999999517762839</c:v>
                </c:pt>
                <c:pt idx="8">
                  <c:v>0.99999999998125322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316-47DE-8AB5-504FBD24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90272"/>
        <c:axId val="249690664"/>
      </c:scatterChart>
      <c:valAx>
        <c:axId val="24969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90664"/>
        <c:crosses val="autoZero"/>
        <c:crossBetween val="midCat"/>
      </c:valAx>
      <c:valAx>
        <c:axId val="24969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9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0"/>
      <c:rotY val="1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v>th0_0.2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val>
            <c:numRef>
              <c:f>'ml2'!$C$14:$C$25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0.11296135683607543</c:v>
                </c:pt>
                <c:pt idx="3">
                  <c:v>3.1900007314379488</c:v>
                </c:pt>
                <c:pt idx="4">
                  <c:v>6.8079663822170229</c:v>
                </c:pt>
                <c:pt idx="5">
                  <c:v>14.427500002792591</c:v>
                </c:pt>
                <c:pt idx="6">
                  <c:v>14.423642752817191</c:v>
                </c:pt>
                <c:pt idx="7">
                  <c:v>22.141999999999996</c:v>
                </c:pt>
                <c:pt idx="8">
                  <c:v>29.856499999999997</c:v>
                </c:pt>
                <c:pt idx="9">
                  <c:v>37.570999999999998</c:v>
                </c:pt>
                <c:pt idx="10">
                  <c:v>45.285499999999999</c:v>
                </c:pt>
                <c:pt idx="11">
                  <c:v>49.142749999999999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CDD-4E15-8869-C2741D2F8F83}"/>
            </c:ext>
          </c:extLst>
        </c:ser>
        <c:ser>
          <c:idx val="1"/>
          <c:order val="1"/>
          <c:tx>
            <c:v>th0_0.18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val>
            <c:numRef>
              <c:f>'ml2'!$D$14:$D$25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0.56728648769617462</c:v>
                </c:pt>
                <c:pt idx="4">
                  <c:v>3.8700135270809533</c:v>
                </c:pt>
                <c:pt idx="5">
                  <c:v>9.1276120552528468</c:v>
                </c:pt>
                <c:pt idx="6">
                  <c:v>9.123755791963152</c:v>
                </c:pt>
                <c:pt idx="7">
                  <c:v>16.842000000002706</c:v>
                </c:pt>
                <c:pt idx="8">
                  <c:v>24.5565</c:v>
                </c:pt>
                <c:pt idx="9">
                  <c:v>32.271000000000001</c:v>
                </c:pt>
                <c:pt idx="10">
                  <c:v>39.985500000000002</c:v>
                </c:pt>
                <c:pt idx="11">
                  <c:v>43.842750000000002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CDD-4E15-8869-C2741D2F8F83}"/>
            </c:ext>
          </c:extLst>
        </c:ser>
        <c:ser>
          <c:idx val="2"/>
          <c:order val="2"/>
          <c:tx>
            <c:v>th0_0.16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val>
            <c:numRef>
              <c:f>'ml2'!$E$14:$E$25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1.2218920758463048</c:v>
                </c:pt>
                <c:pt idx="5">
                  <c:v>4.5635217008476259</c:v>
                </c:pt>
                <c:pt idx="6">
                  <c:v>4.5617417568188285</c:v>
                </c:pt>
                <c:pt idx="7">
                  <c:v>11.542000108741261</c:v>
                </c:pt>
                <c:pt idx="8">
                  <c:v>19.256500000000006</c:v>
                </c:pt>
                <c:pt idx="9">
                  <c:v>26.971000000000004</c:v>
                </c:pt>
                <c:pt idx="10">
                  <c:v>34.685500000000005</c:v>
                </c:pt>
                <c:pt idx="11">
                  <c:v>38.542750000000005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CDD-4E15-8869-C2741D2F8F83}"/>
            </c:ext>
          </c:extLst>
        </c:ser>
        <c:ser>
          <c:idx val="3"/>
          <c:order val="3"/>
          <c:tx>
            <c:v>n4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val>
            <c:numRef>
              <c:f>'ml2'!$F$14:$F$25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8.1858609535303986E-4</c:v>
                </c:pt>
                <c:pt idx="5">
                  <c:v>1.9001254277464654</c:v>
                </c:pt>
                <c:pt idx="6">
                  <c:v>1.8984612603370048</c:v>
                </c:pt>
                <c:pt idx="7">
                  <c:v>6.246326656928761</c:v>
                </c:pt>
                <c:pt idx="8">
                  <c:v>13.956500000105494</c:v>
                </c:pt>
                <c:pt idx="9">
                  <c:v>21.670999999999992</c:v>
                </c:pt>
                <c:pt idx="10">
                  <c:v>29.385499999999993</c:v>
                </c:pt>
                <c:pt idx="11">
                  <c:v>33.242749999999994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CDD-4E15-8869-C2741D2F8F83}"/>
            </c:ext>
          </c:extLst>
        </c:ser>
        <c:ser>
          <c:idx val="4"/>
          <c:order val="4"/>
          <c:tx>
            <c:v>n5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val>
            <c:numRef>
              <c:f>'ml2'!$G$14:$G$25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1.2146837903547409E-2</c:v>
                </c:pt>
                <c:pt idx="6">
                  <c:v>1.2068123801721247E-2</c:v>
                </c:pt>
                <c:pt idx="7">
                  <c:v>2.5803648018080967</c:v>
                </c:pt>
                <c:pt idx="8">
                  <c:v>8.6565042342699243</c:v>
                </c:pt>
                <c:pt idx="9">
                  <c:v>16.371000000000098</c:v>
                </c:pt>
                <c:pt idx="10">
                  <c:v>24.085499999999996</c:v>
                </c:pt>
                <c:pt idx="11">
                  <c:v>27.942749999999997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CDD-4E15-8869-C2741D2F8F83}"/>
            </c:ext>
          </c:extLst>
        </c:ser>
        <c:ser>
          <c:idx val="5"/>
          <c:order val="5"/>
          <c:tx>
            <c:v>n6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val>
            <c:numRef>
              <c:f>'ml2'!$H$14:$H$25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3.6978575484562638E-7</c:v>
                </c:pt>
                <c:pt idx="6">
                  <c:v>3.6795247621116234E-7</c:v>
                </c:pt>
                <c:pt idx="7">
                  <c:v>0.14072884231245675</c:v>
                </c:pt>
                <c:pt idx="8">
                  <c:v>3.4861648409817572</c:v>
                </c:pt>
                <c:pt idx="9">
                  <c:v>11.071000004109033</c:v>
                </c:pt>
                <c:pt idx="10">
                  <c:v>18.785499999999999</c:v>
                </c:pt>
                <c:pt idx="11">
                  <c:v>22.642749999999999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CDD-4E15-8869-C2741D2F8F83}"/>
            </c:ext>
          </c:extLst>
        </c:ser>
        <c:ser>
          <c:idx val="6"/>
          <c:order val="6"/>
          <c:tx>
            <c:v>n7</c:v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'ml2'!$J$14:$J$25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5.9910897328331261E-6</c:v>
                </c:pt>
                <c:pt idx="8">
                  <c:v>0.63090155757992361</c:v>
                </c:pt>
                <c:pt idx="9">
                  <c:v>5.7711648611318704</c:v>
                </c:pt>
                <c:pt idx="10">
                  <c:v>13.485500000004047</c:v>
                </c:pt>
                <c:pt idx="11">
                  <c:v>17.342750000000002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CDD-4E15-8869-C2741D2F8F83}"/>
            </c:ext>
          </c:extLst>
        </c:ser>
        <c:ser>
          <c:idx val="7"/>
          <c:order val="7"/>
          <c:tx>
            <c:v>n8</c:v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'ml2'!$K$14:$K$25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9.9689301568554674E-5</c:v>
                </c:pt>
                <c:pt idx="9">
                  <c:v>1.300702066334908</c:v>
                </c:pt>
                <c:pt idx="10">
                  <c:v>8.1855001623339447</c:v>
                </c:pt>
                <c:pt idx="11">
                  <c:v>12.042750000028164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CDD-4E15-8869-C2741D2F8F83}"/>
            </c:ext>
          </c:extLst>
        </c:ser>
        <c:ser>
          <c:idx val="8"/>
          <c:order val="8"/>
          <c:tx>
            <c:v>n9</c:v>
          </c:tx>
          <c:spPr>
            <a:ln w="254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'ml2'!$L$14:$L$25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0.478638542319134</c:v>
                </c:pt>
                <c:pt idx="9">
                  <c:v>1.7351551007812127E-3</c:v>
                </c:pt>
                <c:pt idx="10">
                  <c:v>2.8919341756569845</c:v>
                </c:pt>
                <c:pt idx="11">
                  <c:v>6.7427511304544776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CDD-4E15-8869-C2741D2F8F83}"/>
            </c:ext>
          </c:extLst>
        </c:ser>
        <c:ser>
          <c:idx val="9"/>
          <c:order val="9"/>
          <c:tx>
            <c:v>n10</c:v>
          </c:tx>
          <c:spPr>
            <a:ln w="254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'ml2'!$M$14:$M$25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1.8227219288730716</c:v>
                </c:pt>
                <c:pt idx="10">
                  <c:v>3.2552104275205718E-2</c:v>
                </c:pt>
                <c:pt idx="11">
                  <c:v>1.4851700683550872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7CDD-4E15-8869-C2741D2F8F83}"/>
            </c:ext>
          </c:extLst>
        </c:ser>
        <c:ser>
          <c:idx val="10"/>
          <c:order val="10"/>
          <c:tx>
            <c:v>n11</c:v>
          </c:tx>
          <c:spPr>
            <a:ln w="254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'ml2'!$N$14:$N$25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4.4540961097034959</c:v>
                </c:pt>
                <c:pt idx="10">
                  <c:v>0.98429726632708792</c:v>
                </c:pt>
                <c:pt idx="11">
                  <c:v>0.14660074616094843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7CDD-4E15-8869-C2741D2F8F83}"/>
            </c:ext>
          </c:extLst>
        </c:ser>
        <c:bandFmts>
          <c:bandFmt>
            <c:idx val="0"/>
            <c:spPr>
              <a:ln w="25400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25400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25400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25400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25400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25400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25400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25400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25400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25400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25400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25400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25400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25400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49691448"/>
        <c:axId val="249691840"/>
        <c:axId val="407381680"/>
      </c:surface3DChart>
      <c:catAx>
        <c:axId val="2496914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91840"/>
        <c:crosses val="autoZero"/>
        <c:auto val="1"/>
        <c:lblAlgn val="ctr"/>
        <c:lblOffset val="100"/>
        <c:noMultiLvlLbl val="0"/>
      </c:catAx>
      <c:valAx>
        <c:axId val="249691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91448"/>
        <c:crosses val="autoZero"/>
        <c:crossBetween val="midCat"/>
      </c:valAx>
      <c:serAx>
        <c:axId val="407381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91840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-log(h_x)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'ml2'!$B$51:$B$61</c:f>
              <c:numCache>
                <c:formatCode>0.000</c:formatCode>
                <c:ptCount val="11"/>
                <c:pt idx="0">
                  <c:v>5.0172164683764205E-5</c:v>
                </c:pt>
                <c:pt idx="1">
                  <c:v>7.3915413442819707E-3</c:v>
                </c:pt>
                <c:pt idx="2">
                  <c:v>8.317269649392238E-2</c:v>
                </c:pt>
                <c:pt idx="3">
                  <c:v>0.289050497374996</c:v>
                </c:pt>
                <c:pt idx="4">
                  <c:v>0.401312339887548</c:v>
                </c:pt>
                <c:pt idx="5">
                  <c:v>0.52497918747894001</c:v>
                </c:pt>
                <c:pt idx="6">
                  <c:v>0.6456563062257954</c:v>
                </c:pt>
                <c:pt idx="7">
                  <c:v>0.75026010559511769</c:v>
                </c:pt>
                <c:pt idx="8">
                  <c:v>0.93086157965665328</c:v>
                </c:pt>
                <c:pt idx="9">
                  <c:v>0.99394019850841575</c:v>
                </c:pt>
                <c:pt idx="10">
                  <c:v>0.99995892213223525</c:v>
                </c:pt>
              </c:numCache>
            </c:numRef>
          </c:xVal>
          <c:yVal>
            <c:numRef>
              <c:f>'ml2'!$C$51:$C$61</c:f>
              <c:numCache>
                <c:formatCode>0.000</c:formatCode>
                <c:ptCount val="11"/>
                <c:pt idx="0">
                  <c:v>9.9000501734233488</c:v>
                </c:pt>
                <c:pt idx="1">
                  <c:v>4.9074189941486868</c:v>
                </c:pt>
                <c:pt idx="2">
                  <c:v>2.4868361521539497</c:v>
                </c:pt>
                <c:pt idx="3">
                  <c:v>1.241153874732088</c:v>
                </c:pt>
                <c:pt idx="4">
                  <c:v>0.91301525239995263</c:v>
                </c:pt>
                <c:pt idx="5">
                  <c:v>0.64439666007357088</c:v>
                </c:pt>
                <c:pt idx="6">
                  <c:v>0.43748795048588573</c:v>
                </c:pt>
                <c:pt idx="7">
                  <c:v>0.2873353251154307</c:v>
                </c:pt>
                <c:pt idx="8">
                  <c:v>7.1644691967669705E-2</c:v>
                </c:pt>
                <c:pt idx="9">
                  <c:v>6.0782366017793311E-3</c:v>
                </c:pt>
                <c:pt idx="10">
                  <c:v>4.1078711483464994E-5</c:v>
                </c:pt>
              </c:numCache>
            </c:numRef>
          </c:yVal>
          <c:smooth val="1"/>
        </c:ser>
        <c:ser>
          <c:idx val="1"/>
          <c:order val="1"/>
          <c:tx>
            <c:v>1-hx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'ml2'!$B$51:$B$61</c:f>
              <c:numCache>
                <c:formatCode>0.000</c:formatCode>
                <c:ptCount val="11"/>
                <c:pt idx="0">
                  <c:v>5.0172164683764205E-5</c:v>
                </c:pt>
                <c:pt idx="1">
                  <c:v>7.3915413442819707E-3</c:v>
                </c:pt>
                <c:pt idx="2">
                  <c:v>8.317269649392238E-2</c:v>
                </c:pt>
                <c:pt idx="3">
                  <c:v>0.289050497374996</c:v>
                </c:pt>
                <c:pt idx="4">
                  <c:v>0.401312339887548</c:v>
                </c:pt>
                <c:pt idx="5">
                  <c:v>0.52497918747894001</c:v>
                </c:pt>
                <c:pt idx="6">
                  <c:v>0.6456563062257954</c:v>
                </c:pt>
                <c:pt idx="7">
                  <c:v>0.75026010559511769</c:v>
                </c:pt>
                <c:pt idx="8">
                  <c:v>0.93086157965665328</c:v>
                </c:pt>
                <c:pt idx="9">
                  <c:v>0.99394019850841575</c:v>
                </c:pt>
                <c:pt idx="10">
                  <c:v>0.99995892213223525</c:v>
                </c:pt>
              </c:numCache>
            </c:numRef>
          </c:xVal>
          <c:yVal>
            <c:numRef>
              <c:f>'ml2'!$D$51:$D$61</c:f>
              <c:numCache>
                <c:formatCode>0.000</c:formatCode>
                <c:ptCount val="11"/>
                <c:pt idx="0">
                  <c:v>5.0173423348880768E-5</c:v>
                </c:pt>
                <c:pt idx="1">
                  <c:v>7.4189941486867304E-3</c:v>
                </c:pt>
                <c:pt idx="2">
                  <c:v>8.6836152153949644E-2</c:v>
                </c:pt>
                <c:pt idx="3">
                  <c:v>0.34115387473208775</c:v>
                </c:pt>
                <c:pt idx="4">
                  <c:v>0.5130152523999526</c:v>
                </c:pt>
                <c:pt idx="5">
                  <c:v>0.74439666007357097</c:v>
                </c:pt>
                <c:pt idx="6">
                  <c:v>1.0374879504858854</c:v>
                </c:pt>
                <c:pt idx="7">
                  <c:v>1.3873353251154312</c:v>
                </c:pt>
                <c:pt idx="8">
                  <c:v>2.6716446919676713</c:v>
                </c:pt>
                <c:pt idx="9">
                  <c:v>5.106078236601757</c:v>
                </c:pt>
                <c:pt idx="10">
                  <c:v>10.100041078711822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92624"/>
        <c:axId val="407542344"/>
      </c:scatterChart>
      <c:valAx>
        <c:axId val="249692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42344"/>
        <c:crosses val="autoZero"/>
        <c:crossBetween val="midCat"/>
      </c:valAx>
      <c:valAx>
        <c:axId val="40754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9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'ml2'!$C$13:$N$13</c:f>
              <c:numCache>
                <c:formatCode>0.000</c:formatCode>
                <c:ptCount val="12"/>
                <c:pt idx="0">
                  <c:v>-106</c:v>
                </c:pt>
                <c:pt idx="1">
                  <c:v>-95.4</c:v>
                </c:pt>
                <c:pt idx="2">
                  <c:v>-84.800000000000011</c:v>
                </c:pt>
                <c:pt idx="3">
                  <c:v>-74.199999999999989</c:v>
                </c:pt>
                <c:pt idx="4">
                  <c:v>-63.599999999999994</c:v>
                </c:pt>
                <c:pt idx="5">
                  <c:v>-53</c:v>
                </c:pt>
                <c:pt idx="6">
                  <c:v>-53.005299999999998</c:v>
                </c:pt>
                <c:pt idx="7">
                  <c:v>-42.400000000000006</c:v>
                </c:pt>
                <c:pt idx="8">
                  <c:v>-31.799999999999997</c:v>
                </c:pt>
                <c:pt idx="9">
                  <c:v>-21.200000000000003</c:v>
                </c:pt>
                <c:pt idx="10">
                  <c:v>-10.600000000000001</c:v>
                </c:pt>
                <c:pt idx="11">
                  <c:v>-5.3000000000000007</c:v>
                </c:pt>
              </c:numCache>
            </c:numRef>
          </c:xVal>
          <c:yVal>
            <c:numRef>
              <c:f>'ml2'!$C$20:$N$20</c:f>
              <c:numCache>
                <c:formatCode>0.0000</c:formatCode>
                <c:ptCount val="12"/>
                <c:pt idx="0">
                  <c:v>14.423642752817191</c:v>
                </c:pt>
                <c:pt idx="1">
                  <c:v>9.123755791963152</c:v>
                </c:pt>
                <c:pt idx="2">
                  <c:v>4.5617417568188285</c:v>
                </c:pt>
                <c:pt idx="3">
                  <c:v>1.8984612603370048</c:v>
                </c:pt>
                <c:pt idx="4">
                  <c:v>1.2068123801721247E-2</c:v>
                </c:pt>
                <c:pt idx="5">
                  <c:v>3.6795247621116234E-7</c:v>
                </c:pt>
                <c:pt idx="6">
                  <c:v>3.6927299033176858E-7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543128"/>
        <c:axId val="407543520"/>
      </c:scatterChart>
      <c:valAx>
        <c:axId val="407543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43520"/>
        <c:crosses val="autoZero"/>
        <c:crossBetween val="midCat"/>
      </c:valAx>
      <c:valAx>
        <c:axId val="40754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43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'ml2'!$O$70:$O$74</c:f>
              <c:numCache>
                <c:formatCode>0.00000</c:formatCode>
                <c:ptCount val="5"/>
                <c:pt idx="0">
                  <c:v>-1</c:v>
                </c:pt>
                <c:pt idx="1">
                  <c:v>-0.73057845244603581</c:v>
                </c:pt>
                <c:pt idx="2">
                  <c:v>-0.46115690489207162</c:v>
                </c:pt>
                <c:pt idx="3">
                  <c:v>-0.19173535733810743</c:v>
                </c:pt>
                <c:pt idx="4">
                  <c:v>7.7686189614607937E-2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'ml2'!$M$70:$M$74</c:f>
              <c:numCache>
                <c:formatCode>0.00000</c:formatCode>
                <c:ptCount val="5"/>
                <c:pt idx="0">
                  <c:v>-1</c:v>
                </c:pt>
                <c:pt idx="1">
                  <c:v>-0.9996666666666667</c:v>
                </c:pt>
                <c:pt idx="2">
                  <c:v>-0.99933333333333341</c:v>
                </c:pt>
                <c:pt idx="3">
                  <c:v>-0.99900000000000011</c:v>
                </c:pt>
                <c:pt idx="4">
                  <c:v>-0.99866666666803505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'ml2'!$N$70:$N$74</c:f>
              <c:numCache>
                <c:formatCode>0.00000</c:formatCode>
                <c:ptCount val="5"/>
                <c:pt idx="0">
                  <c:v>-1</c:v>
                </c:pt>
                <c:pt idx="1">
                  <c:v>-0.76797444093846701</c:v>
                </c:pt>
                <c:pt idx="2">
                  <c:v>-0.53594888187693401</c:v>
                </c:pt>
                <c:pt idx="3">
                  <c:v>-0.30392332281540102</c:v>
                </c:pt>
                <c:pt idx="4">
                  <c:v>-7.1897764168564832E-2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544304"/>
        <c:axId val="407544696"/>
      </c:scatterChart>
      <c:valAx>
        <c:axId val="4075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44696"/>
        <c:crosses val="autoZero"/>
        <c:crossBetween val="midCat"/>
      </c:valAx>
      <c:valAx>
        <c:axId val="40754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186016</xdr:rowOff>
    </xdr:from>
    <xdr:to>
      <xdr:col>19</xdr:col>
      <xdr:colOff>11206</xdr:colOff>
      <xdr:row>18</xdr:row>
      <xdr:rowOff>56029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16809</xdr:colOff>
      <xdr:row>21</xdr:row>
      <xdr:rowOff>22412</xdr:rowOff>
    </xdr:from>
    <xdr:to>
      <xdr:col>18</xdr:col>
      <xdr:colOff>549088</xdr:colOff>
      <xdr:row>36</xdr:row>
      <xdr:rowOff>134470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7</xdr:row>
      <xdr:rowOff>80962</xdr:rowOff>
    </xdr:from>
    <xdr:to>
      <xdr:col>9</xdr:col>
      <xdr:colOff>152401</xdr:colOff>
      <xdr:row>21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152400</xdr:colOff>
      <xdr:row>12</xdr:row>
      <xdr:rowOff>157162</xdr:rowOff>
    </xdr:from>
    <xdr:to>
      <xdr:col>17</xdr:col>
      <xdr:colOff>781050</xdr:colOff>
      <xdr:row>27</xdr:row>
      <xdr:rowOff>52387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57149</xdr:colOff>
      <xdr:row>33</xdr:row>
      <xdr:rowOff>76200</xdr:rowOff>
    </xdr:from>
    <xdr:to>
      <xdr:col>20</xdr:col>
      <xdr:colOff>371474</xdr:colOff>
      <xdr:row>44</xdr:row>
      <xdr:rowOff>142875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47625</xdr:colOff>
      <xdr:row>46</xdr:row>
      <xdr:rowOff>28575</xdr:rowOff>
    </xdr:from>
    <xdr:to>
      <xdr:col>20</xdr:col>
      <xdr:colOff>352425</xdr:colOff>
      <xdr:row>57</xdr:row>
      <xdr:rowOff>133350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38099</xdr:colOff>
      <xdr:row>59</xdr:row>
      <xdr:rowOff>28574</xdr:rowOff>
    </xdr:from>
    <xdr:to>
      <xdr:col>20</xdr:col>
      <xdr:colOff>352425</xdr:colOff>
      <xdr:row>70</xdr:row>
      <xdr:rowOff>152399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38099</xdr:colOff>
      <xdr:row>72</xdr:row>
      <xdr:rowOff>28574</xdr:rowOff>
    </xdr:from>
    <xdr:to>
      <xdr:col>20</xdr:col>
      <xdr:colOff>352425</xdr:colOff>
      <xdr:row>83</xdr:row>
      <xdr:rowOff>152399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176211</xdr:colOff>
      <xdr:row>24</xdr:row>
      <xdr:rowOff>171450</xdr:rowOff>
    </xdr:from>
    <xdr:to>
      <xdr:col>17</xdr:col>
      <xdr:colOff>923924</xdr:colOff>
      <xdr:row>31</xdr:row>
      <xdr:rowOff>171450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125586</xdr:colOff>
      <xdr:row>38</xdr:row>
      <xdr:rowOff>112580</xdr:rowOff>
    </xdr:from>
    <xdr:to>
      <xdr:col>5</xdr:col>
      <xdr:colOff>574221</xdr:colOff>
      <xdr:row>47</xdr:row>
      <xdr:rowOff>21771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60192</xdr:colOff>
      <xdr:row>23</xdr:row>
      <xdr:rowOff>182497</xdr:rowOff>
    </xdr:from>
    <xdr:to>
      <xdr:col>5</xdr:col>
      <xdr:colOff>717176</xdr:colOff>
      <xdr:row>35</xdr:row>
      <xdr:rowOff>56030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125586</xdr:colOff>
      <xdr:row>99</xdr:row>
      <xdr:rowOff>112580</xdr:rowOff>
    </xdr:from>
    <xdr:to>
      <xdr:col>5</xdr:col>
      <xdr:colOff>574221</xdr:colOff>
      <xdr:row>108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117662</xdr:colOff>
      <xdr:row>5</xdr:row>
      <xdr:rowOff>62754</xdr:rowOff>
    </xdr:from>
    <xdr:to>
      <xdr:col>4</xdr:col>
      <xdr:colOff>728382</xdr:colOff>
      <xdr:row>12</xdr:row>
      <xdr:rowOff>156884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11206</xdr:colOff>
      <xdr:row>109</xdr:row>
      <xdr:rowOff>174812</xdr:rowOff>
    </xdr:from>
    <xdr:to>
      <xdr:col>6</xdr:col>
      <xdr:colOff>481853</xdr:colOff>
      <xdr:row>124</xdr:row>
      <xdr:rowOff>60512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72836</xdr:colOff>
      <xdr:row>79</xdr:row>
      <xdr:rowOff>112061</xdr:rowOff>
    </xdr:from>
    <xdr:to>
      <xdr:col>7</xdr:col>
      <xdr:colOff>481852</xdr:colOff>
      <xdr:row>100</xdr:row>
      <xdr:rowOff>89648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125586</xdr:colOff>
      <xdr:row>179</xdr:row>
      <xdr:rowOff>112580</xdr:rowOff>
    </xdr:from>
    <xdr:to>
      <xdr:col>5</xdr:col>
      <xdr:colOff>574221</xdr:colOff>
      <xdr:row>188</xdr:row>
      <xdr:rowOff>21771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11206</xdr:colOff>
      <xdr:row>189</xdr:row>
      <xdr:rowOff>174812</xdr:rowOff>
    </xdr:from>
    <xdr:to>
      <xdr:col>6</xdr:col>
      <xdr:colOff>481853</xdr:colOff>
      <xdr:row>204</xdr:row>
      <xdr:rowOff>60512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117661</xdr:colOff>
      <xdr:row>159</xdr:row>
      <xdr:rowOff>62752</xdr:rowOff>
    </xdr:from>
    <xdr:to>
      <xdr:col>7</xdr:col>
      <xdr:colOff>347382</xdr:colOff>
      <xdr:row>176</xdr:row>
      <xdr:rowOff>100852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1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112059</xdr:colOff>
      <xdr:row>50</xdr:row>
      <xdr:rowOff>123787</xdr:rowOff>
    </xdr:from>
    <xdr:to>
      <xdr:col>17</xdr:col>
      <xdr:colOff>672353</xdr:colOff>
      <xdr:row>60</xdr:row>
      <xdr:rowOff>100853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00000000-0008-0000-1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114458</xdr:colOff>
      <xdr:row>26</xdr:row>
      <xdr:rowOff>95253</xdr:rowOff>
    </xdr:from>
    <xdr:to>
      <xdr:col>6</xdr:col>
      <xdr:colOff>649941</xdr:colOff>
      <xdr:row>44</xdr:row>
      <xdr:rowOff>33618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1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434459</xdr:colOff>
      <xdr:row>48</xdr:row>
      <xdr:rowOff>95529</xdr:rowOff>
    </xdr:from>
    <xdr:to>
      <xdr:col>9</xdr:col>
      <xdr:colOff>67235</xdr:colOff>
      <xdr:row>60</xdr:row>
      <xdr:rowOff>141472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605118</xdr:colOff>
      <xdr:row>11</xdr:row>
      <xdr:rowOff>85164</xdr:rowOff>
    </xdr:from>
    <xdr:to>
      <xdr:col>18</xdr:col>
      <xdr:colOff>560293</xdr:colOff>
      <xdr:row>24</xdr:row>
      <xdr:rowOff>123265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22412</xdr:colOff>
      <xdr:row>76</xdr:row>
      <xdr:rowOff>96370</xdr:rowOff>
    </xdr:from>
    <xdr:to>
      <xdr:col>18</xdr:col>
      <xdr:colOff>750795</xdr:colOff>
      <xdr:row>85</xdr:row>
      <xdr:rowOff>78441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L2" sqref="L2"/>
    </sheetView>
  </sheetViews>
  <sheetFormatPr defaultRowHeight="15" x14ac:dyDescent="0.25"/>
  <cols>
    <col min="1" max="1" width="17" style="7" customWidth="1"/>
    <col min="6" max="6" width="2.140625" customWidth="1"/>
    <col min="7" max="7" width="9.42578125" style="4" customWidth="1"/>
  </cols>
  <sheetData>
    <row r="1" spans="1:12" s="6" customFormat="1" x14ac:dyDescent="0.25">
      <c r="A1" s="489"/>
      <c r="B1" s="490" t="s">
        <v>117</v>
      </c>
      <c r="C1" s="490" t="s">
        <v>119</v>
      </c>
      <c r="D1" s="490" t="s">
        <v>120</v>
      </c>
      <c r="E1" s="490" t="s">
        <v>121</v>
      </c>
      <c r="F1" s="491"/>
      <c r="G1" s="487"/>
      <c r="H1" s="488">
        <v>43049</v>
      </c>
      <c r="I1" s="488">
        <v>43070</v>
      </c>
      <c r="J1" s="488">
        <v>43109</v>
      </c>
      <c r="K1" s="488">
        <v>43116</v>
      </c>
      <c r="L1" s="488">
        <v>43131</v>
      </c>
    </row>
    <row r="2" spans="1:12" s="6" customFormat="1" x14ac:dyDescent="0.25">
      <c r="A2" s="395" t="s">
        <v>549</v>
      </c>
      <c r="B2">
        <v>13.1</v>
      </c>
      <c r="C2">
        <v>9</v>
      </c>
      <c r="D2">
        <v>4</v>
      </c>
      <c r="E2">
        <v>1</v>
      </c>
      <c r="F2" s="398"/>
      <c r="G2" s="396"/>
      <c r="H2" s="6">
        <v>679</v>
      </c>
      <c r="I2" s="6">
        <v>679</v>
      </c>
      <c r="J2" s="50">
        <v>680</v>
      </c>
      <c r="K2" s="6">
        <v>679</v>
      </c>
      <c r="L2" s="6">
        <v>669</v>
      </c>
    </row>
    <row r="3" spans="1:12" s="6" customFormat="1" x14ac:dyDescent="0.25">
      <c r="A3" s="395" t="s">
        <v>122</v>
      </c>
      <c r="B3">
        <v>21</v>
      </c>
      <c r="C3">
        <v>6</v>
      </c>
      <c r="D3">
        <v>0</v>
      </c>
      <c r="E3">
        <v>5</v>
      </c>
      <c r="F3" s="398"/>
      <c r="G3" s="396"/>
      <c r="H3" s="6">
        <v>876</v>
      </c>
      <c r="I3" s="6">
        <v>830</v>
      </c>
      <c r="J3" s="50">
        <v>850</v>
      </c>
      <c r="K3" s="6">
        <v>880</v>
      </c>
      <c r="L3" s="6">
        <v>812</v>
      </c>
    </row>
    <row r="4" spans="1:12" s="6" customFormat="1" x14ac:dyDescent="0.25">
      <c r="A4" s="395" t="s">
        <v>118</v>
      </c>
      <c r="B4">
        <v>20.9</v>
      </c>
      <c r="C4">
        <v>2</v>
      </c>
      <c r="D4">
        <v>0</v>
      </c>
      <c r="E4">
        <v>1</v>
      </c>
      <c r="F4" s="398"/>
      <c r="G4" s="396"/>
      <c r="H4" s="6">
        <v>1035</v>
      </c>
      <c r="I4" s="6">
        <v>959</v>
      </c>
      <c r="J4" s="50">
        <v>939</v>
      </c>
      <c r="K4" s="6">
        <v>936</v>
      </c>
      <c r="L4" s="6">
        <v>932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14"/>
  <sheetViews>
    <sheetView workbookViewId="0">
      <selection activeCell="B32" sqref="B32"/>
    </sheetView>
  </sheetViews>
  <sheetFormatPr defaultRowHeight="15" x14ac:dyDescent="0.25"/>
  <cols>
    <col min="1" max="1" width="13" customWidth="1"/>
    <col min="2" max="2" width="81.85546875" bestFit="1" customWidth="1"/>
    <col min="3" max="3" width="13" customWidth="1"/>
  </cols>
  <sheetData>
    <row r="1" spans="1:4" x14ac:dyDescent="0.25">
      <c r="A1" t="s">
        <v>675</v>
      </c>
      <c r="B1" t="s">
        <v>676</v>
      </c>
      <c r="C1" s="8">
        <v>43130</v>
      </c>
      <c r="D1">
        <v>930000</v>
      </c>
    </row>
    <row r="2" spans="1:4" x14ac:dyDescent="0.25">
      <c r="A2" t="s">
        <v>732</v>
      </c>
      <c r="B2" t="s">
        <v>733</v>
      </c>
      <c r="C2" s="8">
        <v>43130</v>
      </c>
      <c r="D2">
        <v>695000</v>
      </c>
    </row>
    <row r="3" spans="1:4" x14ac:dyDescent="0.25">
      <c r="A3" t="s">
        <v>734</v>
      </c>
      <c r="B3" t="s">
        <v>735</v>
      </c>
      <c r="C3" t="s">
        <v>736</v>
      </c>
      <c r="D3">
        <v>575000</v>
      </c>
    </row>
    <row r="4" spans="1:4" x14ac:dyDescent="0.25">
      <c r="A4" t="s">
        <v>737</v>
      </c>
      <c r="B4" t="s">
        <v>738</v>
      </c>
      <c r="C4" t="s">
        <v>739</v>
      </c>
      <c r="D4">
        <v>660000</v>
      </c>
    </row>
    <row r="5" spans="1:4" x14ac:dyDescent="0.25">
      <c r="A5" t="s">
        <v>740</v>
      </c>
      <c r="B5" t="s">
        <v>741</v>
      </c>
      <c r="C5" t="s">
        <v>742</v>
      </c>
      <c r="D5">
        <v>520000</v>
      </c>
    </row>
    <row r="6" spans="1:4" x14ac:dyDescent="0.25">
      <c r="A6" t="s">
        <v>743</v>
      </c>
      <c r="B6" t="s">
        <v>744</v>
      </c>
      <c r="C6" t="s">
        <v>745</v>
      </c>
      <c r="D6">
        <v>705000</v>
      </c>
    </row>
    <row r="7" spans="1:4" x14ac:dyDescent="0.25">
      <c r="A7" t="s">
        <v>746</v>
      </c>
      <c r="B7" t="s">
        <v>747</v>
      </c>
      <c r="C7" t="s">
        <v>748</v>
      </c>
      <c r="D7">
        <v>560000</v>
      </c>
    </row>
    <row r="8" spans="1:4" x14ac:dyDescent="0.25">
      <c r="A8" t="s">
        <v>749</v>
      </c>
      <c r="B8" t="s">
        <v>750</v>
      </c>
      <c r="C8" t="s">
        <v>751</v>
      </c>
      <c r="D8">
        <v>557000</v>
      </c>
    </row>
    <row r="9" spans="1:4" x14ac:dyDescent="0.25">
      <c r="A9" t="s">
        <v>752</v>
      </c>
      <c r="B9" t="s">
        <v>753</v>
      </c>
      <c r="C9" t="s">
        <v>754</v>
      </c>
      <c r="D9">
        <v>500000</v>
      </c>
    </row>
    <row r="10" spans="1:4" x14ac:dyDescent="0.25">
      <c r="A10" t="s">
        <v>755</v>
      </c>
      <c r="B10" t="s">
        <v>756</v>
      </c>
      <c r="C10" t="s">
        <v>757</v>
      </c>
      <c r="D10">
        <v>545000</v>
      </c>
    </row>
    <row r="11" spans="1:4" x14ac:dyDescent="0.25">
      <c r="A11" t="s">
        <v>702</v>
      </c>
      <c r="B11" t="s">
        <v>516</v>
      </c>
      <c r="C11" t="s">
        <v>730</v>
      </c>
      <c r="D11">
        <v>650000</v>
      </c>
    </row>
    <row r="12" spans="1:4" x14ac:dyDescent="0.25">
      <c r="A12" t="s">
        <v>671</v>
      </c>
      <c r="B12" t="s">
        <v>672</v>
      </c>
      <c r="C12" t="s">
        <v>703</v>
      </c>
      <c r="D12">
        <v>530900</v>
      </c>
    </row>
    <row r="13" spans="1:4" x14ac:dyDescent="0.25">
      <c r="A13" t="s">
        <v>668</v>
      </c>
      <c r="B13" t="s">
        <v>669</v>
      </c>
      <c r="C13" t="s">
        <v>704</v>
      </c>
      <c r="D13">
        <v>659000</v>
      </c>
    </row>
    <row r="14" spans="1:4" x14ac:dyDescent="0.25">
      <c r="A14" t="s">
        <v>649</v>
      </c>
      <c r="B14" t="s">
        <v>650</v>
      </c>
      <c r="C14" t="s">
        <v>651</v>
      </c>
      <c r="D14">
        <v>710000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99"/>
  <sheetViews>
    <sheetView workbookViewId="0">
      <selection activeCell="B31" sqref="B31"/>
    </sheetView>
  </sheetViews>
  <sheetFormatPr defaultRowHeight="15" x14ac:dyDescent="0.25"/>
  <cols>
    <col min="1" max="1" width="13.140625" customWidth="1"/>
    <col min="2" max="2" width="81" bestFit="1" customWidth="1"/>
    <col min="3" max="3" width="11.28515625" customWidth="1"/>
    <col min="4" max="4" width="9.5703125" customWidth="1"/>
  </cols>
  <sheetData>
    <row r="1" spans="1:4" x14ac:dyDescent="0.25">
      <c r="A1" t="s">
        <v>675</v>
      </c>
      <c r="B1" t="s">
        <v>676</v>
      </c>
      <c r="C1" t="s">
        <v>677</v>
      </c>
      <c r="D1">
        <v>930000</v>
      </c>
    </row>
    <row r="2" spans="1:4" x14ac:dyDescent="0.25">
      <c r="A2" t="s">
        <v>732</v>
      </c>
      <c r="B2" t="s">
        <v>733</v>
      </c>
      <c r="C2" s="8">
        <v>43130</v>
      </c>
      <c r="D2">
        <v>695000</v>
      </c>
    </row>
    <row r="3" spans="1:4" x14ac:dyDescent="0.25">
      <c r="A3" t="s">
        <v>734</v>
      </c>
      <c r="B3" t="s">
        <v>735</v>
      </c>
      <c r="C3" t="s">
        <v>736</v>
      </c>
      <c r="D3">
        <v>575000</v>
      </c>
    </row>
    <row r="4" spans="1:4" x14ac:dyDescent="0.25">
      <c r="A4" t="s">
        <v>737</v>
      </c>
      <c r="B4" t="s">
        <v>738</v>
      </c>
      <c r="C4" t="s">
        <v>739</v>
      </c>
      <c r="D4">
        <v>660000</v>
      </c>
    </row>
    <row r="5" spans="1:4" x14ac:dyDescent="0.25">
      <c r="A5" t="s">
        <v>740</v>
      </c>
      <c r="B5" t="s">
        <v>741</v>
      </c>
      <c r="C5" t="s">
        <v>742</v>
      </c>
      <c r="D5">
        <v>520000</v>
      </c>
    </row>
    <row r="6" spans="1:4" x14ac:dyDescent="0.25">
      <c r="A6" t="s">
        <v>743</v>
      </c>
      <c r="B6" t="s">
        <v>744</v>
      </c>
      <c r="C6" t="s">
        <v>745</v>
      </c>
      <c r="D6">
        <v>705000</v>
      </c>
    </row>
    <row r="7" spans="1:4" x14ac:dyDescent="0.25">
      <c r="A7" t="s">
        <v>746</v>
      </c>
      <c r="B7" t="s">
        <v>747</v>
      </c>
      <c r="C7" t="s">
        <v>748</v>
      </c>
      <c r="D7">
        <v>560000</v>
      </c>
    </row>
    <row r="8" spans="1:4" x14ac:dyDescent="0.25">
      <c r="A8" t="s">
        <v>749</v>
      </c>
      <c r="B8" t="s">
        <v>750</v>
      </c>
      <c r="C8" t="s">
        <v>751</v>
      </c>
      <c r="D8">
        <v>557000</v>
      </c>
    </row>
    <row r="9" spans="1:4" x14ac:dyDescent="0.25">
      <c r="A9" t="s">
        <v>752</v>
      </c>
      <c r="B9" t="s">
        <v>753</v>
      </c>
      <c r="C9" t="s">
        <v>754</v>
      </c>
      <c r="D9">
        <v>500000</v>
      </c>
    </row>
    <row r="10" spans="1:4" x14ac:dyDescent="0.25">
      <c r="A10" t="s">
        <v>755</v>
      </c>
      <c r="B10" t="s">
        <v>756</v>
      </c>
      <c r="C10" t="s">
        <v>757</v>
      </c>
      <c r="D10">
        <v>545000</v>
      </c>
    </row>
    <row r="11" spans="1:4" x14ac:dyDescent="0.25">
      <c r="A11" t="s">
        <v>702</v>
      </c>
      <c r="B11" t="s">
        <v>516</v>
      </c>
      <c r="C11" s="8">
        <v>43116</v>
      </c>
      <c r="D11">
        <v>650000</v>
      </c>
    </row>
    <row r="12" spans="1:4" x14ac:dyDescent="0.25">
      <c r="A12" t="s">
        <v>671</v>
      </c>
      <c r="B12" t="s">
        <v>672</v>
      </c>
      <c r="C12" t="s">
        <v>670</v>
      </c>
      <c r="D12">
        <v>530900</v>
      </c>
    </row>
    <row r="13" spans="1:4" x14ac:dyDescent="0.25">
      <c r="A13" t="s">
        <v>668</v>
      </c>
      <c r="B13" t="s">
        <v>669</v>
      </c>
      <c r="C13" t="s">
        <v>670</v>
      </c>
      <c r="D13">
        <v>659000</v>
      </c>
    </row>
    <row r="14" spans="1:4" x14ac:dyDescent="0.25">
      <c r="A14" t="s">
        <v>705</v>
      </c>
      <c r="B14" t="s">
        <v>706</v>
      </c>
      <c r="C14" t="s">
        <v>707</v>
      </c>
      <c r="D14">
        <v>710000</v>
      </c>
    </row>
    <row r="15" spans="1:4" x14ac:dyDescent="0.25">
      <c r="A15" t="s">
        <v>649</v>
      </c>
      <c r="B15" t="s">
        <v>650</v>
      </c>
      <c r="C15" t="s">
        <v>651</v>
      </c>
      <c r="D15">
        <v>710000</v>
      </c>
    </row>
    <row r="16" spans="1:4" x14ac:dyDescent="0.25">
      <c r="A16" t="s">
        <v>655</v>
      </c>
      <c r="B16" t="s">
        <v>656</v>
      </c>
      <c r="C16" t="s">
        <v>657</v>
      </c>
      <c r="D16">
        <v>659000</v>
      </c>
    </row>
    <row r="17" spans="1:4" x14ac:dyDescent="0.25">
      <c r="A17" t="s">
        <v>658</v>
      </c>
      <c r="B17" t="s">
        <v>571</v>
      </c>
      <c r="C17" t="s">
        <v>659</v>
      </c>
      <c r="D17">
        <v>659000</v>
      </c>
    </row>
    <row r="18" spans="1:4" x14ac:dyDescent="0.25">
      <c r="A18" t="s">
        <v>660</v>
      </c>
      <c r="B18" t="s">
        <v>661</v>
      </c>
      <c r="C18" t="s">
        <v>662</v>
      </c>
      <c r="D18">
        <v>540000</v>
      </c>
    </row>
    <row r="19" spans="1:4" x14ac:dyDescent="0.25">
      <c r="A19" t="s">
        <v>663</v>
      </c>
      <c r="B19" t="s">
        <v>664</v>
      </c>
      <c r="C19" t="s">
        <v>662</v>
      </c>
      <c r="D19">
        <v>540000</v>
      </c>
    </row>
    <row r="20" spans="1:4" x14ac:dyDescent="0.25">
      <c r="A20" t="s">
        <v>665</v>
      </c>
      <c r="B20" t="s">
        <v>666</v>
      </c>
      <c r="C20" t="s">
        <v>667</v>
      </c>
      <c r="D20">
        <v>670000</v>
      </c>
    </row>
    <row r="21" spans="1:4" x14ac:dyDescent="0.25">
      <c r="A21" t="s">
        <v>673</v>
      </c>
      <c r="B21" t="s">
        <v>674</v>
      </c>
      <c r="C21" t="s">
        <v>670</v>
      </c>
      <c r="D21">
        <v>500000</v>
      </c>
    </row>
    <row r="31" spans="1:4" x14ac:dyDescent="0.25">
      <c r="C31" s="8"/>
    </row>
    <row r="32" spans="1:4" x14ac:dyDescent="0.25">
      <c r="C32" s="8"/>
    </row>
    <row r="34" spans="3:3" x14ac:dyDescent="0.25">
      <c r="C34" s="8"/>
    </row>
    <row r="35" spans="3:3" x14ac:dyDescent="0.25">
      <c r="C35" s="8"/>
    </row>
    <row r="38" spans="3:3" x14ac:dyDescent="0.25">
      <c r="C38" s="8"/>
    </row>
    <row r="39" spans="3:3" x14ac:dyDescent="0.25">
      <c r="C39" s="8"/>
    </row>
    <row r="40" spans="3:3" x14ac:dyDescent="0.25">
      <c r="C40" s="8"/>
    </row>
    <row r="41" spans="3:3" x14ac:dyDescent="0.25">
      <c r="C41" s="8"/>
    </row>
    <row r="43" spans="3:3" x14ac:dyDescent="0.25">
      <c r="C43" s="8"/>
    </row>
    <row r="44" spans="3:3" x14ac:dyDescent="0.25">
      <c r="C44" s="8"/>
    </row>
    <row r="45" spans="3:3" x14ac:dyDescent="0.25">
      <c r="C45" s="8"/>
    </row>
    <row r="50" spans="3:3" x14ac:dyDescent="0.25">
      <c r="C50" s="8"/>
    </row>
    <row r="51" spans="3:3" x14ac:dyDescent="0.25">
      <c r="C51" s="8"/>
    </row>
    <row r="56" spans="3:3" x14ac:dyDescent="0.25">
      <c r="C56" s="8"/>
    </row>
    <row r="57" spans="3:3" x14ac:dyDescent="0.25">
      <c r="C57" s="8"/>
    </row>
    <row r="59" spans="3:3" x14ac:dyDescent="0.25">
      <c r="C59" s="8"/>
    </row>
    <row r="60" spans="3:3" x14ac:dyDescent="0.25">
      <c r="C60" s="8"/>
    </row>
    <row r="61" spans="3:3" x14ac:dyDescent="0.25">
      <c r="C61" s="8"/>
    </row>
    <row r="62" spans="3:3" x14ac:dyDescent="0.25">
      <c r="C62" s="8"/>
    </row>
    <row r="63" spans="3:3" x14ac:dyDescent="0.25">
      <c r="C63" s="8"/>
    </row>
    <row r="64" spans="3:3" x14ac:dyDescent="0.25">
      <c r="C64" s="8"/>
    </row>
    <row r="65" spans="3:5" x14ac:dyDescent="0.25">
      <c r="C65" s="8"/>
    </row>
    <row r="66" spans="3:5" x14ac:dyDescent="0.25">
      <c r="C66" s="8"/>
    </row>
    <row r="70" spans="3:5" x14ac:dyDescent="0.25">
      <c r="C70" s="8"/>
      <c r="E70" s="21"/>
    </row>
    <row r="71" spans="3:5" x14ac:dyDescent="0.25">
      <c r="C71" s="8"/>
      <c r="E71" s="21"/>
    </row>
    <row r="72" spans="3:5" x14ac:dyDescent="0.25">
      <c r="C72" s="8"/>
      <c r="E72" s="21"/>
    </row>
    <row r="73" spans="3:5" x14ac:dyDescent="0.25">
      <c r="C73" s="8"/>
      <c r="E73" s="21"/>
    </row>
    <row r="74" spans="3:5" x14ac:dyDescent="0.25">
      <c r="C74" s="8"/>
      <c r="E74" s="21"/>
    </row>
    <row r="75" spans="3:5" x14ac:dyDescent="0.25">
      <c r="C75" s="8"/>
      <c r="E75" s="21"/>
    </row>
    <row r="76" spans="3:5" x14ac:dyDescent="0.25">
      <c r="C76" s="8"/>
      <c r="E76" s="21"/>
    </row>
    <row r="77" spans="3:5" x14ac:dyDescent="0.25">
      <c r="C77" s="8"/>
      <c r="E77" s="21"/>
    </row>
    <row r="78" spans="3:5" x14ac:dyDescent="0.25">
      <c r="C78" s="8"/>
      <c r="E78" s="21"/>
    </row>
    <row r="79" spans="3:5" x14ac:dyDescent="0.25">
      <c r="C79" s="8"/>
      <c r="E79" s="21"/>
    </row>
    <row r="80" spans="3:5" x14ac:dyDescent="0.25">
      <c r="C80" s="8"/>
      <c r="E80" s="21"/>
    </row>
    <row r="81" spans="3:5" x14ac:dyDescent="0.25">
      <c r="C81" s="8"/>
      <c r="E81" s="21"/>
    </row>
    <row r="82" spans="3:5" x14ac:dyDescent="0.25">
      <c r="C82" s="8"/>
      <c r="E82" s="21"/>
    </row>
    <row r="83" spans="3:5" x14ac:dyDescent="0.25">
      <c r="C83" s="8"/>
      <c r="E83" s="21"/>
    </row>
    <row r="84" spans="3:5" x14ac:dyDescent="0.25">
      <c r="C84" s="8"/>
      <c r="E84" s="21"/>
    </row>
    <row r="85" spans="3:5" x14ac:dyDescent="0.25">
      <c r="C85" s="8"/>
      <c r="E85" s="21"/>
    </row>
    <row r="86" spans="3:5" x14ac:dyDescent="0.25">
      <c r="C86" s="8"/>
      <c r="E86" s="21"/>
    </row>
    <row r="87" spans="3:5" x14ac:dyDescent="0.25">
      <c r="C87" s="8"/>
      <c r="E87" s="21"/>
    </row>
    <row r="88" spans="3:5" x14ac:dyDescent="0.25">
      <c r="C88" s="8"/>
      <c r="E88" s="21"/>
    </row>
    <row r="89" spans="3:5" x14ac:dyDescent="0.25">
      <c r="C89" s="8"/>
      <c r="E89" s="21"/>
    </row>
    <row r="90" spans="3:5" x14ac:dyDescent="0.25">
      <c r="C90" s="8"/>
      <c r="E90" s="21"/>
    </row>
    <row r="91" spans="3:5" x14ac:dyDescent="0.25">
      <c r="C91" s="8"/>
      <c r="E91" s="21"/>
    </row>
    <row r="92" spans="3:5" x14ac:dyDescent="0.25">
      <c r="C92" s="8"/>
      <c r="E92" s="21"/>
    </row>
    <row r="93" spans="3:5" x14ac:dyDescent="0.25">
      <c r="C93" s="8"/>
      <c r="E93" s="21"/>
    </row>
    <row r="94" spans="3:5" x14ac:dyDescent="0.25">
      <c r="C94" s="8"/>
      <c r="E94" s="21"/>
    </row>
    <row r="95" spans="3:5" x14ac:dyDescent="0.25">
      <c r="C95" s="8"/>
      <c r="E95" s="21"/>
    </row>
    <row r="96" spans="3:5" x14ac:dyDescent="0.25">
      <c r="C96" s="8"/>
      <c r="E96" s="21"/>
    </row>
    <row r="97" spans="3:5" x14ac:dyDescent="0.25">
      <c r="C97" s="8"/>
      <c r="E97" s="21"/>
    </row>
    <row r="98" spans="3:5" x14ac:dyDescent="0.25">
      <c r="C98" s="8"/>
      <c r="E98" s="21"/>
    </row>
    <row r="99" spans="3:5" x14ac:dyDescent="0.25">
      <c r="C99" s="8"/>
      <c r="E99" s="21"/>
    </row>
  </sheetData>
  <pageMargins left="0.7" right="0.7" top="0.75" bottom="0.75" header="0.3" footer="0.3"/>
  <pageSetup scale="7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38"/>
  <sheetViews>
    <sheetView zoomScale="85" zoomScaleNormal="85" workbookViewId="0">
      <selection activeCell="H24" sqref="H24"/>
    </sheetView>
  </sheetViews>
  <sheetFormatPr defaultRowHeight="15" x14ac:dyDescent="0.25"/>
  <cols>
    <col min="1" max="1" width="13.28515625" customWidth="1"/>
    <col min="2" max="2" width="81" customWidth="1"/>
    <col min="3" max="3" width="11" style="35" customWidth="1"/>
    <col min="4" max="4" width="9.5703125" customWidth="1"/>
    <col min="5" max="5" width="12.140625" customWidth="1"/>
    <col min="7" max="7" width="8.42578125" style="6" bestFit="1" customWidth="1"/>
  </cols>
  <sheetData>
    <row r="1" spans="1:8" ht="15.75" thickBot="1" x14ac:dyDescent="0.3">
      <c r="A1" s="19" t="s">
        <v>80</v>
      </c>
      <c r="B1" s="20"/>
      <c r="C1" s="403"/>
      <c r="D1" s="17"/>
      <c r="E1" s="17"/>
      <c r="F1" s="18"/>
      <c r="H1" s="393">
        <f>AVERAGE(F:F)</f>
        <v>669025.71428571432</v>
      </c>
    </row>
    <row r="2" spans="1:8" ht="15.75" thickBot="1" x14ac:dyDescent="0.3">
      <c r="A2" s="418" t="s">
        <v>705</v>
      </c>
      <c r="B2" s="419" t="s">
        <v>706</v>
      </c>
      <c r="C2" s="422" t="s">
        <v>707</v>
      </c>
      <c r="D2" s="419">
        <v>550000</v>
      </c>
      <c r="E2" s="421">
        <v>43131</v>
      </c>
      <c r="F2" s="420">
        <v>710000</v>
      </c>
    </row>
    <row r="3" spans="1:8" ht="15.75" thickBot="1" x14ac:dyDescent="0.3">
      <c r="A3" s="418" t="s">
        <v>655</v>
      </c>
      <c r="B3" s="419" t="s">
        <v>656</v>
      </c>
      <c r="C3" s="422" t="s">
        <v>657</v>
      </c>
      <c r="D3" s="419">
        <v>725000</v>
      </c>
      <c r="E3" s="421">
        <v>43116</v>
      </c>
      <c r="F3" s="420">
        <v>659000</v>
      </c>
    </row>
    <row r="4" spans="1:8" ht="15.75" thickBot="1" x14ac:dyDescent="0.3">
      <c r="A4" s="399"/>
      <c r="B4" s="400"/>
      <c r="C4" s="404"/>
      <c r="D4" s="400"/>
      <c r="E4" s="401"/>
      <c r="F4" s="402"/>
    </row>
    <row r="5" spans="1:8" ht="15.75" thickBot="1" x14ac:dyDescent="0.3">
      <c r="A5" s="36" t="s">
        <v>517</v>
      </c>
      <c r="B5" s="37" t="s">
        <v>504</v>
      </c>
      <c r="C5" s="40">
        <v>42994</v>
      </c>
      <c r="D5" s="37">
        <v>470000</v>
      </c>
      <c r="E5" s="39">
        <v>43109</v>
      </c>
      <c r="F5" s="38">
        <v>470000</v>
      </c>
      <c r="G5" s="6">
        <f>E5-C5</f>
        <v>115</v>
      </c>
      <c r="H5">
        <f>F5</f>
        <v>470000</v>
      </c>
    </row>
    <row r="6" spans="1:8" ht="15.75" thickBot="1" x14ac:dyDescent="0.3">
      <c r="A6" s="405" t="s">
        <v>726</v>
      </c>
      <c r="B6" s="406" t="s">
        <v>727</v>
      </c>
      <c r="C6" s="409">
        <v>43118</v>
      </c>
      <c r="D6" s="406">
        <v>500000</v>
      </c>
      <c r="E6" s="408">
        <v>43131</v>
      </c>
      <c r="F6" s="407">
        <v>500000</v>
      </c>
    </row>
    <row r="7" spans="1:8" ht="15.75" thickBot="1" x14ac:dyDescent="0.3">
      <c r="A7" s="36" t="s">
        <v>587</v>
      </c>
      <c r="B7" s="37" t="s">
        <v>588</v>
      </c>
      <c r="C7" s="40">
        <v>43035</v>
      </c>
      <c r="D7" s="37">
        <v>551000</v>
      </c>
      <c r="E7" s="39">
        <v>43046</v>
      </c>
      <c r="F7" s="38">
        <v>551000</v>
      </c>
      <c r="G7" s="6">
        <f t="shared" ref="G7:G19" si="0">E7-C7</f>
        <v>11</v>
      </c>
      <c r="H7">
        <f t="shared" ref="H7:H19" si="1">F7</f>
        <v>551000</v>
      </c>
    </row>
    <row r="8" spans="1:8" ht="15.75" thickBot="1" x14ac:dyDescent="0.3">
      <c r="A8" s="36" t="s">
        <v>574</v>
      </c>
      <c r="B8" s="37" t="s">
        <v>575</v>
      </c>
      <c r="C8" s="40">
        <v>43035</v>
      </c>
      <c r="D8" s="37">
        <v>590000</v>
      </c>
      <c r="E8" s="39">
        <v>43038</v>
      </c>
      <c r="F8" s="38">
        <v>590000</v>
      </c>
      <c r="G8" s="6">
        <f t="shared" si="0"/>
        <v>3</v>
      </c>
      <c r="H8">
        <f t="shared" si="1"/>
        <v>590000</v>
      </c>
    </row>
    <row r="9" spans="1:8" ht="15.75" thickBot="1" x14ac:dyDescent="0.3">
      <c r="A9" s="36" t="s">
        <v>634</v>
      </c>
      <c r="B9" s="37" t="s">
        <v>635</v>
      </c>
      <c r="C9" s="40">
        <v>43066</v>
      </c>
      <c r="D9" s="37">
        <v>595000</v>
      </c>
      <c r="E9" s="39">
        <v>43109</v>
      </c>
      <c r="F9" s="38">
        <v>595000</v>
      </c>
      <c r="G9" s="6">
        <f t="shared" si="0"/>
        <v>43</v>
      </c>
      <c r="H9">
        <f t="shared" si="1"/>
        <v>595000</v>
      </c>
    </row>
    <row r="10" spans="1:8" ht="15.75" thickBot="1" x14ac:dyDescent="0.3">
      <c r="A10" s="36" t="s">
        <v>609</v>
      </c>
      <c r="B10" s="37" t="s">
        <v>610</v>
      </c>
      <c r="C10" s="40">
        <v>43047</v>
      </c>
      <c r="D10" s="37">
        <v>615000</v>
      </c>
      <c r="E10" s="39">
        <v>43109</v>
      </c>
      <c r="F10" s="38">
        <v>615000</v>
      </c>
      <c r="G10" s="6">
        <f t="shared" si="0"/>
        <v>62</v>
      </c>
      <c r="H10">
        <f t="shared" si="1"/>
        <v>615000</v>
      </c>
    </row>
    <row r="11" spans="1:8" ht="15.75" thickBot="1" x14ac:dyDescent="0.3">
      <c r="A11" s="36" t="s">
        <v>580</v>
      </c>
      <c r="B11" s="37" t="s">
        <v>581</v>
      </c>
      <c r="C11" s="40">
        <v>43038</v>
      </c>
      <c r="D11" s="37">
        <v>640000</v>
      </c>
      <c r="E11" s="39">
        <v>43041</v>
      </c>
      <c r="F11" s="38">
        <v>640000</v>
      </c>
      <c r="G11" s="6">
        <f t="shared" si="0"/>
        <v>3</v>
      </c>
      <c r="H11">
        <f t="shared" si="1"/>
        <v>640000</v>
      </c>
    </row>
    <row r="12" spans="1:8" ht="15.75" thickBot="1" x14ac:dyDescent="0.3">
      <c r="A12" s="36" t="s">
        <v>509</v>
      </c>
      <c r="B12" s="37" t="s">
        <v>510</v>
      </c>
      <c r="C12" s="40">
        <v>43014</v>
      </c>
      <c r="D12" s="37">
        <v>640000</v>
      </c>
      <c r="E12" s="39">
        <v>43025</v>
      </c>
      <c r="F12" s="38">
        <v>640000</v>
      </c>
      <c r="G12" s="6">
        <f t="shared" si="0"/>
        <v>11</v>
      </c>
      <c r="H12">
        <f t="shared" si="1"/>
        <v>640000</v>
      </c>
    </row>
    <row r="13" spans="1:8" ht="15.75" thickBot="1" x14ac:dyDescent="0.3">
      <c r="A13" s="36" t="s">
        <v>572</v>
      </c>
      <c r="B13" s="37" t="s">
        <v>573</v>
      </c>
      <c r="C13" s="40">
        <v>43033</v>
      </c>
      <c r="D13" s="37">
        <v>650000</v>
      </c>
      <c r="E13" s="39">
        <v>43038</v>
      </c>
      <c r="F13" s="38">
        <v>650000</v>
      </c>
      <c r="G13" s="6">
        <f t="shared" si="0"/>
        <v>5</v>
      </c>
      <c r="H13">
        <f t="shared" si="1"/>
        <v>650000</v>
      </c>
    </row>
    <row r="14" spans="1:8" ht="15.75" thickBot="1" x14ac:dyDescent="0.3">
      <c r="A14" s="36" t="s">
        <v>503</v>
      </c>
      <c r="B14" s="37" t="s">
        <v>504</v>
      </c>
      <c r="C14" s="40">
        <v>43017</v>
      </c>
      <c r="D14" s="37">
        <v>900000</v>
      </c>
      <c r="E14" s="39">
        <v>43109</v>
      </c>
      <c r="F14" s="38">
        <v>659000</v>
      </c>
      <c r="G14" s="6">
        <f t="shared" si="0"/>
        <v>92</v>
      </c>
      <c r="H14">
        <f t="shared" si="1"/>
        <v>659000</v>
      </c>
    </row>
    <row r="15" spans="1:8" ht="15.75" thickBot="1" x14ac:dyDescent="0.3">
      <c r="A15" s="36" t="s">
        <v>570</v>
      </c>
      <c r="B15" s="37" t="s">
        <v>571</v>
      </c>
      <c r="C15" s="40">
        <v>43033</v>
      </c>
      <c r="D15" s="37">
        <v>660000</v>
      </c>
      <c r="E15" s="39">
        <v>43109</v>
      </c>
      <c r="F15" s="38">
        <v>659000</v>
      </c>
      <c r="G15" s="6">
        <f t="shared" si="0"/>
        <v>76</v>
      </c>
      <c r="H15">
        <f t="shared" si="1"/>
        <v>659000</v>
      </c>
    </row>
    <row r="16" spans="1:8" ht="15.75" thickBot="1" x14ac:dyDescent="0.3">
      <c r="A16" s="36" t="s">
        <v>582</v>
      </c>
      <c r="B16" s="37" t="s">
        <v>583</v>
      </c>
      <c r="C16" s="40">
        <v>43036</v>
      </c>
      <c r="D16" s="37">
        <v>659000</v>
      </c>
      <c r="E16" s="39">
        <v>43041</v>
      </c>
      <c r="F16" s="38">
        <v>659000</v>
      </c>
      <c r="G16" s="6">
        <f t="shared" si="0"/>
        <v>5</v>
      </c>
      <c r="H16">
        <f t="shared" si="1"/>
        <v>659000</v>
      </c>
    </row>
    <row r="17" spans="1:8" ht="15.75" thickBot="1" x14ac:dyDescent="0.3">
      <c r="A17" s="36" t="s">
        <v>550</v>
      </c>
      <c r="B17" s="37" t="s">
        <v>551</v>
      </c>
      <c r="C17" s="40">
        <v>43024</v>
      </c>
      <c r="D17" s="37">
        <v>720000</v>
      </c>
      <c r="E17" s="39">
        <v>43038</v>
      </c>
      <c r="F17" s="38">
        <v>720000</v>
      </c>
      <c r="G17" s="6">
        <f t="shared" si="0"/>
        <v>14</v>
      </c>
      <c r="H17">
        <f t="shared" si="1"/>
        <v>720000</v>
      </c>
    </row>
    <row r="18" spans="1:8" ht="15.75" thickBot="1" x14ac:dyDescent="0.3">
      <c r="A18" s="405" t="s">
        <v>647</v>
      </c>
      <c r="B18" s="406" t="s">
        <v>648</v>
      </c>
      <c r="C18" s="409">
        <v>43108</v>
      </c>
      <c r="D18" s="406">
        <v>730000</v>
      </c>
      <c r="E18" s="408">
        <v>43116</v>
      </c>
      <c r="F18" s="407">
        <v>730000</v>
      </c>
    </row>
    <row r="19" spans="1:8" ht="15.75" thickBot="1" x14ac:dyDescent="0.3">
      <c r="A19" s="36" t="s">
        <v>511</v>
      </c>
      <c r="B19" s="37" t="s">
        <v>512</v>
      </c>
      <c r="C19" s="40">
        <v>43005</v>
      </c>
      <c r="D19" s="37">
        <v>750000</v>
      </c>
      <c r="E19" s="39">
        <v>43024</v>
      </c>
      <c r="F19" s="38">
        <v>750000</v>
      </c>
      <c r="G19" s="6">
        <f t="shared" si="0"/>
        <v>19</v>
      </c>
      <c r="H19">
        <f t="shared" si="1"/>
        <v>750000</v>
      </c>
    </row>
    <row r="20" spans="1:8" ht="15.75" thickBot="1" x14ac:dyDescent="0.3">
      <c r="A20" s="399"/>
      <c r="B20" s="400"/>
      <c r="C20" s="404"/>
      <c r="D20" s="400"/>
      <c r="E20" s="401"/>
      <c r="F20" s="402"/>
    </row>
    <row r="21" spans="1:8" ht="15.75" thickBot="1" x14ac:dyDescent="0.3">
      <c r="A21" s="405" t="s">
        <v>728</v>
      </c>
      <c r="B21" s="406" t="s">
        <v>729</v>
      </c>
      <c r="C21" s="409">
        <v>43117</v>
      </c>
      <c r="D21" s="406">
        <v>490000</v>
      </c>
      <c r="E21" s="408">
        <v>43131</v>
      </c>
      <c r="F21" s="407">
        <v>490000</v>
      </c>
    </row>
    <row r="22" spans="1:8" ht="15.75" thickBot="1" x14ac:dyDescent="0.3">
      <c r="A22" s="405" t="s">
        <v>652</v>
      </c>
      <c r="B22" s="406" t="s">
        <v>653</v>
      </c>
      <c r="C22" s="409" t="s">
        <v>654</v>
      </c>
      <c r="D22" s="406">
        <v>525000</v>
      </c>
      <c r="E22" s="408">
        <v>43116</v>
      </c>
      <c r="F22" s="407">
        <v>525000</v>
      </c>
    </row>
    <row r="23" spans="1:8" ht="15.75" thickBot="1" x14ac:dyDescent="0.3">
      <c r="A23" s="36" t="s">
        <v>595</v>
      </c>
      <c r="B23" s="37" t="s">
        <v>596</v>
      </c>
      <c r="C23" s="40">
        <v>43042</v>
      </c>
      <c r="D23" s="37">
        <v>540000</v>
      </c>
      <c r="E23" s="39">
        <v>43046</v>
      </c>
      <c r="F23" s="38">
        <v>540000</v>
      </c>
    </row>
    <row r="24" spans="1:8" ht="15.75" thickBot="1" x14ac:dyDescent="0.3">
      <c r="A24" s="36" t="s">
        <v>566</v>
      </c>
      <c r="B24" s="37" t="s">
        <v>567</v>
      </c>
      <c r="C24" s="40">
        <v>43032</v>
      </c>
      <c r="D24" s="37">
        <v>730000</v>
      </c>
      <c r="E24" s="39">
        <v>43062</v>
      </c>
      <c r="F24" s="38">
        <v>659000</v>
      </c>
    </row>
    <row r="25" spans="1:8" ht="15.75" thickBot="1" x14ac:dyDescent="0.3">
      <c r="A25" s="36" t="s">
        <v>627</v>
      </c>
      <c r="B25" s="37" t="s">
        <v>628</v>
      </c>
      <c r="C25" s="40" t="s">
        <v>629</v>
      </c>
      <c r="D25" s="37">
        <v>680000</v>
      </c>
      <c r="E25" s="39">
        <v>43109</v>
      </c>
      <c r="F25" s="38">
        <v>660000</v>
      </c>
    </row>
    <row r="26" spans="1:8" ht="15.75" thickBot="1" x14ac:dyDescent="0.3">
      <c r="A26" s="36" t="s">
        <v>505</v>
      </c>
      <c r="B26" s="37" t="s">
        <v>506</v>
      </c>
      <c r="C26" s="40">
        <v>43015</v>
      </c>
      <c r="D26" s="37">
        <v>670000</v>
      </c>
      <c r="E26" s="39">
        <v>43025</v>
      </c>
      <c r="F26" s="38">
        <v>670000</v>
      </c>
    </row>
    <row r="27" spans="1:8" ht="15.75" thickBot="1" x14ac:dyDescent="0.3">
      <c r="A27" s="36" t="s">
        <v>576</v>
      </c>
      <c r="B27" s="37" t="s">
        <v>577</v>
      </c>
      <c r="C27" s="40">
        <v>43035</v>
      </c>
      <c r="D27" s="37">
        <v>694900</v>
      </c>
      <c r="E27" s="39">
        <v>43038</v>
      </c>
      <c r="F27" s="38">
        <v>694900</v>
      </c>
    </row>
    <row r="28" spans="1:8" ht="15.75" thickBot="1" x14ac:dyDescent="0.3">
      <c r="A28" s="36" t="s">
        <v>619</v>
      </c>
      <c r="B28" s="37" t="s">
        <v>612</v>
      </c>
      <c r="C28" s="40" t="s">
        <v>620</v>
      </c>
      <c r="D28" s="37">
        <v>725000</v>
      </c>
      <c r="E28" s="39">
        <v>43070</v>
      </c>
      <c r="F28" s="38">
        <v>725000</v>
      </c>
    </row>
    <row r="29" spans="1:8" ht="15.75" thickBot="1" x14ac:dyDescent="0.3">
      <c r="A29" s="36" t="s">
        <v>541</v>
      </c>
      <c r="B29" s="37" t="s">
        <v>542</v>
      </c>
      <c r="C29" s="40" t="s">
        <v>543</v>
      </c>
      <c r="D29" s="37">
        <v>730000</v>
      </c>
      <c r="E29" s="39">
        <v>43109</v>
      </c>
      <c r="F29" s="38">
        <v>730000</v>
      </c>
    </row>
    <row r="30" spans="1:8" ht="15.75" thickBot="1" x14ac:dyDescent="0.3">
      <c r="A30" s="36" t="s">
        <v>561</v>
      </c>
      <c r="B30" s="37" t="s">
        <v>562</v>
      </c>
      <c r="C30" s="40" t="s">
        <v>563</v>
      </c>
      <c r="D30" s="37">
        <v>730000</v>
      </c>
      <c r="E30" s="39">
        <v>43042</v>
      </c>
      <c r="F30" s="38">
        <v>730000</v>
      </c>
    </row>
    <row r="31" spans="1:8" ht="15.75" thickBot="1" x14ac:dyDescent="0.3">
      <c r="A31" s="36" t="s">
        <v>617</v>
      </c>
      <c r="B31" s="37" t="s">
        <v>618</v>
      </c>
      <c r="C31" s="40">
        <v>43053</v>
      </c>
      <c r="D31" s="37">
        <v>775000</v>
      </c>
      <c r="E31" s="39">
        <v>43062</v>
      </c>
      <c r="F31" s="38">
        <v>735000</v>
      </c>
    </row>
    <row r="32" spans="1:8" ht="15.75" thickBot="1" x14ac:dyDescent="0.3">
      <c r="A32" s="36" t="s">
        <v>513</v>
      </c>
      <c r="B32" s="37" t="s">
        <v>514</v>
      </c>
      <c r="C32" s="40">
        <v>43001</v>
      </c>
      <c r="D32" s="37">
        <v>735000</v>
      </c>
      <c r="E32" s="39">
        <v>43024</v>
      </c>
      <c r="F32" s="38">
        <v>735000</v>
      </c>
    </row>
    <row r="33" spans="1:6" ht="15.75" thickBot="1" x14ac:dyDescent="0.3">
      <c r="A33" s="36" t="s">
        <v>515</v>
      </c>
      <c r="B33" s="37" t="s">
        <v>516</v>
      </c>
      <c r="C33" s="40">
        <v>42999</v>
      </c>
      <c r="D33" s="37">
        <v>760000</v>
      </c>
      <c r="E33" s="39">
        <v>43109</v>
      </c>
      <c r="F33" s="38">
        <v>760000</v>
      </c>
    </row>
    <row r="34" spans="1:6" ht="15.75" thickBot="1" x14ac:dyDescent="0.3">
      <c r="A34" s="36" t="s">
        <v>507</v>
      </c>
      <c r="B34" s="37" t="s">
        <v>508</v>
      </c>
      <c r="C34" s="40">
        <v>43014</v>
      </c>
      <c r="D34" s="37">
        <v>770000</v>
      </c>
      <c r="E34" s="39">
        <v>43109</v>
      </c>
      <c r="F34" s="38">
        <v>770000</v>
      </c>
    </row>
    <row r="35" spans="1:6" ht="15.75" thickBot="1" x14ac:dyDescent="0.3">
      <c r="A35" s="36" t="s">
        <v>636</v>
      </c>
      <c r="B35" s="37" t="s">
        <v>637</v>
      </c>
      <c r="C35" s="40" t="s">
        <v>638</v>
      </c>
      <c r="D35" s="37">
        <v>770000</v>
      </c>
      <c r="E35" s="39">
        <v>43109</v>
      </c>
      <c r="F35" s="38">
        <v>770000</v>
      </c>
    </row>
    <row r="36" spans="1:6" ht="15.75" thickBot="1" x14ac:dyDescent="0.3">
      <c r="A36" s="36" t="s">
        <v>558</v>
      </c>
      <c r="B36" s="37" t="s">
        <v>559</v>
      </c>
      <c r="C36" s="40" t="s">
        <v>560</v>
      </c>
      <c r="D36" s="37">
        <v>790000</v>
      </c>
      <c r="E36" s="39">
        <v>43038</v>
      </c>
      <c r="F36" s="38">
        <v>790000</v>
      </c>
    </row>
    <row r="37" spans="1:6" ht="15.75" thickBot="1" x14ac:dyDescent="0.3">
      <c r="A37" s="36" t="s">
        <v>584</v>
      </c>
      <c r="B37" s="37" t="s">
        <v>585</v>
      </c>
      <c r="C37" s="40" t="s">
        <v>586</v>
      </c>
      <c r="D37" s="37">
        <v>815000</v>
      </c>
      <c r="E37" s="39">
        <v>43046</v>
      </c>
      <c r="F37" s="38">
        <v>815000</v>
      </c>
    </row>
    <row r="38" spans="1:6" ht="15.75" thickBot="1" x14ac:dyDescent="0.3">
      <c r="A38" s="36" t="s">
        <v>518</v>
      </c>
      <c r="B38" s="37" t="s">
        <v>519</v>
      </c>
      <c r="C38" s="40">
        <v>42990</v>
      </c>
      <c r="D38" s="37">
        <v>820000</v>
      </c>
      <c r="E38" s="39">
        <v>43109</v>
      </c>
      <c r="F38" s="38">
        <v>820000</v>
      </c>
    </row>
  </sheetData>
  <pageMargins left="0.7" right="0.7" top="0.75" bottom="0.75" header="0.3" footer="0.3"/>
  <pageSetup scale="7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00"/>
  <sheetViews>
    <sheetView workbookViewId="0">
      <selection activeCell="B25" sqref="B25"/>
    </sheetView>
  </sheetViews>
  <sheetFormatPr defaultColWidth="9.140625" defaultRowHeight="15" x14ac:dyDescent="0.25"/>
  <cols>
    <col min="1" max="1" width="11.85546875" style="2" customWidth="1"/>
    <col min="2" max="2" width="98.42578125" style="2" bestFit="1" customWidth="1"/>
    <col min="3" max="3" width="9.85546875" style="5" bestFit="1" customWidth="1"/>
    <col min="4" max="4" width="9.85546875" style="2" bestFit="1" customWidth="1"/>
    <col min="5" max="16384" width="9.140625" style="2"/>
  </cols>
  <sheetData>
    <row r="1" spans="1:5" x14ac:dyDescent="0.25">
      <c r="A1" t="s">
        <v>243</v>
      </c>
      <c r="B1" t="s">
        <v>244</v>
      </c>
      <c r="C1" t="s">
        <v>736</v>
      </c>
      <c r="D1">
        <v>450000</v>
      </c>
      <c r="E1" s="1"/>
    </row>
    <row r="2" spans="1:5" x14ac:dyDescent="0.25">
      <c r="A2" t="s">
        <v>141</v>
      </c>
      <c r="B2" t="s">
        <v>758</v>
      </c>
      <c r="C2" t="s">
        <v>736</v>
      </c>
      <c r="D2">
        <v>1200000</v>
      </c>
      <c r="E2" s="1"/>
    </row>
    <row r="3" spans="1:5" x14ac:dyDescent="0.25">
      <c r="A3" t="s">
        <v>639</v>
      </c>
      <c r="B3" t="s">
        <v>640</v>
      </c>
      <c r="C3" t="s">
        <v>739</v>
      </c>
      <c r="D3">
        <v>1300000</v>
      </c>
      <c r="E3" s="1"/>
    </row>
    <row r="4" spans="1:5" x14ac:dyDescent="0.25">
      <c r="A4" t="s">
        <v>9</v>
      </c>
      <c r="B4" t="s">
        <v>188</v>
      </c>
      <c r="C4" t="s">
        <v>739</v>
      </c>
      <c r="D4">
        <v>300000</v>
      </c>
      <c r="E4" s="1"/>
    </row>
    <row r="5" spans="1:5" x14ac:dyDescent="0.25">
      <c r="A5" t="s">
        <v>759</v>
      </c>
      <c r="B5" t="s">
        <v>760</v>
      </c>
      <c r="C5" t="s">
        <v>761</v>
      </c>
      <c r="D5">
        <v>1700000</v>
      </c>
      <c r="E5" s="1"/>
    </row>
    <row r="6" spans="1:5" x14ac:dyDescent="0.25">
      <c r="A6" t="s">
        <v>762</v>
      </c>
      <c r="B6" t="s">
        <v>763</v>
      </c>
      <c r="C6" t="s">
        <v>742</v>
      </c>
      <c r="D6">
        <v>600000</v>
      </c>
      <c r="E6" s="1"/>
    </row>
    <row r="7" spans="1:5" x14ac:dyDescent="0.25">
      <c r="A7" t="s">
        <v>43</v>
      </c>
      <c r="B7" t="s">
        <v>193</v>
      </c>
      <c r="C7" t="s">
        <v>745</v>
      </c>
      <c r="D7">
        <v>900000</v>
      </c>
      <c r="E7" s="1"/>
    </row>
    <row r="8" spans="1:5" x14ac:dyDescent="0.25">
      <c r="A8" t="s">
        <v>764</v>
      </c>
      <c r="B8" t="s">
        <v>765</v>
      </c>
      <c r="C8" t="s">
        <v>766</v>
      </c>
      <c r="D8">
        <v>750000</v>
      </c>
      <c r="E8" s="1"/>
    </row>
    <row r="9" spans="1:5" x14ac:dyDescent="0.25">
      <c r="A9" t="s">
        <v>36</v>
      </c>
      <c r="B9" t="s">
        <v>198</v>
      </c>
      <c r="C9" t="s">
        <v>766</v>
      </c>
      <c r="D9">
        <v>300000</v>
      </c>
      <c r="E9" s="1"/>
    </row>
    <row r="10" spans="1:5" x14ac:dyDescent="0.25">
      <c r="A10" t="s">
        <v>39</v>
      </c>
      <c r="B10" t="s">
        <v>202</v>
      </c>
      <c r="C10" t="s">
        <v>748</v>
      </c>
      <c r="D10">
        <v>300000</v>
      </c>
      <c r="E10" s="1"/>
    </row>
    <row r="11" spans="1:5" x14ac:dyDescent="0.25">
      <c r="A11" t="s">
        <v>767</v>
      </c>
      <c r="B11" t="s">
        <v>768</v>
      </c>
      <c r="C11" t="s">
        <v>751</v>
      </c>
      <c r="D11">
        <v>3400000</v>
      </c>
      <c r="E11" s="1"/>
    </row>
    <row r="12" spans="1:5" x14ac:dyDescent="0.25">
      <c r="A12" t="s">
        <v>544</v>
      </c>
      <c r="B12" t="s">
        <v>545</v>
      </c>
      <c r="C12" t="s">
        <v>751</v>
      </c>
      <c r="D12">
        <v>560000</v>
      </c>
      <c r="E12" s="1"/>
    </row>
    <row r="13" spans="1:5" x14ac:dyDescent="0.25">
      <c r="A13" t="s">
        <v>23</v>
      </c>
      <c r="B13" t="s">
        <v>769</v>
      </c>
      <c r="C13" t="s">
        <v>754</v>
      </c>
      <c r="D13">
        <v>1600000</v>
      </c>
      <c r="E13" s="1"/>
    </row>
    <row r="14" spans="1:5" x14ac:dyDescent="0.25">
      <c r="A14" t="s">
        <v>21</v>
      </c>
      <c r="B14" t="s">
        <v>183</v>
      </c>
      <c r="C14" t="s">
        <v>757</v>
      </c>
      <c r="D14">
        <v>450000</v>
      </c>
      <c r="E14" s="1"/>
    </row>
    <row r="15" spans="1:5" x14ac:dyDescent="0.25">
      <c r="A15" t="s">
        <v>708</v>
      </c>
      <c r="B15" t="s">
        <v>709</v>
      </c>
      <c r="C15" t="s">
        <v>731</v>
      </c>
      <c r="D15">
        <v>1650000</v>
      </c>
      <c r="E15" s="1"/>
    </row>
    <row r="16" spans="1:5" x14ac:dyDescent="0.25">
      <c r="A16" t="s">
        <v>710</v>
      </c>
      <c r="B16" t="s">
        <v>711</v>
      </c>
      <c r="C16" t="s">
        <v>712</v>
      </c>
      <c r="D16">
        <v>770000</v>
      </c>
      <c r="E16" s="1"/>
    </row>
    <row r="17" spans="1:5" x14ac:dyDescent="0.25">
      <c r="A17" t="s">
        <v>713</v>
      </c>
      <c r="B17" t="s">
        <v>714</v>
      </c>
      <c r="C17" t="s">
        <v>712</v>
      </c>
      <c r="D17">
        <v>1300000</v>
      </c>
      <c r="E17" s="1"/>
    </row>
    <row r="18" spans="1:5" x14ac:dyDescent="0.25">
      <c r="A18" t="s">
        <v>621</v>
      </c>
      <c r="B18" t="s">
        <v>622</v>
      </c>
      <c r="C18" t="s">
        <v>712</v>
      </c>
      <c r="D18">
        <v>2500000</v>
      </c>
      <c r="E18" s="1"/>
    </row>
    <row r="19" spans="1:5" x14ac:dyDescent="0.25">
      <c r="A19" t="s">
        <v>53</v>
      </c>
      <c r="B19" t="s">
        <v>210</v>
      </c>
      <c r="C19" t="s">
        <v>712</v>
      </c>
      <c r="D19">
        <v>200000</v>
      </c>
      <c r="E19" s="1"/>
    </row>
    <row r="20" spans="1:5" x14ac:dyDescent="0.25">
      <c r="A20" t="s">
        <v>22</v>
      </c>
      <c r="B20" t="s">
        <v>195</v>
      </c>
      <c r="C20" t="s">
        <v>704</v>
      </c>
      <c r="D20">
        <v>1700000</v>
      </c>
      <c r="E20" s="1"/>
    </row>
    <row r="21" spans="1:5" x14ac:dyDescent="0.25">
      <c r="A21" t="s">
        <v>578</v>
      </c>
      <c r="B21" t="s">
        <v>579</v>
      </c>
      <c r="C21" t="s">
        <v>715</v>
      </c>
      <c r="D21">
        <v>530000</v>
      </c>
      <c r="E21" s="1"/>
    </row>
    <row r="22" spans="1:5" x14ac:dyDescent="0.25">
      <c r="A22" t="s">
        <v>245</v>
      </c>
      <c r="B22" t="s">
        <v>475</v>
      </c>
      <c r="C22" t="s">
        <v>716</v>
      </c>
      <c r="D22">
        <v>200000</v>
      </c>
      <c r="E22" s="1"/>
    </row>
    <row r="23" spans="1:5" x14ac:dyDescent="0.25">
      <c r="A23" t="s">
        <v>678</v>
      </c>
      <c r="B23" t="s">
        <v>679</v>
      </c>
      <c r="C23" t="s">
        <v>716</v>
      </c>
      <c r="D23">
        <v>200000</v>
      </c>
      <c r="E23" s="1"/>
    </row>
    <row r="24" spans="1:5" x14ac:dyDescent="0.25">
      <c r="A24" t="s">
        <v>456</v>
      </c>
      <c r="B24" t="s">
        <v>487</v>
      </c>
      <c r="C24" t="s">
        <v>717</v>
      </c>
      <c r="D24">
        <v>1600000</v>
      </c>
      <c r="E24" s="1"/>
    </row>
    <row r="25" spans="1:5" x14ac:dyDescent="0.25">
      <c r="A25" t="s">
        <v>472</v>
      </c>
      <c r="B25" t="s">
        <v>680</v>
      </c>
      <c r="C25" t="s">
        <v>717</v>
      </c>
      <c r="D25">
        <v>320000</v>
      </c>
      <c r="E25" s="1"/>
    </row>
    <row r="26" spans="1:5" x14ac:dyDescent="0.25">
      <c r="A26" t="s">
        <v>556</v>
      </c>
      <c r="B26" t="s">
        <v>557</v>
      </c>
      <c r="C26" t="s">
        <v>717</v>
      </c>
      <c r="D26">
        <v>750000</v>
      </c>
      <c r="E26" s="1"/>
    </row>
    <row r="27" spans="1:5" x14ac:dyDescent="0.25">
      <c r="A27" t="s">
        <v>642</v>
      </c>
      <c r="B27" t="s">
        <v>643</v>
      </c>
      <c r="C27" t="s">
        <v>717</v>
      </c>
      <c r="D27">
        <v>980000</v>
      </c>
      <c r="E27" s="1"/>
    </row>
    <row r="28" spans="1:5" x14ac:dyDescent="0.25">
      <c r="A28" t="s">
        <v>490</v>
      </c>
      <c r="B28" t="s">
        <v>491</v>
      </c>
      <c r="C28" t="s">
        <v>681</v>
      </c>
      <c r="D28">
        <v>1</v>
      </c>
      <c r="E28" s="1"/>
    </row>
    <row r="29" spans="1:5" x14ac:dyDescent="0.25">
      <c r="A29" t="s">
        <v>229</v>
      </c>
      <c r="B29" t="s">
        <v>230</v>
      </c>
      <c r="C29" t="s">
        <v>682</v>
      </c>
      <c r="D29">
        <v>1000000</v>
      </c>
      <c r="E29" s="1"/>
    </row>
    <row r="30" spans="1:5" x14ac:dyDescent="0.25">
      <c r="A30" t="s">
        <v>24</v>
      </c>
      <c r="B30" t="s">
        <v>189</v>
      </c>
      <c r="C30" t="s">
        <v>682</v>
      </c>
      <c r="D30">
        <v>2000000</v>
      </c>
      <c r="E30" s="1"/>
    </row>
    <row r="31" spans="1:5" x14ac:dyDescent="0.25">
      <c r="A31" t="s">
        <v>17</v>
      </c>
      <c r="B31" t="s">
        <v>192</v>
      </c>
      <c r="C31" t="s">
        <v>683</v>
      </c>
      <c r="D31">
        <v>3200000</v>
      </c>
      <c r="E31" s="1"/>
    </row>
    <row r="32" spans="1:5" x14ac:dyDescent="0.25">
      <c r="A32" t="s">
        <v>599</v>
      </c>
      <c r="B32" t="s">
        <v>600</v>
      </c>
      <c r="C32" t="s">
        <v>683</v>
      </c>
      <c r="D32">
        <v>1</v>
      </c>
      <c r="E32" s="1"/>
    </row>
    <row r="33" spans="1:5" x14ac:dyDescent="0.25">
      <c r="A33" t="s">
        <v>684</v>
      </c>
      <c r="B33" t="s">
        <v>685</v>
      </c>
      <c r="C33" t="s">
        <v>683</v>
      </c>
      <c r="D33">
        <v>150000</v>
      </c>
      <c r="E33" s="1"/>
    </row>
    <row r="34" spans="1:5" x14ac:dyDescent="0.25">
      <c r="A34" t="s">
        <v>68</v>
      </c>
      <c r="B34" t="s">
        <v>182</v>
      </c>
      <c r="C34" t="s">
        <v>683</v>
      </c>
      <c r="D34">
        <v>1300000</v>
      </c>
      <c r="E34" s="1"/>
    </row>
    <row r="35" spans="1:5" x14ac:dyDescent="0.25">
      <c r="A35" t="s">
        <v>73</v>
      </c>
      <c r="B35" t="s">
        <v>223</v>
      </c>
      <c r="C35" t="s">
        <v>688</v>
      </c>
      <c r="D35">
        <v>1900000</v>
      </c>
      <c r="E35" s="1"/>
    </row>
    <row r="36" spans="1:5" x14ac:dyDescent="0.25">
      <c r="A36"/>
      <c r="B36"/>
      <c r="C36"/>
      <c r="D36"/>
      <c r="E36" s="1"/>
    </row>
    <row r="37" spans="1:5" x14ac:dyDescent="0.25">
      <c r="A37"/>
      <c r="B37"/>
      <c r="C37"/>
      <c r="D37"/>
      <c r="E37" s="1"/>
    </row>
    <row r="38" spans="1:5" x14ac:dyDescent="0.25">
      <c r="A38"/>
      <c r="B38"/>
      <c r="C38"/>
      <c r="D38"/>
      <c r="E38" s="1"/>
    </row>
    <row r="39" spans="1:5" x14ac:dyDescent="0.25">
      <c r="A39"/>
      <c r="B39"/>
      <c r="C39"/>
      <c r="D39"/>
      <c r="E39" s="1"/>
    </row>
    <row r="40" spans="1:5" x14ac:dyDescent="0.25">
      <c r="A40"/>
      <c r="B40"/>
      <c r="C40"/>
      <c r="D40"/>
      <c r="E40" s="1"/>
    </row>
    <row r="41" spans="1:5" x14ac:dyDescent="0.25">
      <c r="A41"/>
      <c r="B41"/>
      <c r="C41"/>
      <c r="D41"/>
      <c r="E41" s="1"/>
    </row>
    <row r="42" spans="1:5" x14ac:dyDescent="0.25">
      <c r="A42"/>
      <c r="B42"/>
      <c r="C42"/>
      <c r="D42"/>
      <c r="E42" s="1"/>
    </row>
    <row r="43" spans="1:5" x14ac:dyDescent="0.25">
      <c r="A43"/>
      <c r="B43"/>
      <c r="C43"/>
      <c r="D43"/>
      <c r="E43" s="1"/>
    </row>
    <row r="44" spans="1:5" x14ac:dyDescent="0.25">
      <c r="A44"/>
      <c r="B44"/>
      <c r="C44"/>
      <c r="D44"/>
      <c r="E44" s="1"/>
    </row>
    <row r="45" spans="1:5" x14ac:dyDescent="0.25">
      <c r="A45"/>
      <c r="B45"/>
      <c r="C45"/>
      <c r="D45"/>
      <c r="E45" s="1"/>
    </row>
    <row r="46" spans="1:5" x14ac:dyDescent="0.25">
      <c r="A46"/>
      <c r="B46"/>
      <c r="C46"/>
      <c r="D46"/>
      <c r="E46" s="1"/>
    </row>
    <row r="47" spans="1:5" x14ac:dyDescent="0.25">
      <c r="A47"/>
      <c r="B47"/>
      <c r="C47"/>
      <c r="D47"/>
      <c r="E47" s="1"/>
    </row>
    <row r="48" spans="1:5" x14ac:dyDescent="0.25">
      <c r="A48"/>
      <c r="B48"/>
      <c r="C48"/>
      <c r="D48"/>
      <c r="E48" s="1"/>
    </row>
    <row r="49" spans="1:5" x14ac:dyDescent="0.25">
      <c r="A49"/>
      <c r="B49"/>
      <c r="C49"/>
      <c r="D49"/>
      <c r="E49" s="1"/>
    </row>
    <row r="50" spans="1:5" x14ac:dyDescent="0.25">
      <c r="A50"/>
      <c r="B50"/>
      <c r="C50"/>
      <c r="D50"/>
      <c r="E50" s="1"/>
    </row>
    <row r="51" spans="1:5" x14ac:dyDescent="0.25">
      <c r="A51"/>
      <c r="B51"/>
      <c r="C51"/>
      <c r="D51"/>
      <c r="E51" s="1"/>
    </row>
    <row r="52" spans="1:5" x14ac:dyDescent="0.25">
      <c r="A52"/>
      <c r="B52"/>
      <c r="C52"/>
      <c r="D52"/>
      <c r="E52" s="1"/>
    </row>
    <row r="53" spans="1:5" x14ac:dyDescent="0.25">
      <c r="A53"/>
      <c r="B53"/>
      <c r="C53"/>
      <c r="D53"/>
      <c r="E53" s="1"/>
    </row>
    <row r="54" spans="1:5" x14ac:dyDescent="0.25">
      <c r="A54"/>
      <c r="B54"/>
      <c r="C54"/>
      <c r="D54"/>
      <c r="E54" s="1"/>
    </row>
    <row r="55" spans="1:5" x14ac:dyDescent="0.25">
      <c r="A55"/>
      <c r="B55"/>
      <c r="C55"/>
      <c r="D55"/>
      <c r="E55" s="1"/>
    </row>
    <row r="56" spans="1:5" x14ac:dyDescent="0.25">
      <c r="A56"/>
      <c r="B56"/>
      <c r="C56"/>
      <c r="D56"/>
      <c r="E56" s="1"/>
    </row>
    <row r="57" spans="1:5" x14ac:dyDescent="0.25">
      <c r="A57"/>
      <c r="B57"/>
      <c r="C57"/>
      <c r="D57"/>
      <c r="E57" s="1"/>
    </row>
    <row r="58" spans="1:5" x14ac:dyDescent="0.25">
      <c r="A58"/>
      <c r="B58"/>
      <c r="C58"/>
      <c r="D58"/>
      <c r="E58" s="1"/>
    </row>
    <row r="59" spans="1:5" x14ac:dyDescent="0.25">
      <c r="A59"/>
      <c r="B59"/>
      <c r="C59"/>
      <c r="D59"/>
      <c r="E59" s="1"/>
    </row>
    <row r="60" spans="1:5" x14ac:dyDescent="0.25">
      <c r="A60"/>
      <c r="B60"/>
      <c r="C60"/>
      <c r="D60"/>
      <c r="E60" s="1"/>
    </row>
    <row r="61" spans="1:5" x14ac:dyDescent="0.25">
      <c r="A61"/>
      <c r="B61"/>
      <c r="C61"/>
      <c r="D61"/>
      <c r="E61" s="1"/>
    </row>
    <row r="62" spans="1:5" x14ac:dyDescent="0.25">
      <c r="A62"/>
      <c r="B62"/>
      <c r="C62"/>
      <c r="D62"/>
      <c r="E62" s="1"/>
    </row>
    <row r="63" spans="1:5" x14ac:dyDescent="0.25">
      <c r="A63"/>
      <c r="B63"/>
      <c r="C63"/>
      <c r="D63"/>
      <c r="E63" s="1"/>
    </row>
    <row r="64" spans="1:5" x14ac:dyDescent="0.25">
      <c r="A64"/>
      <c r="B64"/>
      <c r="C64"/>
      <c r="D64"/>
      <c r="E64" s="1"/>
    </row>
    <row r="65" spans="1:5" x14ac:dyDescent="0.25">
      <c r="A65"/>
      <c r="B65"/>
      <c r="C65"/>
      <c r="D65"/>
      <c r="E65" s="1"/>
    </row>
    <row r="66" spans="1:5" x14ac:dyDescent="0.25">
      <c r="A66"/>
      <c r="B66"/>
      <c r="C66"/>
      <c r="D66"/>
      <c r="E66" s="1"/>
    </row>
    <row r="67" spans="1:5" x14ac:dyDescent="0.25">
      <c r="A67"/>
      <c r="B67"/>
      <c r="C67"/>
      <c r="D67"/>
      <c r="E67" s="1"/>
    </row>
    <row r="68" spans="1:5" x14ac:dyDescent="0.25">
      <c r="A68"/>
      <c r="B68"/>
      <c r="C68"/>
      <c r="D68"/>
      <c r="E68" s="1"/>
    </row>
    <row r="69" spans="1:5" x14ac:dyDescent="0.25">
      <c r="A69"/>
      <c r="B69"/>
      <c r="C69"/>
      <c r="D69"/>
      <c r="E69" s="1"/>
    </row>
    <row r="70" spans="1:5" x14ac:dyDescent="0.25">
      <c r="A70"/>
      <c r="B70"/>
      <c r="C70"/>
      <c r="D70"/>
      <c r="E70" s="1"/>
    </row>
    <row r="71" spans="1:5" x14ac:dyDescent="0.25">
      <c r="A71"/>
      <c r="B71"/>
      <c r="C71"/>
      <c r="D71"/>
      <c r="E71" s="1"/>
    </row>
    <row r="72" spans="1:5" x14ac:dyDescent="0.25">
      <c r="A72"/>
      <c r="B72"/>
      <c r="C72"/>
      <c r="D72"/>
      <c r="E72" s="1"/>
    </row>
    <row r="73" spans="1:5" x14ac:dyDescent="0.25">
      <c r="A73"/>
      <c r="B73"/>
      <c r="C73"/>
      <c r="D73"/>
      <c r="E73" s="1"/>
    </row>
    <row r="74" spans="1:5" x14ac:dyDescent="0.25">
      <c r="A74"/>
      <c r="B74"/>
      <c r="C74"/>
      <c r="D74"/>
      <c r="E74" s="1"/>
    </row>
    <row r="75" spans="1:5" x14ac:dyDescent="0.25">
      <c r="A75"/>
      <c r="B75"/>
      <c r="C75"/>
      <c r="D75"/>
      <c r="E75" s="1"/>
    </row>
    <row r="76" spans="1:5" x14ac:dyDescent="0.25">
      <c r="A76"/>
      <c r="B76"/>
      <c r="C76"/>
      <c r="D76"/>
      <c r="E76" s="1"/>
    </row>
    <row r="77" spans="1:5" x14ac:dyDescent="0.25">
      <c r="A77"/>
      <c r="B77"/>
      <c r="C77"/>
      <c r="D77"/>
      <c r="E77" s="1"/>
    </row>
    <row r="78" spans="1:5" x14ac:dyDescent="0.25">
      <c r="A78"/>
      <c r="B78"/>
      <c r="C78"/>
      <c r="D78"/>
      <c r="E78" s="1"/>
    </row>
    <row r="79" spans="1:5" x14ac:dyDescent="0.25">
      <c r="A79"/>
      <c r="B79"/>
      <c r="C79"/>
      <c r="D79"/>
      <c r="E79" s="1"/>
    </row>
    <row r="80" spans="1:5" x14ac:dyDescent="0.25">
      <c r="A80"/>
      <c r="B80"/>
      <c r="C80"/>
      <c r="D80"/>
      <c r="E80" s="1"/>
    </row>
    <row r="81" spans="1:5" x14ac:dyDescent="0.25">
      <c r="A81"/>
      <c r="B81"/>
      <c r="C81"/>
      <c r="D81"/>
      <c r="E81" s="1"/>
    </row>
    <row r="82" spans="1:5" x14ac:dyDescent="0.25">
      <c r="A82"/>
      <c r="B82"/>
      <c r="C82"/>
      <c r="D82"/>
      <c r="E82" s="1"/>
    </row>
    <row r="83" spans="1:5" x14ac:dyDescent="0.25">
      <c r="A83"/>
      <c r="B83"/>
      <c r="C83"/>
      <c r="D83"/>
      <c r="E83" s="1"/>
    </row>
    <row r="84" spans="1:5" x14ac:dyDescent="0.25">
      <c r="A84"/>
      <c r="B84"/>
      <c r="C84"/>
      <c r="D84"/>
      <c r="E84" s="1"/>
    </row>
    <row r="85" spans="1:5" x14ac:dyDescent="0.25">
      <c r="A85"/>
      <c r="B85"/>
      <c r="C85"/>
      <c r="D85"/>
      <c r="E85" s="1"/>
    </row>
    <row r="86" spans="1:5" x14ac:dyDescent="0.25">
      <c r="A86"/>
      <c r="B86"/>
      <c r="C86"/>
      <c r="D86"/>
      <c r="E86" s="1"/>
    </row>
    <row r="87" spans="1:5" x14ac:dyDescent="0.25">
      <c r="A87"/>
      <c r="B87"/>
      <c r="C87"/>
      <c r="D87"/>
      <c r="E87" s="1"/>
    </row>
    <row r="88" spans="1:5" x14ac:dyDescent="0.25">
      <c r="A88"/>
      <c r="B88"/>
      <c r="C88"/>
      <c r="D88"/>
      <c r="E88" s="1"/>
    </row>
    <row r="89" spans="1:5" x14ac:dyDescent="0.25">
      <c r="A89"/>
      <c r="B89"/>
      <c r="C89"/>
      <c r="D89"/>
      <c r="E89" s="1"/>
    </row>
    <row r="90" spans="1:5" x14ac:dyDescent="0.25">
      <c r="A90"/>
      <c r="B90"/>
      <c r="C90"/>
      <c r="D90"/>
      <c r="E90" s="1"/>
    </row>
    <row r="91" spans="1:5" x14ac:dyDescent="0.25">
      <c r="A91"/>
      <c r="B91"/>
      <c r="C91"/>
      <c r="D91"/>
      <c r="E91" s="1"/>
    </row>
    <row r="92" spans="1:5" x14ac:dyDescent="0.25">
      <c r="A92"/>
      <c r="B92"/>
      <c r="C92"/>
      <c r="D92"/>
      <c r="E92" s="1"/>
    </row>
    <row r="93" spans="1:5" x14ac:dyDescent="0.25">
      <c r="A93"/>
      <c r="B93"/>
      <c r="C93"/>
      <c r="D93"/>
      <c r="E93" s="1"/>
    </row>
    <row r="94" spans="1:5" x14ac:dyDescent="0.25">
      <c r="A94"/>
      <c r="B94"/>
      <c r="C94"/>
      <c r="D94"/>
      <c r="E94" s="1"/>
    </row>
    <row r="95" spans="1:5" x14ac:dyDescent="0.25">
      <c r="A95"/>
      <c r="B95"/>
      <c r="C95"/>
      <c r="D95"/>
      <c r="E95" s="1"/>
    </row>
    <row r="96" spans="1:5" x14ac:dyDescent="0.25">
      <c r="A96"/>
      <c r="B96"/>
      <c r="C96"/>
      <c r="D96"/>
      <c r="E96" s="1"/>
    </row>
    <row r="97" spans="1:5" x14ac:dyDescent="0.25">
      <c r="A97"/>
      <c r="B97"/>
      <c r="C97"/>
      <c r="D97"/>
      <c r="E97" s="1"/>
    </row>
    <row r="98" spans="1:5" x14ac:dyDescent="0.25">
      <c r="A98"/>
      <c r="B98"/>
      <c r="C98"/>
      <c r="D98"/>
      <c r="E98" s="1"/>
    </row>
    <row r="99" spans="1:5" x14ac:dyDescent="0.25">
      <c r="A99"/>
      <c r="B99"/>
      <c r="C99"/>
      <c r="D99"/>
      <c r="E99" s="1"/>
    </row>
    <row r="100" spans="1:5" x14ac:dyDescent="0.25">
      <c r="A100"/>
      <c r="B100"/>
      <c r="C100"/>
      <c r="D100"/>
      <c r="E100" s="1"/>
    </row>
    <row r="101" spans="1:5" x14ac:dyDescent="0.25">
      <c r="A101"/>
      <c r="B101"/>
      <c r="C101"/>
      <c r="D101"/>
      <c r="E101" s="1"/>
    </row>
    <row r="102" spans="1:5" x14ac:dyDescent="0.25">
      <c r="A102"/>
      <c r="B102"/>
      <c r="C102"/>
      <c r="D102"/>
      <c r="E102" s="1"/>
    </row>
    <row r="103" spans="1:5" x14ac:dyDescent="0.25">
      <c r="A103"/>
      <c r="B103"/>
      <c r="C103"/>
      <c r="D103"/>
      <c r="E103" s="1"/>
    </row>
    <row r="104" spans="1:5" x14ac:dyDescent="0.25">
      <c r="A104"/>
      <c r="B104"/>
      <c r="C104"/>
      <c r="D104"/>
      <c r="E104" s="1"/>
    </row>
    <row r="105" spans="1:5" x14ac:dyDescent="0.25">
      <c r="A105"/>
      <c r="B105"/>
      <c r="C105"/>
      <c r="D105"/>
      <c r="E105" s="1"/>
    </row>
    <row r="106" spans="1:5" x14ac:dyDescent="0.25">
      <c r="A106"/>
      <c r="B106"/>
      <c r="C106"/>
      <c r="D106"/>
      <c r="E106" s="1"/>
    </row>
    <row r="107" spans="1:5" x14ac:dyDescent="0.25">
      <c r="A107"/>
      <c r="B107"/>
      <c r="C107"/>
      <c r="D107"/>
      <c r="E107" s="1"/>
    </row>
    <row r="108" spans="1:5" x14ac:dyDescent="0.25">
      <c r="A108"/>
      <c r="B108"/>
      <c r="C108"/>
      <c r="D108"/>
      <c r="E108" s="1"/>
    </row>
    <row r="109" spans="1:5" x14ac:dyDescent="0.25">
      <c r="A109"/>
      <c r="B109"/>
      <c r="C109"/>
      <c r="D109"/>
      <c r="E109" s="1"/>
    </row>
    <row r="110" spans="1:5" x14ac:dyDescent="0.25">
      <c r="A110"/>
      <c r="B110"/>
      <c r="C110"/>
      <c r="D110"/>
      <c r="E110" s="1"/>
    </row>
    <row r="111" spans="1:5" x14ac:dyDescent="0.25">
      <c r="A111"/>
      <c r="B111"/>
      <c r="C111"/>
      <c r="D111"/>
      <c r="E111" s="1"/>
    </row>
    <row r="112" spans="1:5" x14ac:dyDescent="0.25">
      <c r="A112"/>
      <c r="B112"/>
      <c r="C112"/>
      <c r="D112"/>
      <c r="E112" s="1"/>
    </row>
    <row r="113" spans="1:5" x14ac:dyDescent="0.25">
      <c r="A113"/>
      <c r="B113"/>
      <c r="C113"/>
      <c r="D113"/>
      <c r="E113" s="1"/>
    </row>
    <row r="114" spans="1:5" x14ac:dyDescent="0.25">
      <c r="A114"/>
      <c r="B114"/>
      <c r="C114"/>
      <c r="D114"/>
      <c r="E114" s="1"/>
    </row>
    <row r="115" spans="1:5" x14ac:dyDescent="0.25">
      <c r="A115"/>
      <c r="B115"/>
      <c r="C115"/>
      <c r="D115"/>
      <c r="E115" s="1"/>
    </row>
    <row r="116" spans="1:5" x14ac:dyDescent="0.25">
      <c r="A116"/>
      <c r="B116"/>
      <c r="C116"/>
      <c r="D116"/>
      <c r="E116" s="1"/>
    </row>
    <row r="117" spans="1:5" x14ac:dyDescent="0.25">
      <c r="A117"/>
      <c r="B117"/>
      <c r="C117"/>
      <c r="D117"/>
      <c r="E117" s="1"/>
    </row>
    <row r="118" spans="1:5" x14ac:dyDescent="0.25">
      <c r="A118"/>
      <c r="B118"/>
      <c r="C118"/>
      <c r="D118"/>
      <c r="E118" s="1"/>
    </row>
    <row r="119" spans="1:5" x14ac:dyDescent="0.25">
      <c r="A119"/>
      <c r="B119"/>
      <c r="C119"/>
      <c r="D119"/>
      <c r="E119" s="1"/>
    </row>
    <row r="120" spans="1:5" x14ac:dyDescent="0.25">
      <c r="A120"/>
      <c r="B120"/>
      <c r="C120"/>
      <c r="D120"/>
      <c r="E120" s="1"/>
    </row>
    <row r="121" spans="1:5" x14ac:dyDescent="0.25">
      <c r="A121"/>
      <c r="B121"/>
      <c r="C121"/>
      <c r="D121"/>
      <c r="E121" s="1"/>
    </row>
    <row r="122" spans="1:5" x14ac:dyDescent="0.25">
      <c r="A122"/>
      <c r="B122"/>
      <c r="C122"/>
      <c r="D122"/>
      <c r="E122" s="1"/>
    </row>
    <row r="123" spans="1:5" x14ac:dyDescent="0.25">
      <c r="A123"/>
      <c r="B123"/>
      <c r="C123"/>
      <c r="D123"/>
      <c r="E123" s="1"/>
    </row>
    <row r="124" spans="1:5" x14ac:dyDescent="0.25">
      <c r="A124"/>
      <c r="B124"/>
      <c r="C124"/>
      <c r="D124"/>
      <c r="E124" s="1"/>
    </row>
    <row r="125" spans="1:5" x14ac:dyDescent="0.25">
      <c r="A125"/>
      <c r="B125"/>
      <c r="C125"/>
      <c r="D125"/>
      <c r="E125" s="1"/>
    </row>
    <row r="126" spans="1:5" x14ac:dyDescent="0.25">
      <c r="A126"/>
      <c r="B126"/>
      <c r="C126"/>
      <c r="D126"/>
      <c r="E126" s="1"/>
    </row>
    <row r="127" spans="1:5" x14ac:dyDescent="0.25">
      <c r="A127"/>
      <c r="B127"/>
      <c r="C127"/>
      <c r="D127"/>
      <c r="E127" s="1"/>
    </row>
    <row r="128" spans="1:5" x14ac:dyDescent="0.25">
      <c r="A128"/>
      <c r="B128"/>
      <c r="C128"/>
      <c r="D128"/>
      <c r="E128" s="1"/>
    </row>
    <row r="129" spans="1:5" x14ac:dyDescent="0.25">
      <c r="A129"/>
      <c r="B129"/>
      <c r="C129"/>
      <c r="D129"/>
      <c r="E129" s="1"/>
    </row>
    <row r="130" spans="1:5" x14ac:dyDescent="0.25">
      <c r="A130"/>
      <c r="B130"/>
      <c r="C130"/>
      <c r="D130"/>
      <c r="E130" s="1"/>
    </row>
    <row r="131" spans="1:5" x14ac:dyDescent="0.25">
      <c r="A131"/>
      <c r="B131"/>
      <c r="C131"/>
      <c r="D131"/>
      <c r="E131" s="1"/>
    </row>
    <row r="132" spans="1:5" x14ac:dyDescent="0.25">
      <c r="A132"/>
      <c r="B132"/>
      <c r="C132"/>
      <c r="D132"/>
      <c r="E132" s="1"/>
    </row>
    <row r="133" spans="1:5" x14ac:dyDescent="0.25">
      <c r="A133"/>
      <c r="B133"/>
      <c r="C133"/>
      <c r="D133"/>
      <c r="E133" s="1"/>
    </row>
    <row r="134" spans="1:5" x14ac:dyDescent="0.25">
      <c r="A134"/>
      <c r="B134"/>
      <c r="C134"/>
      <c r="D134"/>
      <c r="E134" s="1"/>
    </row>
    <row r="135" spans="1:5" x14ac:dyDescent="0.25">
      <c r="A135"/>
      <c r="B135"/>
      <c r="C135"/>
      <c r="D135"/>
      <c r="E135" s="1"/>
    </row>
    <row r="136" spans="1:5" x14ac:dyDescent="0.25">
      <c r="A136"/>
      <c r="B136"/>
      <c r="C136"/>
      <c r="D136"/>
      <c r="E136" s="1"/>
    </row>
    <row r="137" spans="1:5" x14ac:dyDescent="0.25">
      <c r="A137"/>
      <c r="B137"/>
      <c r="C137"/>
      <c r="D137"/>
      <c r="E137" s="1"/>
    </row>
    <row r="138" spans="1:5" x14ac:dyDescent="0.25">
      <c r="A138"/>
      <c r="B138"/>
      <c r="C138"/>
      <c r="D138"/>
      <c r="E138" s="1"/>
    </row>
    <row r="139" spans="1:5" x14ac:dyDescent="0.25">
      <c r="A139"/>
      <c r="B139"/>
      <c r="C139"/>
      <c r="D139"/>
      <c r="E139" s="1"/>
    </row>
    <row r="140" spans="1:5" x14ac:dyDescent="0.25">
      <c r="A140"/>
      <c r="B140"/>
      <c r="C140"/>
      <c r="D140"/>
      <c r="E140" s="1"/>
    </row>
    <row r="141" spans="1:5" x14ac:dyDescent="0.25">
      <c r="A141"/>
      <c r="B141"/>
      <c r="C141"/>
      <c r="D141"/>
      <c r="E141" s="1"/>
    </row>
    <row r="142" spans="1:5" x14ac:dyDescent="0.25">
      <c r="A142"/>
      <c r="B142"/>
      <c r="C142"/>
      <c r="D142"/>
      <c r="E142" s="1"/>
    </row>
    <row r="143" spans="1:5" x14ac:dyDescent="0.25">
      <c r="A143"/>
      <c r="B143"/>
      <c r="C143"/>
      <c r="D143"/>
      <c r="E143" s="1"/>
    </row>
    <row r="144" spans="1:5" x14ac:dyDescent="0.25">
      <c r="A144"/>
      <c r="B144"/>
      <c r="C144"/>
      <c r="D144"/>
      <c r="E144" s="1"/>
    </row>
    <row r="145" spans="1:5" x14ac:dyDescent="0.25">
      <c r="A145"/>
      <c r="B145"/>
      <c r="C145"/>
      <c r="D145"/>
      <c r="E145" s="1"/>
    </row>
    <row r="146" spans="1:5" x14ac:dyDescent="0.25">
      <c r="A146"/>
      <c r="B146"/>
      <c r="C146"/>
      <c r="D146"/>
      <c r="E146" s="1"/>
    </row>
    <row r="147" spans="1:5" x14ac:dyDescent="0.25">
      <c r="A147"/>
      <c r="B147"/>
      <c r="C147"/>
      <c r="D147"/>
      <c r="E147" s="1"/>
    </row>
    <row r="148" spans="1:5" x14ac:dyDescent="0.25">
      <c r="A148"/>
      <c r="B148"/>
      <c r="C148"/>
      <c r="D148"/>
      <c r="E148" s="1"/>
    </row>
    <row r="149" spans="1:5" x14ac:dyDescent="0.25">
      <c r="A149"/>
      <c r="B149"/>
      <c r="C149"/>
      <c r="D149"/>
      <c r="E149" s="1"/>
    </row>
    <row r="150" spans="1:5" x14ac:dyDescent="0.25">
      <c r="A150"/>
      <c r="B150"/>
      <c r="C150"/>
      <c r="D150"/>
      <c r="E150" s="1"/>
    </row>
    <row r="151" spans="1:5" x14ac:dyDescent="0.25">
      <c r="A151"/>
      <c r="B151"/>
      <c r="C151"/>
      <c r="D151"/>
      <c r="E151" s="1"/>
    </row>
    <row r="152" spans="1:5" x14ac:dyDescent="0.25">
      <c r="A152"/>
      <c r="B152"/>
      <c r="C152"/>
      <c r="D152"/>
      <c r="E152" s="1"/>
    </row>
    <row r="153" spans="1:5" x14ac:dyDescent="0.25">
      <c r="A153"/>
      <c r="B153"/>
      <c r="C153"/>
      <c r="D153"/>
      <c r="E153" s="1"/>
    </row>
    <row r="154" spans="1:5" x14ac:dyDescent="0.25">
      <c r="A154"/>
      <c r="B154"/>
      <c r="C154"/>
      <c r="D154"/>
      <c r="E154" s="1"/>
    </row>
    <row r="155" spans="1:5" x14ac:dyDescent="0.25">
      <c r="A155"/>
      <c r="B155"/>
      <c r="C155"/>
      <c r="D155"/>
      <c r="E155" s="1"/>
    </row>
    <row r="156" spans="1:5" x14ac:dyDescent="0.25">
      <c r="A156"/>
      <c r="B156"/>
      <c r="C156"/>
      <c r="D156"/>
      <c r="E156" s="1"/>
    </row>
    <row r="157" spans="1:5" x14ac:dyDescent="0.25">
      <c r="A157"/>
      <c r="B157"/>
      <c r="C157"/>
      <c r="D157"/>
      <c r="E157" s="1"/>
    </row>
    <row r="158" spans="1:5" x14ac:dyDescent="0.25">
      <c r="A158"/>
      <c r="B158"/>
      <c r="C158"/>
      <c r="D158"/>
      <c r="E158" s="1"/>
    </row>
    <row r="159" spans="1:5" x14ac:dyDescent="0.25">
      <c r="A159"/>
      <c r="B159"/>
      <c r="C159"/>
      <c r="D159"/>
      <c r="E159" s="1"/>
    </row>
    <row r="160" spans="1:5" x14ac:dyDescent="0.25">
      <c r="A160"/>
      <c r="B160"/>
      <c r="C160"/>
      <c r="D160"/>
      <c r="E160" s="1"/>
    </row>
    <row r="161" spans="1:5" x14ac:dyDescent="0.25">
      <c r="A161"/>
      <c r="B161"/>
      <c r="C161"/>
      <c r="D161"/>
      <c r="E161" s="1"/>
    </row>
    <row r="162" spans="1:5" x14ac:dyDescent="0.25">
      <c r="A162"/>
      <c r="B162"/>
      <c r="C162"/>
      <c r="D162"/>
      <c r="E162" s="1"/>
    </row>
    <row r="163" spans="1:5" x14ac:dyDescent="0.25">
      <c r="A163"/>
      <c r="B163"/>
      <c r="C163"/>
      <c r="D163"/>
      <c r="E163" s="1"/>
    </row>
    <row r="164" spans="1:5" x14ac:dyDescent="0.25">
      <c r="A164"/>
      <c r="B164"/>
      <c r="C164"/>
      <c r="D164"/>
      <c r="E164" s="1"/>
    </row>
    <row r="165" spans="1:5" x14ac:dyDescent="0.25">
      <c r="A165"/>
      <c r="B165"/>
      <c r="C165"/>
      <c r="D165"/>
      <c r="E165" s="1"/>
    </row>
    <row r="166" spans="1:5" x14ac:dyDescent="0.25">
      <c r="A166"/>
      <c r="B166"/>
      <c r="C166"/>
      <c r="D166"/>
      <c r="E166" s="1"/>
    </row>
    <row r="167" spans="1:5" x14ac:dyDescent="0.25">
      <c r="A167"/>
      <c r="B167"/>
      <c r="C167"/>
      <c r="D167"/>
      <c r="E167" s="1"/>
    </row>
    <row r="168" spans="1:5" x14ac:dyDescent="0.25">
      <c r="A168"/>
      <c r="B168"/>
      <c r="C168"/>
      <c r="D168"/>
      <c r="E168" s="1"/>
    </row>
    <row r="169" spans="1:5" x14ac:dyDescent="0.25">
      <c r="A169"/>
      <c r="B169"/>
      <c r="C169"/>
      <c r="D169"/>
      <c r="E169" s="1"/>
    </row>
    <row r="170" spans="1:5" x14ac:dyDescent="0.25">
      <c r="A170"/>
      <c r="B170"/>
      <c r="C170"/>
      <c r="D170"/>
      <c r="E170" s="1"/>
    </row>
    <row r="171" spans="1:5" x14ac:dyDescent="0.25">
      <c r="A171"/>
      <c r="B171"/>
      <c r="C171"/>
      <c r="D171"/>
      <c r="E171" s="1"/>
    </row>
    <row r="172" spans="1:5" x14ac:dyDescent="0.25">
      <c r="A172"/>
      <c r="B172"/>
      <c r="C172"/>
      <c r="D172"/>
      <c r="E172" s="1"/>
    </row>
    <row r="173" spans="1:5" x14ac:dyDescent="0.25">
      <c r="A173"/>
      <c r="B173"/>
      <c r="C173"/>
      <c r="D173"/>
      <c r="E173" s="1"/>
    </row>
    <row r="174" spans="1:5" x14ac:dyDescent="0.25">
      <c r="A174"/>
      <c r="B174"/>
      <c r="C174"/>
      <c r="D174"/>
      <c r="E174" s="1"/>
    </row>
    <row r="175" spans="1:5" x14ac:dyDescent="0.25">
      <c r="A175"/>
      <c r="B175"/>
      <c r="C175"/>
      <c r="D175"/>
      <c r="E175" s="1"/>
    </row>
    <row r="176" spans="1:5" x14ac:dyDescent="0.25">
      <c r="A176"/>
      <c r="B176"/>
      <c r="C176"/>
      <c r="D176"/>
      <c r="E176" s="1"/>
    </row>
    <row r="177" spans="1:5" x14ac:dyDescent="0.25">
      <c r="A177"/>
      <c r="B177"/>
      <c r="C177"/>
      <c r="D177"/>
      <c r="E177" s="1"/>
    </row>
    <row r="178" spans="1:5" x14ac:dyDescent="0.25">
      <c r="A178"/>
      <c r="B178"/>
      <c r="C178"/>
      <c r="D178"/>
      <c r="E178" s="1"/>
    </row>
    <row r="179" spans="1:5" x14ac:dyDescent="0.25">
      <c r="A179"/>
      <c r="B179"/>
      <c r="C179"/>
      <c r="D179"/>
      <c r="E179" s="1"/>
    </row>
    <row r="180" spans="1:5" x14ac:dyDescent="0.25">
      <c r="A180"/>
      <c r="B180"/>
      <c r="C180"/>
      <c r="D180"/>
      <c r="E180" s="1"/>
    </row>
    <row r="181" spans="1:5" x14ac:dyDescent="0.25">
      <c r="A181"/>
      <c r="B181"/>
      <c r="C181"/>
      <c r="D181"/>
      <c r="E181" s="1"/>
    </row>
    <row r="182" spans="1:5" x14ac:dyDescent="0.25">
      <c r="A182"/>
      <c r="B182"/>
      <c r="C182"/>
      <c r="D182"/>
      <c r="E182" s="1"/>
    </row>
    <row r="183" spans="1:5" x14ac:dyDescent="0.25">
      <c r="A183"/>
      <c r="B183"/>
      <c r="C183"/>
      <c r="D183"/>
      <c r="E183" s="1"/>
    </row>
    <row r="184" spans="1:5" x14ac:dyDescent="0.25">
      <c r="A184"/>
      <c r="B184"/>
      <c r="C184"/>
      <c r="D184"/>
      <c r="E184" s="1"/>
    </row>
    <row r="185" spans="1:5" x14ac:dyDescent="0.25">
      <c r="A185"/>
      <c r="B185"/>
      <c r="C185"/>
      <c r="D185"/>
      <c r="E185" s="1"/>
    </row>
    <row r="186" spans="1:5" x14ac:dyDescent="0.25">
      <c r="A186"/>
      <c r="B186"/>
      <c r="C186"/>
      <c r="D186"/>
      <c r="E186" s="1"/>
    </row>
    <row r="187" spans="1:5" x14ac:dyDescent="0.25">
      <c r="A187"/>
      <c r="B187"/>
      <c r="C187"/>
      <c r="D187"/>
      <c r="E187" s="1"/>
    </row>
    <row r="188" spans="1:5" x14ac:dyDescent="0.25">
      <c r="A188"/>
      <c r="B188"/>
      <c r="C188"/>
      <c r="D188"/>
      <c r="E188" s="1"/>
    </row>
    <row r="189" spans="1:5" x14ac:dyDescent="0.25">
      <c r="A189"/>
      <c r="B189"/>
      <c r="C189"/>
      <c r="D189"/>
      <c r="E189" s="1"/>
    </row>
    <row r="190" spans="1:5" x14ac:dyDescent="0.25">
      <c r="A190"/>
      <c r="B190"/>
      <c r="C190"/>
      <c r="D190"/>
      <c r="E190" s="1"/>
    </row>
    <row r="191" spans="1:5" x14ac:dyDescent="0.25">
      <c r="A191"/>
      <c r="B191"/>
      <c r="C191"/>
      <c r="D191"/>
      <c r="E191" s="1"/>
    </row>
    <row r="192" spans="1:5" x14ac:dyDescent="0.25">
      <c r="A192"/>
      <c r="B192"/>
      <c r="C192"/>
      <c r="D192"/>
      <c r="E192" s="1"/>
    </row>
    <row r="193" spans="1:5" x14ac:dyDescent="0.25">
      <c r="A193"/>
      <c r="B193"/>
      <c r="C193"/>
      <c r="D193"/>
      <c r="E193" s="1"/>
    </row>
    <row r="194" spans="1:5" x14ac:dyDescent="0.25">
      <c r="A194"/>
      <c r="B194"/>
      <c r="C194"/>
      <c r="D194"/>
      <c r="E194" s="1"/>
    </row>
    <row r="195" spans="1:5" x14ac:dyDescent="0.25">
      <c r="A195"/>
      <c r="B195"/>
      <c r="C195"/>
      <c r="D195"/>
      <c r="E195" s="1"/>
    </row>
    <row r="196" spans="1:5" x14ac:dyDescent="0.25">
      <c r="A196"/>
      <c r="B196"/>
      <c r="C196"/>
      <c r="D196"/>
      <c r="E196" s="1"/>
    </row>
    <row r="197" spans="1:5" x14ac:dyDescent="0.25">
      <c r="A197"/>
      <c r="B197"/>
      <c r="C197"/>
      <c r="D197"/>
      <c r="E197" s="1"/>
    </row>
    <row r="198" spans="1:5" x14ac:dyDescent="0.25">
      <c r="A198"/>
      <c r="B198"/>
      <c r="C198"/>
      <c r="D198"/>
      <c r="E198" s="1"/>
    </row>
    <row r="199" spans="1:5" x14ac:dyDescent="0.25">
      <c r="A199"/>
      <c r="B199"/>
      <c r="C199"/>
      <c r="D199"/>
      <c r="E199" s="1"/>
    </row>
    <row r="200" spans="1:5" x14ac:dyDescent="0.25">
      <c r="A200"/>
      <c r="B200"/>
      <c r="C200"/>
      <c r="D200"/>
      <c r="E200" s="1"/>
    </row>
    <row r="201" spans="1:5" x14ac:dyDescent="0.25">
      <c r="A201"/>
      <c r="B201"/>
      <c r="C201"/>
      <c r="D201"/>
      <c r="E201" s="1"/>
    </row>
    <row r="202" spans="1:5" x14ac:dyDescent="0.25">
      <c r="A202"/>
      <c r="B202"/>
      <c r="C202"/>
      <c r="D202"/>
      <c r="E202" s="1"/>
    </row>
    <row r="203" spans="1:5" x14ac:dyDescent="0.25">
      <c r="A203"/>
      <c r="B203"/>
      <c r="C203"/>
      <c r="D203"/>
      <c r="E203" s="1"/>
    </row>
    <row r="204" spans="1:5" x14ac:dyDescent="0.25">
      <c r="A204"/>
      <c r="B204"/>
      <c r="C204"/>
      <c r="D204"/>
      <c r="E204" s="1"/>
    </row>
    <row r="205" spans="1:5" x14ac:dyDescent="0.25">
      <c r="A205"/>
      <c r="B205"/>
      <c r="C205"/>
      <c r="D205"/>
      <c r="E205" s="1"/>
    </row>
    <row r="206" spans="1:5" x14ac:dyDescent="0.25">
      <c r="A206"/>
      <c r="B206"/>
      <c r="C206"/>
      <c r="D206"/>
      <c r="E206" s="1"/>
    </row>
    <row r="207" spans="1:5" x14ac:dyDescent="0.25">
      <c r="A207"/>
      <c r="B207"/>
      <c r="C207"/>
      <c r="D207"/>
      <c r="E207" s="1"/>
    </row>
    <row r="208" spans="1:5" x14ac:dyDescent="0.25">
      <c r="A208"/>
      <c r="B208"/>
      <c r="C208"/>
      <c r="D208"/>
      <c r="E208" s="1"/>
    </row>
    <row r="209" spans="1:5" x14ac:dyDescent="0.25">
      <c r="A209"/>
      <c r="B209"/>
      <c r="C209"/>
      <c r="D209"/>
      <c r="E209" s="1"/>
    </row>
    <row r="210" spans="1:5" x14ac:dyDescent="0.25">
      <c r="A210"/>
      <c r="B210"/>
      <c r="C210"/>
      <c r="D210"/>
      <c r="E210" s="1"/>
    </row>
    <row r="211" spans="1:5" x14ac:dyDescent="0.25">
      <c r="A211"/>
      <c r="B211"/>
      <c r="C211"/>
      <c r="D211"/>
      <c r="E211" s="1"/>
    </row>
    <row r="212" spans="1:5" x14ac:dyDescent="0.25">
      <c r="A212"/>
      <c r="B212"/>
      <c r="C212"/>
      <c r="D212"/>
      <c r="E212" s="1"/>
    </row>
    <row r="213" spans="1:5" x14ac:dyDescent="0.25">
      <c r="A213"/>
      <c r="B213"/>
      <c r="C213"/>
      <c r="D213"/>
      <c r="E213" s="1"/>
    </row>
    <row r="214" spans="1:5" x14ac:dyDescent="0.25">
      <c r="A214"/>
      <c r="B214"/>
      <c r="C214"/>
      <c r="D214"/>
      <c r="E214" s="1"/>
    </row>
    <row r="215" spans="1:5" x14ac:dyDescent="0.25">
      <c r="A215"/>
      <c r="B215"/>
      <c r="C215"/>
      <c r="D215"/>
      <c r="E215" s="1"/>
    </row>
    <row r="216" spans="1:5" x14ac:dyDescent="0.25">
      <c r="A216"/>
      <c r="B216"/>
      <c r="C216"/>
      <c r="D216"/>
      <c r="E216" s="1"/>
    </row>
    <row r="217" spans="1:5" x14ac:dyDescent="0.25">
      <c r="A217"/>
      <c r="B217"/>
      <c r="C217"/>
      <c r="D217"/>
      <c r="E217" s="1"/>
    </row>
    <row r="218" spans="1:5" x14ac:dyDescent="0.25">
      <c r="A218"/>
      <c r="B218"/>
      <c r="C218"/>
      <c r="D218"/>
      <c r="E218" s="1"/>
    </row>
    <row r="219" spans="1:5" x14ac:dyDescent="0.25">
      <c r="A219"/>
      <c r="B219"/>
      <c r="C219"/>
      <c r="D219"/>
      <c r="E219" s="1"/>
    </row>
    <row r="220" spans="1:5" x14ac:dyDescent="0.25">
      <c r="A220"/>
      <c r="B220"/>
      <c r="C220"/>
      <c r="D220"/>
      <c r="E220" s="1"/>
    </row>
    <row r="221" spans="1:5" x14ac:dyDescent="0.25">
      <c r="A221"/>
      <c r="B221"/>
      <c r="C221"/>
      <c r="D221"/>
      <c r="E221" s="1"/>
    </row>
    <row r="222" spans="1:5" x14ac:dyDescent="0.25">
      <c r="A222"/>
      <c r="B222"/>
      <c r="C222"/>
      <c r="D222"/>
      <c r="E222" s="1"/>
    </row>
    <row r="223" spans="1:5" x14ac:dyDescent="0.25">
      <c r="A223"/>
      <c r="B223"/>
      <c r="C223"/>
      <c r="D223"/>
      <c r="E223" s="1"/>
    </row>
    <row r="224" spans="1:5" x14ac:dyDescent="0.25">
      <c r="A224"/>
      <c r="B224"/>
      <c r="C224"/>
      <c r="D224"/>
      <c r="E224" s="1"/>
    </row>
    <row r="225" spans="1:5" x14ac:dyDescent="0.25">
      <c r="A225"/>
      <c r="B225"/>
      <c r="C225"/>
      <c r="D225"/>
      <c r="E225" s="1"/>
    </row>
    <row r="226" spans="1:5" x14ac:dyDescent="0.25">
      <c r="A226"/>
      <c r="B226"/>
      <c r="C226"/>
      <c r="D226"/>
      <c r="E226" s="1"/>
    </row>
    <row r="227" spans="1:5" x14ac:dyDescent="0.25">
      <c r="A227"/>
      <c r="B227"/>
      <c r="C227"/>
      <c r="D227"/>
      <c r="E227" s="1"/>
    </row>
    <row r="228" spans="1:5" x14ac:dyDescent="0.25">
      <c r="A228"/>
      <c r="B228"/>
      <c r="C228"/>
      <c r="D228"/>
      <c r="E228" s="1"/>
    </row>
    <row r="229" spans="1:5" x14ac:dyDescent="0.25">
      <c r="A229"/>
      <c r="B229"/>
      <c r="C229"/>
      <c r="D229"/>
      <c r="E229" s="1"/>
    </row>
    <row r="230" spans="1:5" x14ac:dyDescent="0.25">
      <c r="A230"/>
      <c r="B230"/>
      <c r="C230"/>
      <c r="D230"/>
      <c r="E230" s="1"/>
    </row>
    <row r="231" spans="1:5" x14ac:dyDescent="0.25">
      <c r="A231"/>
      <c r="B231"/>
      <c r="C231"/>
      <c r="D231"/>
      <c r="E231" s="1"/>
    </row>
    <row r="232" spans="1:5" x14ac:dyDescent="0.25">
      <c r="A232"/>
      <c r="B232"/>
      <c r="C232"/>
      <c r="D232"/>
      <c r="E232" s="1"/>
    </row>
    <row r="233" spans="1:5" x14ac:dyDescent="0.25">
      <c r="A233"/>
      <c r="B233"/>
      <c r="C233"/>
      <c r="D233"/>
      <c r="E233" s="1"/>
    </row>
    <row r="234" spans="1:5" x14ac:dyDescent="0.25">
      <c r="A234"/>
      <c r="B234"/>
      <c r="C234"/>
      <c r="D234"/>
      <c r="E234" s="1"/>
    </row>
    <row r="235" spans="1:5" x14ac:dyDescent="0.25">
      <c r="A235"/>
      <c r="B235"/>
      <c r="C235"/>
      <c r="D235"/>
      <c r="E235" s="1"/>
    </row>
    <row r="236" spans="1:5" x14ac:dyDescent="0.25">
      <c r="A236"/>
      <c r="B236"/>
      <c r="C236"/>
      <c r="D236"/>
      <c r="E236" s="1"/>
    </row>
    <row r="237" spans="1:5" x14ac:dyDescent="0.25">
      <c r="A237"/>
      <c r="B237"/>
      <c r="C237"/>
      <c r="D237"/>
      <c r="E237" s="1"/>
    </row>
    <row r="238" spans="1:5" x14ac:dyDescent="0.25">
      <c r="A238"/>
      <c r="B238"/>
      <c r="C238"/>
      <c r="D238"/>
      <c r="E238" s="1"/>
    </row>
    <row r="239" spans="1:5" x14ac:dyDescent="0.25">
      <c r="A239"/>
      <c r="B239"/>
      <c r="C239"/>
      <c r="D239"/>
      <c r="E239" s="1"/>
    </row>
    <row r="240" spans="1:5" x14ac:dyDescent="0.25">
      <c r="A240"/>
      <c r="B240"/>
      <c r="C240"/>
      <c r="D240"/>
      <c r="E240" s="1"/>
    </row>
    <row r="241" spans="1:5" x14ac:dyDescent="0.25">
      <c r="A241"/>
      <c r="B241"/>
      <c r="C241"/>
      <c r="D241"/>
      <c r="E241" s="1"/>
    </row>
    <row r="242" spans="1:5" x14ac:dyDescent="0.25">
      <c r="A242"/>
      <c r="B242"/>
      <c r="C242"/>
      <c r="D242"/>
      <c r="E242" s="1"/>
    </row>
    <row r="243" spans="1:5" x14ac:dyDescent="0.25">
      <c r="A243"/>
      <c r="B243"/>
      <c r="C243"/>
      <c r="D243"/>
      <c r="E243" s="1"/>
    </row>
    <row r="244" spans="1:5" x14ac:dyDescent="0.25">
      <c r="A244"/>
      <c r="B244"/>
      <c r="C244"/>
      <c r="D244"/>
      <c r="E244" s="1"/>
    </row>
    <row r="245" spans="1:5" x14ac:dyDescent="0.25">
      <c r="A245"/>
      <c r="B245"/>
      <c r="C245"/>
      <c r="D245"/>
      <c r="E245" s="1"/>
    </row>
    <row r="246" spans="1:5" x14ac:dyDescent="0.25">
      <c r="A246"/>
      <c r="B246"/>
      <c r="C246"/>
      <c r="D246"/>
      <c r="E246" s="1"/>
    </row>
    <row r="247" spans="1:5" x14ac:dyDescent="0.25">
      <c r="A247"/>
      <c r="B247"/>
      <c r="C247"/>
      <c r="D247"/>
      <c r="E247" s="1"/>
    </row>
    <row r="248" spans="1:5" x14ac:dyDescent="0.25">
      <c r="A248"/>
      <c r="B248"/>
      <c r="C248"/>
      <c r="D248"/>
      <c r="E248" s="1"/>
    </row>
    <row r="249" spans="1:5" x14ac:dyDescent="0.25">
      <c r="A249"/>
      <c r="B249"/>
      <c r="C249"/>
      <c r="D249"/>
      <c r="E249" s="1"/>
    </row>
    <row r="250" spans="1:5" x14ac:dyDescent="0.25">
      <c r="A250"/>
      <c r="B250"/>
      <c r="C250"/>
      <c r="D250"/>
      <c r="E250" s="1"/>
    </row>
    <row r="251" spans="1:5" x14ac:dyDescent="0.25">
      <c r="A251"/>
      <c r="B251"/>
      <c r="C251"/>
      <c r="D251"/>
      <c r="E251" s="1"/>
    </row>
    <row r="252" spans="1:5" x14ac:dyDescent="0.25">
      <c r="A252"/>
      <c r="B252"/>
      <c r="C252"/>
      <c r="D252"/>
      <c r="E252" s="1"/>
    </row>
    <row r="253" spans="1:5" x14ac:dyDescent="0.25">
      <c r="A253"/>
      <c r="B253"/>
      <c r="C253"/>
      <c r="D253"/>
      <c r="E253" s="1"/>
    </row>
    <row r="254" spans="1:5" x14ac:dyDescent="0.25">
      <c r="A254"/>
      <c r="B254"/>
      <c r="C254"/>
      <c r="D254"/>
      <c r="E254" s="1"/>
    </row>
    <row r="255" spans="1:5" x14ac:dyDescent="0.25">
      <c r="A255"/>
      <c r="B255"/>
      <c r="C255"/>
      <c r="D255"/>
      <c r="E255" s="1"/>
    </row>
    <row r="256" spans="1:5" x14ac:dyDescent="0.25">
      <c r="A256"/>
      <c r="B256"/>
      <c r="C256"/>
      <c r="D256"/>
      <c r="E256" s="1"/>
    </row>
    <row r="257" spans="1:5" x14ac:dyDescent="0.25">
      <c r="A257"/>
      <c r="B257"/>
      <c r="C257"/>
      <c r="D257"/>
      <c r="E257" s="1"/>
    </row>
    <row r="258" spans="1:5" x14ac:dyDescent="0.25">
      <c r="A258"/>
      <c r="B258"/>
      <c r="C258"/>
      <c r="D258"/>
      <c r="E258" s="1"/>
    </row>
    <row r="259" spans="1:5" x14ac:dyDescent="0.25">
      <c r="A259"/>
      <c r="B259"/>
      <c r="C259"/>
      <c r="D259"/>
      <c r="E259" s="1"/>
    </row>
    <row r="260" spans="1:5" x14ac:dyDescent="0.25">
      <c r="A260"/>
      <c r="B260"/>
      <c r="C260"/>
      <c r="D260"/>
      <c r="E260" s="1"/>
    </row>
    <row r="261" spans="1:5" x14ac:dyDescent="0.25">
      <c r="A261"/>
      <c r="B261"/>
      <c r="C261"/>
      <c r="D261"/>
      <c r="E261" s="1"/>
    </row>
    <row r="262" spans="1:5" x14ac:dyDescent="0.25">
      <c r="A262"/>
      <c r="B262"/>
      <c r="C262"/>
      <c r="D262"/>
      <c r="E262" s="1"/>
    </row>
    <row r="263" spans="1:5" x14ac:dyDescent="0.25">
      <c r="A263"/>
      <c r="B263"/>
      <c r="C263"/>
      <c r="D263"/>
      <c r="E263" s="1"/>
    </row>
    <row r="264" spans="1:5" x14ac:dyDescent="0.25">
      <c r="A264"/>
      <c r="B264"/>
      <c r="C264"/>
      <c r="D264"/>
      <c r="E264" s="1"/>
    </row>
    <row r="265" spans="1:5" x14ac:dyDescent="0.25">
      <c r="A265"/>
      <c r="B265"/>
      <c r="C265"/>
      <c r="D265"/>
      <c r="E265" s="1"/>
    </row>
    <row r="266" spans="1:5" x14ac:dyDescent="0.25">
      <c r="A266"/>
      <c r="B266"/>
      <c r="C266"/>
      <c r="D266"/>
      <c r="E266" s="1"/>
    </row>
    <row r="267" spans="1:5" x14ac:dyDescent="0.25">
      <c r="A267"/>
      <c r="B267"/>
      <c r="C267"/>
      <c r="D267"/>
      <c r="E267" s="1"/>
    </row>
    <row r="268" spans="1:5" x14ac:dyDescent="0.25">
      <c r="A268"/>
      <c r="B268"/>
      <c r="C268"/>
      <c r="D268"/>
      <c r="E268" s="1"/>
    </row>
    <row r="269" spans="1:5" x14ac:dyDescent="0.25">
      <c r="A269"/>
      <c r="B269"/>
      <c r="C269"/>
      <c r="D269"/>
      <c r="E269" s="1"/>
    </row>
    <row r="270" spans="1:5" x14ac:dyDescent="0.25">
      <c r="A270"/>
      <c r="B270"/>
      <c r="C270"/>
      <c r="D270"/>
      <c r="E270" s="1"/>
    </row>
    <row r="271" spans="1:5" x14ac:dyDescent="0.25">
      <c r="A271"/>
      <c r="B271"/>
      <c r="C271"/>
      <c r="D271"/>
      <c r="E271" s="1"/>
    </row>
    <row r="272" spans="1:5" x14ac:dyDescent="0.25">
      <c r="A272"/>
      <c r="B272"/>
      <c r="C272"/>
      <c r="D272"/>
      <c r="E272" s="1"/>
    </row>
    <row r="273" spans="1:5" x14ac:dyDescent="0.25">
      <c r="A273"/>
      <c r="B273"/>
      <c r="C273"/>
      <c r="D273"/>
      <c r="E273" s="1"/>
    </row>
    <row r="274" spans="1:5" x14ac:dyDescent="0.25">
      <c r="A274"/>
      <c r="B274"/>
      <c r="C274"/>
      <c r="D274"/>
      <c r="E274" s="1"/>
    </row>
    <row r="275" spans="1:5" x14ac:dyDescent="0.25">
      <c r="A275"/>
      <c r="B275"/>
      <c r="C275"/>
      <c r="D275"/>
      <c r="E275" s="1"/>
    </row>
    <row r="276" spans="1:5" x14ac:dyDescent="0.25">
      <c r="A276"/>
      <c r="B276"/>
      <c r="C276"/>
      <c r="D276"/>
      <c r="E276" s="1"/>
    </row>
    <row r="277" spans="1:5" x14ac:dyDescent="0.25">
      <c r="A277"/>
      <c r="B277"/>
      <c r="C277"/>
      <c r="D277"/>
      <c r="E277" s="1"/>
    </row>
    <row r="278" spans="1:5" x14ac:dyDescent="0.25">
      <c r="A278"/>
      <c r="B278"/>
      <c r="C278"/>
      <c r="D278"/>
      <c r="E278" s="1"/>
    </row>
    <row r="279" spans="1:5" x14ac:dyDescent="0.25">
      <c r="A279"/>
      <c r="B279"/>
      <c r="C279"/>
      <c r="D279"/>
      <c r="E279" s="1"/>
    </row>
    <row r="280" spans="1:5" x14ac:dyDescent="0.25">
      <c r="A280"/>
      <c r="B280"/>
      <c r="C280"/>
      <c r="D280"/>
      <c r="E280" s="1"/>
    </row>
    <row r="281" spans="1:5" x14ac:dyDescent="0.25">
      <c r="A281"/>
      <c r="B281"/>
      <c r="C281"/>
      <c r="D281"/>
      <c r="E281" s="1"/>
    </row>
    <row r="282" spans="1:5" x14ac:dyDescent="0.25">
      <c r="A282"/>
      <c r="B282"/>
      <c r="C282"/>
      <c r="D282"/>
      <c r="E282" s="1"/>
    </row>
    <row r="283" spans="1:5" x14ac:dyDescent="0.25">
      <c r="A283"/>
      <c r="B283"/>
      <c r="C283"/>
      <c r="D283"/>
      <c r="E283" s="1"/>
    </row>
    <row r="284" spans="1:5" x14ac:dyDescent="0.25">
      <c r="A284"/>
      <c r="B284"/>
      <c r="C284"/>
      <c r="D284"/>
      <c r="E284" s="1"/>
    </row>
    <row r="285" spans="1:5" x14ac:dyDescent="0.25">
      <c r="A285"/>
      <c r="B285"/>
      <c r="C285"/>
      <c r="D285"/>
      <c r="E285" s="1"/>
    </row>
    <row r="286" spans="1:5" x14ac:dyDescent="0.25">
      <c r="A286"/>
      <c r="B286"/>
      <c r="C286"/>
      <c r="D286"/>
      <c r="E286" s="1"/>
    </row>
    <row r="287" spans="1:5" x14ac:dyDescent="0.25">
      <c r="A287"/>
      <c r="B287"/>
      <c r="C287"/>
      <c r="D287"/>
      <c r="E287" s="1"/>
    </row>
    <row r="288" spans="1:5" x14ac:dyDescent="0.25">
      <c r="A288"/>
      <c r="B288"/>
      <c r="C288"/>
      <c r="D288"/>
      <c r="E288" s="1"/>
    </row>
    <row r="289" spans="1:5" x14ac:dyDescent="0.25">
      <c r="A289"/>
      <c r="B289"/>
      <c r="C289"/>
      <c r="D289"/>
      <c r="E289" s="1"/>
    </row>
    <row r="290" spans="1:5" x14ac:dyDescent="0.25">
      <c r="A290"/>
      <c r="B290"/>
      <c r="C290"/>
      <c r="D290"/>
      <c r="E290" s="1"/>
    </row>
    <row r="291" spans="1:5" x14ac:dyDescent="0.25">
      <c r="A291"/>
      <c r="B291"/>
      <c r="C291"/>
      <c r="D291"/>
      <c r="E291" s="1"/>
    </row>
    <row r="292" spans="1:5" x14ac:dyDescent="0.25">
      <c r="A292"/>
      <c r="B292"/>
      <c r="C292"/>
      <c r="D292"/>
      <c r="E292" s="1"/>
    </row>
    <row r="293" spans="1:5" x14ac:dyDescent="0.25">
      <c r="A293"/>
      <c r="B293"/>
      <c r="C293"/>
      <c r="D293"/>
      <c r="E293" s="1"/>
    </row>
    <row r="294" spans="1:5" x14ac:dyDescent="0.25">
      <c r="A294"/>
      <c r="B294"/>
      <c r="C294"/>
      <c r="D294"/>
      <c r="E294" s="1"/>
    </row>
    <row r="295" spans="1:5" x14ac:dyDescent="0.25">
      <c r="A295"/>
      <c r="B295"/>
      <c r="C295"/>
      <c r="D295"/>
      <c r="E295" s="1"/>
    </row>
    <row r="296" spans="1:5" x14ac:dyDescent="0.25">
      <c r="A296"/>
      <c r="B296"/>
      <c r="C296"/>
      <c r="D296"/>
      <c r="E296" s="1"/>
    </row>
    <row r="297" spans="1:5" x14ac:dyDescent="0.25">
      <c r="A297"/>
      <c r="B297"/>
      <c r="C297"/>
      <c r="D297"/>
      <c r="E297" s="1"/>
    </row>
    <row r="298" spans="1:5" x14ac:dyDescent="0.25">
      <c r="A298"/>
      <c r="B298"/>
      <c r="C298"/>
      <c r="D298"/>
      <c r="E298" s="1"/>
    </row>
    <row r="299" spans="1:5" x14ac:dyDescent="0.25">
      <c r="A299"/>
      <c r="B299"/>
      <c r="C299"/>
      <c r="D299"/>
      <c r="E299" s="1"/>
    </row>
    <row r="300" spans="1:5" x14ac:dyDescent="0.25">
      <c r="A300"/>
      <c r="B300"/>
      <c r="C300"/>
      <c r="D300"/>
      <c r="E300" s="1"/>
    </row>
    <row r="301" spans="1:5" x14ac:dyDescent="0.25">
      <c r="A301"/>
      <c r="B301"/>
      <c r="C301"/>
      <c r="D301"/>
      <c r="E301" s="1"/>
    </row>
    <row r="302" spans="1:5" x14ac:dyDescent="0.25">
      <c r="A302"/>
      <c r="B302"/>
      <c r="C302"/>
      <c r="D302"/>
      <c r="E302" s="1"/>
    </row>
    <row r="303" spans="1:5" x14ac:dyDescent="0.25">
      <c r="A303"/>
      <c r="B303"/>
      <c r="C303"/>
      <c r="D303"/>
      <c r="E303" s="1"/>
    </row>
    <row r="304" spans="1:5" x14ac:dyDescent="0.25">
      <c r="A304"/>
      <c r="B304"/>
      <c r="C304"/>
      <c r="D304"/>
      <c r="E304" s="1"/>
    </row>
    <row r="305" spans="1:5" x14ac:dyDescent="0.25">
      <c r="A305"/>
      <c r="B305"/>
      <c r="C305"/>
      <c r="D305"/>
      <c r="E305" s="1"/>
    </row>
    <row r="306" spans="1:5" x14ac:dyDescent="0.25">
      <c r="A306"/>
      <c r="B306"/>
      <c r="C306"/>
      <c r="D306"/>
      <c r="E306" s="1"/>
    </row>
    <row r="307" spans="1:5" x14ac:dyDescent="0.25">
      <c r="A307"/>
      <c r="B307"/>
      <c r="C307"/>
      <c r="D307"/>
      <c r="E307" s="1"/>
    </row>
    <row r="308" spans="1:5" x14ac:dyDescent="0.25">
      <c r="A308"/>
      <c r="B308"/>
      <c r="C308"/>
      <c r="D308"/>
      <c r="E308" s="1"/>
    </row>
    <row r="309" spans="1:5" x14ac:dyDescent="0.25">
      <c r="A309"/>
      <c r="B309"/>
      <c r="C309"/>
      <c r="D309"/>
      <c r="E309" s="1"/>
    </row>
    <row r="310" spans="1:5" x14ac:dyDescent="0.25">
      <c r="A310"/>
      <c r="B310"/>
      <c r="C310"/>
      <c r="D310"/>
      <c r="E310" s="1"/>
    </row>
    <row r="311" spans="1:5" x14ac:dyDescent="0.25">
      <c r="A311"/>
      <c r="B311"/>
      <c r="C311"/>
      <c r="D311"/>
      <c r="E311" s="1"/>
    </row>
    <row r="312" spans="1:5" x14ac:dyDescent="0.25">
      <c r="A312"/>
      <c r="B312"/>
      <c r="C312"/>
      <c r="D312"/>
      <c r="E312" s="1"/>
    </row>
    <row r="313" spans="1:5" x14ac:dyDescent="0.25">
      <c r="A313"/>
      <c r="B313"/>
      <c r="C313"/>
      <c r="D313"/>
      <c r="E313" s="1"/>
    </row>
    <row r="314" spans="1:5" x14ac:dyDescent="0.25">
      <c r="A314"/>
      <c r="B314"/>
      <c r="C314"/>
      <c r="D314"/>
      <c r="E314" s="1"/>
    </row>
    <row r="315" spans="1:5" x14ac:dyDescent="0.25">
      <c r="A315"/>
      <c r="B315"/>
      <c r="C315"/>
      <c r="D315"/>
      <c r="E315" s="1"/>
    </row>
    <row r="316" spans="1:5" x14ac:dyDescent="0.25">
      <c r="A316"/>
      <c r="B316"/>
      <c r="C316"/>
      <c r="D316"/>
      <c r="E316" s="1"/>
    </row>
    <row r="317" spans="1:5" x14ac:dyDescent="0.25">
      <c r="A317"/>
      <c r="B317"/>
      <c r="C317"/>
      <c r="D317"/>
      <c r="E317" s="1"/>
    </row>
    <row r="318" spans="1:5" x14ac:dyDescent="0.25">
      <c r="A318"/>
      <c r="B318"/>
      <c r="C318"/>
      <c r="D318"/>
      <c r="E318" s="1"/>
    </row>
    <row r="319" spans="1:5" x14ac:dyDescent="0.25">
      <c r="A319"/>
      <c r="B319"/>
      <c r="C319"/>
      <c r="D319"/>
      <c r="E319" s="1"/>
    </row>
    <row r="320" spans="1:5" x14ac:dyDescent="0.25">
      <c r="A320"/>
      <c r="B320"/>
      <c r="C320"/>
      <c r="D320"/>
      <c r="E320" s="1"/>
    </row>
    <row r="321" spans="1:5" x14ac:dyDescent="0.25">
      <c r="A321"/>
      <c r="B321"/>
      <c r="C321"/>
      <c r="D321"/>
      <c r="E321" s="1"/>
    </row>
    <row r="322" spans="1:5" x14ac:dyDescent="0.25">
      <c r="A322"/>
      <c r="B322"/>
      <c r="C322"/>
      <c r="D322"/>
      <c r="E322" s="1"/>
    </row>
    <row r="323" spans="1:5" x14ac:dyDescent="0.25">
      <c r="A323"/>
      <c r="B323"/>
      <c r="C323"/>
      <c r="D323"/>
      <c r="E323" s="1"/>
    </row>
    <row r="324" spans="1:5" x14ac:dyDescent="0.25">
      <c r="A324"/>
      <c r="B324"/>
      <c r="C324"/>
      <c r="D324"/>
      <c r="E324" s="1"/>
    </row>
    <row r="325" spans="1:5" x14ac:dyDescent="0.25">
      <c r="A325"/>
      <c r="B325"/>
      <c r="C325"/>
      <c r="D325"/>
      <c r="E325" s="1"/>
    </row>
    <row r="326" spans="1:5" x14ac:dyDescent="0.25">
      <c r="A326"/>
      <c r="B326"/>
      <c r="C326"/>
      <c r="D326"/>
      <c r="E326" s="1"/>
    </row>
    <row r="327" spans="1:5" x14ac:dyDescent="0.25">
      <c r="A327"/>
      <c r="B327"/>
      <c r="C327"/>
      <c r="D327"/>
      <c r="E327" s="1"/>
    </row>
    <row r="328" spans="1:5" x14ac:dyDescent="0.25">
      <c r="A328"/>
      <c r="B328"/>
      <c r="C328"/>
      <c r="D328"/>
      <c r="E328" s="1"/>
    </row>
    <row r="329" spans="1:5" x14ac:dyDescent="0.25">
      <c r="A329"/>
      <c r="B329"/>
      <c r="C329"/>
      <c r="D329"/>
      <c r="E329" s="1"/>
    </row>
    <row r="330" spans="1:5" x14ac:dyDescent="0.25">
      <c r="A330"/>
      <c r="B330"/>
      <c r="C330"/>
      <c r="D330"/>
      <c r="E330" s="1"/>
    </row>
    <row r="331" spans="1:5" x14ac:dyDescent="0.25">
      <c r="A331"/>
      <c r="B331"/>
      <c r="C331"/>
      <c r="D331"/>
      <c r="E331" s="1"/>
    </row>
    <row r="332" spans="1:5" x14ac:dyDescent="0.25">
      <c r="A332"/>
      <c r="B332"/>
      <c r="C332"/>
      <c r="D332"/>
      <c r="E332" s="1"/>
    </row>
    <row r="333" spans="1:5" x14ac:dyDescent="0.25">
      <c r="A333"/>
      <c r="B333"/>
      <c r="C333"/>
      <c r="D333"/>
      <c r="E333" s="1"/>
    </row>
    <row r="334" spans="1:5" x14ac:dyDescent="0.25">
      <c r="A334"/>
      <c r="B334"/>
      <c r="C334"/>
      <c r="D334"/>
      <c r="E334" s="1"/>
    </row>
    <row r="335" spans="1:5" x14ac:dyDescent="0.25">
      <c r="A335"/>
      <c r="B335"/>
      <c r="C335"/>
      <c r="D335"/>
      <c r="E335" s="1"/>
    </row>
    <row r="336" spans="1:5" x14ac:dyDescent="0.25">
      <c r="A336"/>
      <c r="B336"/>
      <c r="C336"/>
      <c r="D336"/>
      <c r="E336" s="1"/>
    </row>
    <row r="337" spans="1:5" x14ac:dyDescent="0.25">
      <c r="A337"/>
      <c r="B337"/>
      <c r="C337"/>
      <c r="D337"/>
      <c r="E337" s="1"/>
    </row>
    <row r="338" spans="1:5" x14ac:dyDescent="0.25">
      <c r="A338"/>
      <c r="B338"/>
      <c r="C338"/>
      <c r="D338"/>
      <c r="E338" s="1"/>
    </row>
    <row r="339" spans="1:5" x14ac:dyDescent="0.25">
      <c r="A339"/>
      <c r="B339"/>
      <c r="C339"/>
      <c r="D339"/>
      <c r="E339" s="1"/>
    </row>
    <row r="340" spans="1:5" x14ac:dyDescent="0.25">
      <c r="A340"/>
      <c r="B340"/>
      <c r="C340"/>
      <c r="D340"/>
      <c r="E340" s="1"/>
    </row>
    <row r="341" spans="1:5" x14ac:dyDescent="0.25">
      <c r="A341"/>
      <c r="B341"/>
      <c r="C341"/>
      <c r="D341"/>
      <c r="E341" s="1"/>
    </row>
    <row r="342" spans="1:5" x14ac:dyDescent="0.25">
      <c r="A342"/>
      <c r="B342"/>
      <c r="C342"/>
      <c r="D342"/>
      <c r="E342" s="1"/>
    </row>
    <row r="343" spans="1:5" x14ac:dyDescent="0.25">
      <c r="A343"/>
      <c r="B343"/>
      <c r="C343"/>
      <c r="D343"/>
      <c r="E343" s="1"/>
    </row>
    <row r="344" spans="1:5" x14ac:dyDescent="0.25">
      <c r="A344"/>
      <c r="B344"/>
      <c r="C344"/>
      <c r="D344"/>
      <c r="E344" s="1"/>
    </row>
    <row r="345" spans="1:5" x14ac:dyDescent="0.25">
      <c r="A345"/>
      <c r="B345"/>
      <c r="C345"/>
      <c r="D345"/>
      <c r="E345" s="1"/>
    </row>
    <row r="346" spans="1:5" x14ac:dyDescent="0.25">
      <c r="A346"/>
      <c r="B346"/>
      <c r="C346"/>
      <c r="D346"/>
      <c r="E346" s="1"/>
    </row>
    <row r="347" spans="1:5" x14ac:dyDescent="0.25">
      <c r="A347"/>
      <c r="B347"/>
      <c r="C347"/>
      <c r="D347"/>
      <c r="E347" s="1"/>
    </row>
    <row r="348" spans="1:5" x14ac:dyDescent="0.25">
      <c r="A348"/>
      <c r="B348"/>
      <c r="C348"/>
      <c r="D348"/>
      <c r="E348" s="1"/>
    </row>
    <row r="349" spans="1:5" x14ac:dyDescent="0.25">
      <c r="A349"/>
      <c r="B349"/>
      <c r="C349"/>
      <c r="D349"/>
      <c r="E349" s="1"/>
    </row>
    <row r="350" spans="1:5" x14ac:dyDescent="0.25">
      <c r="A350"/>
      <c r="B350"/>
      <c r="C350"/>
      <c r="D350"/>
      <c r="E350" s="1"/>
    </row>
    <row r="351" spans="1:5" x14ac:dyDescent="0.25">
      <c r="A351"/>
      <c r="B351"/>
      <c r="C351"/>
      <c r="D351"/>
      <c r="E351" s="1"/>
    </row>
    <row r="352" spans="1:5" x14ac:dyDescent="0.25">
      <c r="A352"/>
      <c r="B352"/>
      <c r="C352"/>
      <c r="D352"/>
      <c r="E352" s="1"/>
    </row>
    <row r="353" spans="1:5" x14ac:dyDescent="0.25">
      <c r="A353"/>
      <c r="B353"/>
      <c r="C353"/>
      <c r="D353"/>
      <c r="E353" s="1"/>
    </row>
    <row r="354" spans="1:5" x14ac:dyDescent="0.25">
      <c r="A354"/>
      <c r="B354"/>
      <c r="C354"/>
      <c r="D354"/>
      <c r="E354" s="1"/>
    </row>
    <row r="355" spans="1:5" x14ac:dyDescent="0.25">
      <c r="A355"/>
      <c r="B355"/>
      <c r="C355"/>
      <c r="D355"/>
      <c r="E355" s="1"/>
    </row>
    <row r="356" spans="1:5" x14ac:dyDescent="0.25">
      <c r="A356"/>
      <c r="B356"/>
      <c r="C356"/>
      <c r="D356"/>
      <c r="E356" s="1"/>
    </row>
    <row r="357" spans="1:5" x14ac:dyDescent="0.25">
      <c r="A357"/>
      <c r="B357"/>
      <c r="C357"/>
      <c r="D357"/>
      <c r="E357" s="1"/>
    </row>
    <row r="358" spans="1:5" x14ac:dyDescent="0.25">
      <c r="A358"/>
      <c r="B358"/>
      <c r="C358"/>
      <c r="D358"/>
      <c r="E358" s="1"/>
    </row>
    <row r="359" spans="1:5" x14ac:dyDescent="0.25">
      <c r="A359"/>
      <c r="B359"/>
      <c r="C359"/>
      <c r="D359"/>
      <c r="E359" s="1"/>
    </row>
    <row r="360" spans="1:5" x14ac:dyDescent="0.25">
      <c r="A360"/>
      <c r="B360"/>
      <c r="C360"/>
      <c r="D360"/>
      <c r="E360" s="1"/>
    </row>
    <row r="361" spans="1:5" x14ac:dyDescent="0.25">
      <c r="A361"/>
      <c r="B361"/>
      <c r="C361"/>
      <c r="D361"/>
      <c r="E361" s="1"/>
    </row>
    <row r="362" spans="1:5" x14ac:dyDescent="0.25">
      <c r="A362"/>
      <c r="B362"/>
      <c r="C362"/>
      <c r="D362"/>
      <c r="E362" s="1"/>
    </row>
    <row r="363" spans="1:5" x14ac:dyDescent="0.25">
      <c r="A363"/>
      <c r="B363"/>
      <c r="C363"/>
      <c r="D363"/>
      <c r="E363" s="1"/>
    </row>
    <row r="364" spans="1:5" x14ac:dyDescent="0.25">
      <c r="A364"/>
      <c r="B364"/>
      <c r="C364"/>
      <c r="D364"/>
      <c r="E364" s="1"/>
    </row>
    <row r="365" spans="1:5" x14ac:dyDescent="0.25">
      <c r="A365"/>
      <c r="B365"/>
      <c r="C365"/>
      <c r="D365"/>
      <c r="E365" s="1"/>
    </row>
    <row r="366" spans="1:5" x14ac:dyDescent="0.25">
      <c r="A366"/>
      <c r="B366"/>
      <c r="C366"/>
      <c r="D366"/>
      <c r="E366" s="1"/>
    </row>
    <row r="367" spans="1:5" x14ac:dyDescent="0.25">
      <c r="A367"/>
      <c r="B367"/>
      <c r="C367"/>
      <c r="D367"/>
      <c r="E367" s="1"/>
    </row>
    <row r="368" spans="1:5" x14ac:dyDescent="0.25">
      <c r="A368"/>
      <c r="B368"/>
      <c r="C368"/>
      <c r="D368"/>
      <c r="E368" s="1"/>
    </row>
    <row r="369" spans="1:5" x14ac:dyDescent="0.25">
      <c r="A369"/>
      <c r="B369"/>
      <c r="C369"/>
      <c r="D369"/>
      <c r="E369" s="1"/>
    </row>
    <row r="370" spans="1:5" x14ac:dyDescent="0.25">
      <c r="A370"/>
      <c r="B370"/>
      <c r="C370"/>
      <c r="D370"/>
      <c r="E370" s="1"/>
    </row>
    <row r="371" spans="1:5" x14ac:dyDescent="0.25">
      <c r="A371"/>
      <c r="B371"/>
      <c r="C371"/>
      <c r="D371"/>
      <c r="E371" s="1"/>
    </row>
    <row r="372" spans="1:5" x14ac:dyDescent="0.25">
      <c r="A372"/>
      <c r="B372"/>
      <c r="C372"/>
      <c r="D372"/>
      <c r="E372" s="1"/>
    </row>
    <row r="373" spans="1:5" x14ac:dyDescent="0.25">
      <c r="A373"/>
      <c r="B373"/>
      <c r="C373"/>
      <c r="D373"/>
      <c r="E373" s="1"/>
    </row>
    <row r="374" spans="1:5" x14ac:dyDescent="0.25">
      <c r="A374"/>
      <c r="B374"/>
      <c r="C374"/>
      <c r="D374"/>
      <c r="E374" s="1"/>
    </row>
    <row r="375" spans="1:5" x14ac:dyDescent="0.25">
      <c r="A375"/>
      <c r="B375"/>
      <c r="C375"/>
      <c r="D375"/>
      <c r="E375" s="1"/>
    </row>
    <row r="376" spans="1:5" x14ac:dyDescent="0.25">
      <c r="A376"/>
      <c r="B376"/>
      <c r="C376"/>
      <c r="D376"/>
      <c r="E376" s="1"/>
    </row>
    <row r="377" spans="1:5" x14ac:dyDescent="0.25">
      <c r="A377"/>
      <c r="B377"/>
      <c r="C377"/>
      <c r="D377"/>
      <c r="E377" s="1"/>
    </row>
    <row r="378" spans="1:5" x14ac:dyDescent="0.25">
      <c r="A378"/>
      <c r="B378"/>
      <c r="C378"/>
      <c r="D378"/>
      <c r="E378" s="1"/>
    </row>
    <row r="379" spans="1:5" x14ac:dyDescent="0.25">
      <c r="A379"/>
      <c r="B379"/>
      <c r="C379"/>
      <c r="D379"/>
      <c r="E379" s="1"/>
    </row>
    <row r="380" spans="1:5" x14ac:dyDescent="0.25">
      <c r="A380"/>
      <c r="B380"/>
      <c r="C380"/>
      <c r="D380"/>
      <c r="E380" s="1"/>
    </row>
    <row r="381" spans="1:5" x14ac:dyDescent="0.25">
      <c r="A381"/>
      <c r="B381"/>
      <c r="C381"/>
      <c r="D381"/>
      <c r="E381" s="1"/>
    </row>
    <row r="382" spans="1:5" x14ac:dyDescent="0.25">
      <c r="A382"/>
      <c r="B382"/>
      <c r="C382"/>
      <c r="D382"/>
      <c r="E382" s="1"/>
    </row>
    <row r="383" spans="1:5" x14ac:dyDescent="0.25">
      <c r="A383"/>
      <c r="B383"/>
      <c r="C383"/>
      <c r="D383"/>
      <c r="E383" s="1"/>
    </row>
    <row r="384" spans="1:5" x14ac:dyDescent="0.25">
      <c r="A384"/>
      <c r="B384"/>
      <c r="C384"/>
      <c r="D384"/>
      <c r="E384" s="1"/>
    </row>
    <row r="385" spans="1:5" x14ac:dyDescent="0.25">
      <c r="A385"/>
      <c r="B385"/>
      <c r="C385"/>
      <c r="D385"/>
      <c r="E385" s="1"/>
    </row>
    <row r="386" spans="1:5" x14ac:dyDescent="0.25">
      <c r="A386"/>
      <c r="B386"/>
      <c r="C386"/>
      <c r="D386"/>
      <c r="E386" s="1"/>
    </row>
    <row r="387" spans="1:5" x14ac:dyDescent="0.25">
      <c r="A387"/>
      <c r="B387"/>
      <c r="C387"/>
      <c r="D387"/>
      <c r="E387" s="1"/>
    </row>
    <row r="388" spans="1:5" x14ac:dyDescent="0.25">
      <c r="A388"/>
      <c r="B388"/>
      <c r="C388"/>
      <c r="D388"/>
      <c r="E388" s="1"/>
    </row>
    <row r="389" spans="1:5" x14ac:dyDescent="0.25">
      <c r="A389"/>
      <c r="B389"/>
      <c r="C389"/>
      <c r="D389"/>
      <c r="E389" s="1"/>
    </row>
    <row r="390" spans="1:5" x14ac:dyDescent="0.25">
      <c r="A390"/>
      <c r="B390"/>
      <c r="C390"/>
      <c r="D390"/>
      <c r="E390" s="1"/>
    </row>
    <row r="391" spans="1:5" x14ac:dyDescent="0.25">
      <c r="A391"/>
      <c r="B391"/>
      <c r="C391"/>
      <c r="D391"/>
      <c r="E391" s="1"/>
    </row>
    <row r="392" spans="1:5" x14ac:dyDescent="0.25">
      <c r="A392"/>
      <c r="B392"/>
      <c r="C392"/>
      <c r="D392"/>
      <c r="E392" s="1"/>
    </row>
    <row r="393" spans="1:5" x14ac:dyDescent="0.25">
      <c r="A393"/>
      <c r="B393"/>
      <c r="C393"/>
      <c r="D393"/>
      <c r="E393" s="1"/>
    </row>
    <row r="394" spans="1:5" x14ac:dyDescent="0.25">
      <c r="A394"/>
      <c r="B394"/>
      <c r="C394"/>
      <c r="D394"/>
      <c r="E394" s="1"/>
    </row>
    <row r="395" spans="1:5" x14ac:dyDescent="0.25">
      <c r="A395"/>
      <c r="B395"/>
      <c r="C395"/>
      <c r="D395"/>
      <c r="E395" s="1"/>
    </row>
    <row r="396" spans="1:5" x14ac:dyDescent="0.25">
      <c r="A396"/>
      <c r="B396"/>
      <c r="C396"/>
      <c r="D396"/>
      <c r="E396" s="1"/>
    </row>
    <row r="397" spans="1:5" x14ac:dyDescent="0.25">
      <c r="A397"/>
      <c r="B397"/>
      <c r="C397"/>
      <c r="D397"/>
      <c r="E397" s="1"/>
    </row>
    <row r="398" spans="1:5" x14ac:dyDescent="0.25">
      <c r="A398"/>
      <c r="B398"/>
      <c r="C398"/>
      <c r="D398"/>
      <c r="E398" s="1"/>
    </row>
    <row r="399" spans="1:5" x14ac:dyDescent="0.25">
      <c r="A399"/>
      <c r="B399"/>
      <c r="C399"/>
      <c r="D399"/>
      <c r="E399" s="1"/>
    </row>
    <row r="400" spans="1:5" x14ac:dyDescent="0.25">
      <c r="A400"/>
      <c r="B400"/>
      <c r="C400"/>
      <c r="D400"/>
      <c r="E400" s="1"/>
    </row>
    <row r="401" spans="1:5" x14ac:dyDescent="0.25">
      <c r="A401"/>
      <c r="B401"/>
      <c r="C401"/>
      <c r="D401"/>
      <c r="E401" s="1"/>
    </row>
    <row r="402" spans="1:5" x14ac:dyDescent="0.25">
      <c r="A402"/>
      <c r="B402"/>
      <c r="C402"/>
      <c r="D402"/>
      <c r="E402" s="1"/>
    </row>
    <row r="403" spans="1:5" x14ac:dyDescent="0.25">
      <c r="A403"/>
      <c r="B403"/>
      <c r="C403"/>
      <c r="D403"/>
      <c r="E403" s="1"/>
    </row>
    <row r="404" spans="1:5" x14ac:dyDescent="0.25">
      <c r="A404"/>
      <c r="B404"/>
      <c r="C404"/>
      <c r="D404"/>
      <c r="E404" s="1"/>
    </row>
    <row r="405" spans="1:5" x14ac:dyDescent="0.25">
      <c r="A405"/>
      <c r="B405"/>
      <c r="C405"/>
      <c r="D405"/>
      <c r="E405" s="1"/>
    </row>
    <row r="406" spans="1:5" x14ac:dyDescent="0.25">
      <c r="A406"/>
      <c r="B406"/>
      <c r="C406"/>
      <c r="D406"/>
      <c r="E406" s="1"/>
    </row>
    <row r="407" spans="1:5" x14ac:dyDescent="0.25">
      <c r="A407"/>
      <c r="B407"/>
      <c r="C407"/>
      <c r="D407"/>
      <c r="E407" s="1"/>
    </row>
    <row r="408" spans="1:5" x14ac:dyDescent="0.25">
      <c r="A408"/>
      <c r="B408"/>
      <c r="C408"/>
      <c r="D408"/>
      <c r="E408" s="1"/>
    </row>
    <row r="409" spans="1:5" x14ac:dyDescent="0.25">
      <c r="A409"/>
      <c r="B409"/>
      <c r="C409"/>
      <c r="D409"/>
      <c r="E409" s="1"/>
    </row>
    <row r="410" spans="1:5" x14ac:dyDescent="0.25">
      <c r="A410"/>
      <c r="B410"/>
      <c r="C410"/>
      <c r="D410"/>
      <c r="E410" s="1"/>
    </row>
    <row r="411" spans="1:5" x14ac:dyDescent="0.25">
      <c r="A411"/>
      <c r="B411"/>
      <c r="C411"/>
      <c r="D411"/>
      <c r="E411" s="1"/>
    </row>
    <row r="412" spans="1:5" x14ac:dyDescent="0.25">
      <c r="A412"/>
      <c r="B412"/>
      <c r="C412"/>
      <c r="D412"/>
      <c r="E412" s="1"/>
    </row>
    <row r="413" spans="1:5" x14ac:dyDescent="0.25">
      <c r="A413"/>
      <c r="B413"/>
      <c r="C413"/>
      <c r="D413"/>
      <c r="E413" s="1"/>
    </row>
    <row r="414" spans="1:5" x14ac:dyDescent="0.25">
      <c r="A414"/>
      <c r="B414"/>
      <c r="C414"/>
      <c r="D414"/>
      <c r="E414" s="1"/>
    </row>
    <row r="415" spans="1:5" x14ac:dyDescent="0.25">
      <c r="A415"/>
      <c r="B415"/>
      <c r="C415"/>
      <c r="D415"/>
      <c r="E415" s="1"/>
    </row>
    <row r="416" spans="1:5" x14ac:dyDescent="0.25">
      <c r="A416"/>
      <c r="B416"/>
      <c r="C416"/>
      <c r="D416"/>
      <c r="E416" s="1"/>
    </row>
    <row r="417" spans="1:5" x14ac:dyDescent="0.25">
      <c r="A417"/>
      <c r="B417"/>
      <c r="C417"/>
      <c r="D417"/>
      <c r="E417" s="1"/>
    </row>
    <row r="418" spans="1:5" x14ac:dyDescent="0.25">
      <c r="A418"/>
      <c r="B418"/>
      <c r="C418"/>
      <c r="D418"/>
      <c r="E418" s="1"/>
    </row>
    <row r="419" spans="1:5" x14ac:dyDescent="0.25">
      <c r="A419"/>
      <c r="B419"/>
      <c r="C419"/>
      <c r="D419"/>
      <c r="E419" s="1"/>
    </row>
    <row r="420" spans="1:5" x14ac:dyDescent="0.25">
      <c r="A420"/>
      <c r="B420"/>
      <c r="C420"/>
      <c r="D420"/>
      <c r="E420" s="1"/>
    </row>
    <row r="421" spans="1:5" x14ac:dyDescent="0.25">
      <c r="A421"/>
      <c r="B421"/>
      <c r="C421"/>
      <c r="D421"/>
      <c r="E421" s="1"/>
    </row>
    <row r="422" spans="1:5" x14ac:dyDescent="0.25">
      <c r="A422"/>
      <c r="B422"/>
      <c r="C422"/>
      <c r="D422"/>
      <c r="E422" s="1"/>
    </row>
    <row r="423" spans="1:5" x14ac:dyDescent="0.25">
      <c r="A423"/>
      <c r="B423"/>
      <c r="C423"/>
      <c r="D423"/>
      <c r="E423" s="1"/>
    </row>
    <row r="424" spans="1:5" x14ac:dyDescent="0.25">
      <c r="A424"/>
      <c r="B424"/>
      <c r="C424"/>
      <c r="D424"/>
      <c r="E424" s="1"/>
    </row>
    <row r="425" spans="1:5" x14ac:dyDescent="0.25">
      <c r="A425"/>
      <c r="B425"/>
      <c r="C425"/>
      <c r="D425"/>
      <c r="E425" s="1"/>
    </row>
    <row r="426" spans="1:5" x14ac:dyDescent="0.25">
      <c r="A426"/>
      <c r="B426"/>
      <c r="C426"/>
      <c r="D426"/>
      <c r="E426" s="1"/>
    </row>
    <row r="427" spans="1:5" x14ac:dyDescent="0.25">
      <c r="A427"/>
      <c r="B427"/>
      <c r="C427"/>
      <c r="D427"/>
      <c r="E427" s="1"/>
    </row>
    <row r="428" spans="1:5" x14ac:dyDescent="0.25">
      <c r="A428"/>
      <c r="B428"/>
      <c r="C428"/>
      <c r="D428"/>
      <c r="E428" s="1"/>
    </row>
    <row r="429" spans="1:5" x14ac:dyDescent="0.25">
      <c r="A429"/>
      <c r="B429"/>
      <c r="C429"/>
      <c r="D429"/>
      <c r="E429" s="1"/>
    </row>
    <row r="430" spans="1:5" x14ac:dyDescent="0.25">
      <c r="A430"/>
      <c r="B430"/>
      <c r="C430"/>
      <c r="D430"/>
      <c r="E430" s="1"/>
    </row>
    <row r="431" spans="1:5" x14ac:dyDescent="0.25">
      <c r="A431"/>
      <c r="B431"/>
      <c r="C431"/>
      <c r="D431"/>
      <c r="E431" s="1"/>
    </row>
    <row r="432" spans="1:5" x14ac:dyDescent="0.25">
      <c r="A432"/>
      <c r="B432"/>
      <c r="C432"/>
      <c r="D432"/>
      <c r="E432" s="1"/>
    </row>
    <row r="433" spans="1:5" x14ac:dyDescent="0.25">
      <c r="A433"/>
      <c r="B433"/>
      <c r="C433"/>
      <c r="D433"/>
      <c r="E433" s="1"/>
    </row>
    <row r="434" spans="1:5" x14ac:dyDescent="0.25">
      <c r="A434"/>
      <c r="B434"/>
      <c r="C434"/>
      <c r="D434"/>
      <c r="E434" s="1"/>
    </row>
    <row r="435" spans="1:5" x14ac:dyDescent="0.25">
      <c r="A435"/>
      <c r="B435"/>
      <c r="C435"/>
      <c r="D435"/>
      <c r="E435" s="1"/>
    </row>
    <row r="436" spans="1:5" x14ac:dyDescent="0.25">
      <c r="A436"/>
      <c r="B436"/>
      <c r="C436"/>
      <c r="D436"/>
      <c r="E436" s="1"/>
    </row>
    <row r="437" spans="1:5" x14ac:dyDescent="0.25">
      <c r="A437"/>
      <c r="B437"/>
      <c r="C437"/>
      <c r="D437"/>
      <c r="E437" s="1"/>
    </row>
    <row r="438" spans="1:5" x14ac:dyDescent="0.25">
      <c r="A438"/>
      <c r="B438"/>
      <c r="C438"/>
      <c r="D438"/>
      <c r="E438" s="1"/>
    </row>
    <row r="439" spans="1:5" x14ac:dyDescent="0.25">
      <c r="A439"/>
      <c r="B439"/>
      <c r="C439"/>
      <c r="D439"/>
      <c r="E439" s="1"/>
    </row>
    <row r="440" spans="1:5" x14ac:dyDescent="0.25">
      <c r="A440"/>
      <c r="B440"/>
      <c r="C440"/>
      <c r="D440"/>
      <c r="E440" s="1"/>
    </row>
    <row r="441" spans="1:5" x14ac:dyDescent="0.25">
      <c r="A441"/>
      <c r="B441"/>
      <c r="C441"/>
      <c r="D441"/>
      <c r="E441" s="1"/>
    </row>
    <row r="442" spans="1:5" x14ac:dyDescent="0.25">
      <c r="A442"/>
      <c r="B442"/>
      <c r="C442"/>
      <c r="D442"/>
      <c r="E442" s="1"/>
    </row>
    <row r="443" spans="1:5" x14ac:dyDescent="0.25">
      <c r="A443"/>
      <c r="B443"/>
      <c r="C443"/>
      <c r="D443"/>
      <c r="E443" s="1"/>
    </row>
    <row r="444" spans="1:5" x14ac:dyDescent="0.25">
      <c r="A444"/>
      <c r="B444"/>
      <c r="C444"/>
      <c r="D444"/>
      <c r="E444" s="1"/>
    </row>
    <row r="445" spans="1:5" x14ac:dyDescent="0.25">
      <c r="A445"/>
      <c r="B445"/>
      <c r="C445"/>
      <c r="D445"/>
      <c r="E445" s="1"/>
    </row>
    <row r="446" spans="1:5" x14ac:dyDescent="0.25">
      <c r="A446"/>
      <c r="B446"/>
      <c r="C446"/>
      <c r="D446"/>
      <c r="E446" s="1"/>
    </row>
    <row r="447" spans="1:5" x14ac:dyDescent="0.25">
      <c r="A447"/>
      <c r="B447"/>
      <c r="C447"/>
      <c r="D447"/>
      <c r="E447" s="1"/>
    </row>
    <row r="448" spans="1:5" x14ac:dyDescent="0.25">
      <c r="A448"/>
      <c r="B448"/>
      <c r="C448"/>
      <c r="D448"/>
      <c r="E448" s="1"/>
    </row>
    <row r="449" spans="1:5" x14ac:dyDescent="0.25">
      <c r="A449"/>
      <c r="B449"/>
      <c r="C449"/>
      <c r="D449"/>
      <c r="E449" s="1"/>
    </row>
    <row r="450" spans="1:5" x14ac:dyDescent="0.25">
      <c r="A450"/>
      <c r="B450"/>
      <c r="C450"/>
      <c r="D450"/>
      <c r="E450" s="1"/>
    </row>
    <row r="451" spans="1:5" x14ac:dyDescent="0.25">
      <c r="A451"/>
      <c r="B451"/>
      <c r="C451"/>
      <c r="D451"/>
      <c r="E451" s="1"/>
    </row>
    <row r="452" spans="1:5" x14ac:dyDescent="0.25">
      <c r="A452"/>
      <c r="B452"/>
      <c r="C452"/>
      <c r="D452"/>
      <c r="E452" s="1"/>
    </row>
    <row r="453" spans="1:5" x14ac:dyDescent="0.25">
      <c r="A453"/>
      <c r="B453"/>
      <c r="C453"/>
      <c r="D453"/>
      <c r="E453" s="1"/>
    </row>
    <row r="454" spans="1:5" x14ac:dyDescent="0.25">
      <c r="A454"/>
      <c r="B454"/>
      <c r="C454"/>
      <c r="D454"/>
      <c r="E454" s="1"/>
    </row>
    <row r="455" spans="1:5" x14ac:dyDescent="0.25">
      <c r="A455"/>
      <c r="B455"/>
      <c r="C455"/>
      <c r="D455"/>
      <c r="E455" s="1"/>
    </row>
    <row r="456" spans="1:5" x14ac:dyDescent="0.25">
      <c r="A456"/>
      <c r="B456"/>
      <c r="C456"/>
      <c r="D456"/>
      <c r="E456" s="1"/>
    </row>
    <row r="457" spans="1:5" x14ac:dyDescent="0.25">
      <c r="A457"/>
      <c r="B457"/>
      <c r="C457"/>
      <c r="D457"/>
      <c r="E457" s="1"/>
    </row>
    <row r="458" spans="1:5" x14ac:dyDescent="0.25">
      <c r="A458"/>
      <c r="B458"/>
      <c r="C458"/>
      <c r="D458"/>
      <c r="E458" s="1"/>
    </row>
    <row r="459" spans="1:5" x14ac:dyDescent="0.25">
      <c r="A459"/>
      <c r="B459"/>
      <c r="C459"/>
      <c r="D459"/>
      <c r="E459" s="1"/>
    </row>
    <row r="460" spans="1:5" x14ac:dyDescent="0.25">
      <c r="A460"/>
      <c r="B460"/>
      <c r="C460"/>
      <c r="D460"/>
      <c r="E460" s="1"/>
    </row>
    <row r="461" spans="1:5" x14ac:dyDescent="0.25">
      <c r="A461"/>
      <c r="B461"/>
      <c r="C461"/>
      <c r="D461"/>
      <c r="E461" s="1"/>
    </row>
    <row r="462" spans="1:5" x14ac:dyDescent="0.25">
      <c r="A462"/>
      <c r="B462"/>
      <c r="C462"/>
      <c r="D462"/>
      <c r="E462" s="1"/>
    </row>
    <row r="463" spans="1:5" x14ac:dyDescent="0.25">
      <c r="A463"/>
      <c r="B463"/>
      <c r="C463"/>
      <c r="D463"/>
      <c r="E463" s="1"/>
    </row>
    <row r="464" spans="1:5" x14ac:dyDescent="0.25">
      <c r="A464"/>
      <c r="B464"/>
      <c r="C464"/>
      <c r="D464"/>
      <c r="E464" s="1"/>
    </row>
    <row r="465" spans="1:5" x14ac:dyDescent="0.25">
      <c r="A465"/>
      <c r="B465"/>
      <c r="C465"/>
      <c r="D465"/>
      <c r="E465" s="1"/>
    </row>
    <row r="466" spans="1:5" x14ac:dyDescent="0.25">
      <c r="A466"/>
      <c r="B466"/>
      <c r="C466"/>
      <c r="D466"/>
      <c r="E466" s="1"/>
    </row>
    <row r="467" spans="1:5" x14ac:dyDescent="0.25">
      <c r="A467"/>
      <c r="B467"/>
      <c r="C467"/>
      <c r="D467"/>
      <c r="E467" s="1"/>
    </row>
    <row r="468" spans="1:5" x14ac:dyDescent="0.25">
      <c r="A468"/>
      <c r="B468"/>
      <c r="C468"/>
      <c r="D468"/>
      <c r="E468" s="1"/>
    </row>
    <row r="469" spans="1:5" x14ac:dyDescent="0.25">
      <c r="A469"/>
      <c r="B469"/>
      <c r="C469"/>
      <c r="D469"/>
      <c r="E469" s="1"/>
    </row>
    <row r="470" spans="1:5" x14ac:dyDescent="0.25">
      <c r="A470"/>
      <c r="B470"/>
      <c r="C470"/>
      <c r="D470"/>
      <c r="E470" s="1"/>
    </row>
    <row r="471" spans="1:5" x14ac:dyDescent="0.25">
      <c r="A471"/>
      <c r="B471"/>
      <c r="C471"/>
      <c r="D471"/>
      <c r="E471" s="1"/>
    </row>
    <row r="472" spans="1:5" x14ac:dyDescent="0.25">
      <c r="A472"/>
      <c r="B472"/>
      <c r="C472"/>
      <c r="D472"/>
      <c r="E472" s="1"/>
    </row>
    <row r="473" spans="1:5" x14ac:dyDescent="0.25">
      <c r="A473"/>
      <c r="B473"/>
      <c r="C473"/>
      <c r="D473"/>
      <c r="E473" s="1"/>
    </row>
    <row r="474" spans="1:5" x14ac:dyDescent="0.25">
      <c r="A474"/>
      <c r="B474"/>
      <c r="C474"/>
      <c r="D474"/>
      <c r="E474" s="1"/>
    </row>
    <row r="475" spans="1:5" x14ac:dyDescent="0.25">
      <c r="A475"/>
      <c r="B475"/>
      <c r="C475"/>
      <c r="D475"/>
      <c r="E475" s="1"/>
    </row>
    <row r="476" spans="1:5" x14ac:dyDescent="0.25">
      <c r="A476"/>
      <c r="B476"/>
      <c r="C476"/>
      <c r="D476"/>
      <c r="E476" s="1"/>
    </row>
    <row r="477" spans="1:5" x14ac:dyDescent="0.25">
      <c r="A477"/>
      <c r="B477"/>
      <c r="C477"/>
      <c r="D477"/>
      <c r="E477" s="1"/>
    </row>
    <row r="478" spans="1:5" x14ac:dyDescent="0.25">
      <c r="A478"/>
      <c r="B478"/>
      <c r="C478"/>
      <c r="D478"/>
      <c r="E478" s="1"/>
    </row>
    <row r="479" spans="1:5" x14ac:dyDescent="0.25">
      <c r="A479"/>
      <c r="B479"/>
      <c r="C479"/>
      <c r="D479"/>
      <c r="E479" s="1"/>
    </row>
    <row r="480" spans="1:5" x14ac:dyDescent="0.25">
      <c r="A480"/>
      <c r="B480"/>
      <c r="C480"/>
      <c r="D480"/>
      <c r="E480" s="1"/>
    </row>
    <row r="481" spans="1:5" x14ac:dyDescent="0.25">
      <c r="A481"/>
      <c r="B481"/>
      <c r="C481"/>
      <c r="D481"/>
      <c r="E481" s="1"/>
    </row>
    <row r="482" spans="1:5" x14ac:dyDescent="0.25">
      <c r="A482"/>
      <c r="B482"/>
      <c r="C482"/>
      <c r="D482"/>
      <c r="E482" s="1"/>
    </row>
    <row r="483" spans="1:5" x14ac:dyDescent="0.25">
      <c r="A483"/>
      <c r="B483"/>
      <c r="C483"/>
      <c r="D483"/>
      <c r="E483" s="1"/>
    </row>
    <row r="484" spans="1:5" x14ac:dyDescent="0.25">
      <c r="A484"/>
      <c r="B484"/>
      <c r="C484"/>
      <c r="D484"/>
      <c r="E484" s="1"/>
    </row>
    <row r="485" spans="1:5" x14ac:dyDescent="0.25">
      <c r="A485"/>
      <c r="B485"/>
      <c r="C485"/>
      <c r="D485"/>
      <c r="E485" s="1"/>
    </row>
    <row r="486" spans="1:5" x14ac:dyDescent="0.25">
      <c r="A486"/>
      <c r="B486"/>
      <c r="C486"/>
      <c r="D486"/>
      <c r="E486" s="1"/>
    </row>
    <row r="487" spans="1:5" x14ac:dyDescent="0.25">
      <c r="A487"/>
      <c r="B487"/>
      <c r="C487"/>
      <c r="D487"/>
      <c r="E487" s="1"/>
    </row>
    <row r="488" spans="1:5" x14ac:dyDescent="0.25">
      <c r="A488"/>
      <c r="B488"/>
      <c r="C488"/>
      <c r="D488"/>
      <c r="E488" s="1"/>
    </row>
    <row r="489" spans="1:5" x14ac:dyDescent="0.25">
      <c r="A489"/>
      <c r="B489"/>
      <c r="C489"/>
      <c r="D489"/>
      <c r="E489" s="1"/>
    </row>
    <row r="490" spans="1:5" x14ac:dyDescent="0.25">
      <c r="A490"/>
      <c r="B490"/>
      <c r="C490"/>
      <c r="D490"/>
      <c r="E490" s="1"/>
    </row>
    <row r="491" spans="1:5" x14ac:dyDescent="0.25">
      <c r="A491"/>
      <c r="B491"/>
      <c r="C491"/>
      <c r="D491"/>
      <c r="E491" s="1"/>
    </row>
    <row r="492" spans="1:5" x14ac:dyDescent="0.25">
      <c r="A492"/>
      <c r="B492"/>
      <c r="C492"/>
      <c r="D492"/>
      <c r="E492" s="1"/>
    </row>
    <row r="493" spans="1:5" x14ac:dyDescent="0.25">
      <c r="A493"/>
      <c r="B493"/>
      <c r="C493"/>
      <c r="D493"/>
      <c r="E493" s="1"/>
    </row>
    <row r="494" spans="1:5" x14ac:dyDescent="0.25">
      <c r="A494"/>
      <c r="B494"/>
      <c r="C494"/>
      <c r="D494"/>
      <c r="E494" s="1"/>
    </row>
    <row r="495" spans="1:5" x14ac:dyDescent="0.25">
      <c r="A495"/>
      <c r="B495"/>
      <c r="C495"/>
      <c r="D495"/>
      <c r="E495" s="1"/>
    </row>
    <row r="496" spans="1:5" x14ac:dyDescent="0.25">
      <c r="A496"/>
      <c r="B496"/>
      <c r="C496"/>
      <c r="D496"/>
      <c r="E496" s="1"/>
    </row>
    <row r="497" spans="1:5" x14ac:dyDescent="0.25">
      <c r="A497"/>
      <c r="B497"/>
      <c r="C497"/>
      <c r="D497"/>
      <c r="E497" s="1"/>
    </row>
    <row r="498" spans="1:5" x14ac:dyDescent="0.25">
      <c r="A498"/>
      <c r="B498"/>
      <c r="C498"/>
      <c r="D498"/>
    </row>
    <row r="499" spans="1:5" x14ac:dyDescent="0.25">
      <c r="A499"/>
      <c r="B499"/>
      <c r="C499"/>
      <c r="D499"/>
    </row>
    <row r="500" spans="1:5" x14ac:dyDescent="0.25">
      <c r="A500"/>
      <c r="B500"/>
      <c r="C500"/>
      <c r="D50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6"/>
  <sheetViews>
    <sheetView zoomScaleNormal="100" workbookViewId="0">
      <selection activeCell="B31" sqref="B31"/>
    </sheetView>
  </sheetViews>
  <sheetFormatPr defaultColWidth="8.85546875" defaultRowHeight="15" x14ac:dyDescent="0.25"/>
  <cols>
    <col min="1" max="1" width="13.28515625" style="2" customWidth="1"/>
    <col min="2" max="2" width="98.42578125" style="2" bestFit="1" customWidth="1"/>
    <col min="3" max="3" width="10.140625" style="2" bestFit="1" customWidth="1"/>
    <col min="4" max="4" width="8.85546875" style="2" bestFit="1" customWidth="1"/>
    <col min="5" max="5" width="8.85546875" style="2"/>
    <col min="6" max="6" width="11.5703125" style="2" bestFit="1" customWidth="1"/>
    <col min="7" max="7" width="11.42578125" style="2" bestFit="1" customWidth="1"/>
    <col min="8" max="8" width="29.28515625" style="2" bestFit="1" customWidth="1"/>
    <col min="9" max="16384" width="8.85546875" style="2"/>
  </cols>
  <sheetData>
    <row r="1" spans="1:4" x14ac:dyDescent="0.25">
      <c r="A1" t="s">
        <v>243</v>
      </c>
      <c r="B1" t="s">
        <v>244</v>
      </c>
      <c r="C1" s="8">
        <v>42928</v>
      </c>
      <c r="D1">
        <v>450000</v>
      </c>
    </row>
    <row r="2" spans="1:4" x14ac:dyDescent="0.25">
      <c r="A2" t="s">
        <v>141</v>
      </c>
      <c r="B2" t="s">
        <v>758</v>
      </c>
      <c r="C2" t="s">
        <v>736</v>
      </c>
      <c r="D2">
        <v>1200000</v>
      </c>
    </row>
    <row r="3" spans="1:4" x14ac:dyDescent="0.25">
      <c r="A3" t="s">
        <v>639</v>
      </c>
      <c r="B3" t="s">
        <v>640</v>
      </c>
      <c r="C3" t="s">
        <v>641</v>
      </c>
      <c r="D3">
        <v>1300000</v>
      </c>
    </row>
    <row r="4" spans="1:4" x14ac:dyDescent="0.25">
      <c r="A4" s="1" t="s">
        <v>9</v>
      </c>
      <c r="B4" t="s">
        <v>188</v>
      </c>
      <c r="C4" s="3">
        <v>42820</v>
      </c>
      <c r="D4" s="1">
        <v>300000</v>
      </c>
    </row>
    <row r="5" spans="1:4" x14ac:dyDescent="0.25">
      <c r="A5" t="s">
        <v>759</v>
      </c>
      <c r="B5" t="s">
        <v>760</v>
      </c>
      <c r="C5" t="s">
        <v>761</v>
      </c>
      <c r="D5">
        <v>1700000</v>
      </c>
    </row>
    <row r="6" spans="1:4" x14ac:dyDescent="0.25">
      <c r="A6" t="s">
        <v>762</v>
      </c>
      <c r="B6" t="s">
        <v>763</v>
      </c>
      <c r="C6" t="s">
        <v>742</v>
      </c>
      <c r="D6">
        <v>600000</v>
      </c>
    </row>
    <row r="7" spans="1:4" x14ac:dyDescent="0.25">
      <c r="A7" s="1" t="s">
        <v>43</v>
      </c>
      <c r="B7" t="s">
        <v>193</v>
      </c>
      <c r="C7" s="3">
        <v>42819</v>
      </c>
      <c r="D7" s="1">
        <v>900000</v>
      </c>
    </row>
    <row r="8" spans="1:4" x14ac:dyDescent="0.25">
      <c r="A8" t="s">
        <v>764</v>
      </c>
      <c r="B8" t="s">
        <v>765</v>
      </c>
      <c r="C8" t="s">
        <v>766</v>
      </c>
      <c r="D8">
        <v>750000</v>
      </c>
    </row>
    <row r="9" spans="1:4" x14ac:dyDescent="0.25">
      <c r="A9" s="1" t="s">
        <v>36</v>
      </c>
      <c r="B9" t="s">
        <v>198</v>
      </c>
      <c r="C9" s="3">
        <v>42816</v>
      </c>
      <c r="D9" s="1">
        <v>300000</v>
      </c>
    </row>
    <row r="10" spans="1:4" x14ac:dyDescent="0.25">
      <c r="A10" s="1" t="s">
        <v>39</v>
      </c>
      <c r="B10" t="s">
        <v>202</v>
      </c>
      <c r="C10" s="3">
        <v>42842</v>
      </c>
      <c r="D10" s="1">
        <v>300000</v>
      </c>
    </row>
    <row r="11" spans="1:4" x14ac:dyDescent="0.25">
      <c r="A11" t="s">
        <v>767</v>
      </c>
      <c r="B11" t="s">
        <v>768</v>
      </c>
      <c r="C11" t="s">
        <v>751</v>
      </c>
      <c r="D11">
        <v>3400000</v>
      </c>
    </row>
    <row r="12" spans="1:4" x14ac:dyDescent="0.25">
      <c r="A12" t="s">
        <v>544</v>
      </c>
      <c r="B12" t="s">
        <v>545</v>
      </c>
      <c r="C12" t="s">
        <v>630</v>
      </c>
      <c r="D12">
        <v>560000</v>
      </c>
    </row>
    <row r="13" spans="1:4" x14ac:dyDescent="0.25">
      <c r="A13" s="1" t="s">
        <v>23</v>
      </c>
      <c r="B13" t="s">
        <v>277</v>
      </c>
      <c r="C13" s="3">
        <v>42819</v>
      </c>
      <c r="D13" s="1">
        <v>1600000</v>
      </c>
    </row>
    <row r="14" spans="1:4" x14ac:dyDescent="0.25">
      <c r="A14" t="s">
        <v>21</v>
      </c>
      <c r="B14" t="s">
        <v>183</v>
      </c>
      <c r="C14" t="s">
        <v>757</v>
      </c>
      <c r="D14">
        <v>450000</v>
      </c>
    </row>
    <row r="15" spans="1:4" x14ac:dyDescent="0.25">
      <c r="A15" t="s">
        <v>708</v>
      </c>
      <c r="B15" t="s">
        <v>709</v>
      </c>
      <c r="C15" s="8">
        <v>43115</v>
      </c>
      <c r="D15">
        <v>1650000</v>
      </c>
    </row>
    <row r="16" spans="1:4" x14ac:dyDescent="0.25">
      <c r="A16" t="s">
        <v>710</v>
      </c>
      <c r="B16" t="s">
        <v>711</v>
      </c>
      <c r="C16" t="s">
        <v>712</v>
      </c>
      <c r="D16">
        <v>770000</v>
      </c>
    </row>
    <row r="17" spans="1:4" x14ac:dyDescent="0.25">
      <c r="A17" t="s">
        <v>713</v>
      </c>
      <c r="B17" t="s">
        <v>714</v>
      </c>
      <c r="C17" t="s">
        <v>712</v>
      </c>
      <c r="D17">
        <v>1300000</v>
      </c>
    </row>
    <row r="18" spans="1:4" x14ac:dyDescent="0.25">
      <c r="A18" t="s">
        <v>621</v>
      </c>
      <c r="B18" t="s">
        <v>622</v>
      </c>
      <c r="C18" t="s">
        <v>623</v>
      </c>
      <c r="D18">
        <v>2500000</v>
      </c>
    </row>
    <row r="19" spans="1:4" x14ac:dyDescent="0.25">
      <c r="A19" t="s">
        <v>53</v>
      </c>
      <c r="B19" t="s">
        <v>210</v>
      </c>
      <c r="C19" t="s">
        <v>712</v>
      </c>
      <c r="D19">
        <v>200000</v>
      </c>
    </row>
    <row r="20" spans="1:4" x14ac:dyDescent="0.25">
      <c r="A20" t="s">
        <v>22</v>
      </c>
      <c r="B20" t="s">
        <v>195</v>
      </c>
      <c r="C20" t="s">
        <v>287</v>
      </c>
      <c r="D20">
        <v>1700000</v>
      </c>
    </row>
    <row r="21" spans="1:4" x14ac:dyDescent="0.25">
      <c r="A21" t="s">
        <v>578</v>
      </c>
      <c r="B21" t="s">
        <v>579</v>
      </c>
      <c r="C21" s="8">
        <v>43035</v>
      </c>
      <c r="D21">
        <v>530000</v>
      </c>
    </row>
    <row r="22" spans="1:4" x14ac:dyDescent="0.25">
      <c r="A22" t="s">
        <v>245</v>
      </c>
      <c r="B22" t="s">
        <v>246</v>
      </c>
      <c r="C22" s="8">
        <v>42927</v>
      </c>
      <c r="D22">
        <v>200000</v>
      </c>
    </row>
    <row r="23" spans="1:4" x14ac:dyDescent="0.25">
      <c r="A23" t="s">
        <v>678</v>
      </c>
      <c r="B23" t="s">
        <v>679</v>
      </c>
      <c r="C23" s="8">
        <v>43109</v>
      </c>
      <c r="D23">
        <v>200000</v>
      </c>
    </row>
    <row r="24" spans="1:4" x14ac:dyDescent="0.25">
      <c r="A24" t="s">
        <v>456</v>
      </c>
      <c r="B24" t="s">
        <v>457</v>
      </c>
      <c r="C24" t="s">
        <v>455</v>
      </c>
      <c r="D24">
        <v>1600000</v>
      </c>
    </row>
    <row r="25" spans="1:4" x14ac:dyDescent="0.25">
      <c r="A25" t="s">
        <v>472</v>
      </c>
      <c r="B25" t="s">
        <v>473</v>
      </c>
      <c r="C25" t="s">
        <v>474</v>
      </c>
      <c r="D25">
        <v>320000</v>
      </c>
    </row>
    <row r="26" spans="1:4" x14ac:dyDescent="0.25">
      <c r="A26" t="s">
        <v>556</v>
      </c>
      <c r="B26" t="s">
        <v>557</v>
      </c>
      <c r="C26" s="8">
        <v>43025</v>
      </c>
      <c r="D26">
        <v>750000</v>
      </c>
    </row>
    <row r="27" spans="1:4" x14ac:dyDescent="0.25">
      <c r="A27" t="s">
        <v>642</v>
      </c>
      <c r="B27" t="s">
        <v>643</v>
      </c>
      <c r="C27" t="s">
        <v>641</v>
      </c>
      <c r="D27">
        <v>980000</v>
      </c>
    </row>
    <row r="28" spans="1:4" x14ac:dyDescent="0.25">
      <c r="A28" t="s">
        <v>490</v>
      </c>
      <c r="B28" t="s">
        <v>491</v>
      </c>
      <c r="C28" t="s">
        <v>492</v>
      </c>
      <c r="D28">
        <v>1</v>
      </c>
    </row>
    <row r="29" spans="1:4" x14ac:dyDescent="0.25">
      <c r="A29" t="s">
        <v>229</v>
      </c>
      <c r="B29" t="s">
        <v>230</v>
      </c>
      <c r="C29" t="s">
        <v>226</v>
      </c>
      <c r="D29">
        <v>1000000</v>
      </c>
    </row>
    <row r="30" spans="1:4" x14ac:dyDescent="0.25">
      <c r="A30" s="1" t="s">
        <v>24</v>
      </c>
      <c r="B30" t="s">
        <v>189</v>
      </c>
      <c r="C30" s="3">
        <v>42816</v>
      </c>
      <c r="D30" s="1">
        <v>2000000</v>
      </c>
    </row>
    <row r="31" spans="1:4" x14ac:dyDescent="0.25">
      <c r="A31" s="1" t="s">
        <v>17</v>
      </c>
      <c r="B31" t="s">
        <v>192</v>
      </c>
      <c r="C31" s="3">
        <v>42819</v>
      </c>
      <c r="D31" s="1">
        <v>3200000</v>
      </c>
    </row>
    <row r="32" spans="1:4" x14ac:dyDescent="0.25">
      <c r="A32" t="s">
        <v>599</v>
      </c>
      <c r="B32" t="s">
        <v>600</v>
      </c>
      <c r="C32" s="8">
        <v>43045</v>
      </c>
      <c r="D32">
        <v>1</v>
      </c>
    </row>
    <row r="33" spans="1:4" x14ac:dyDescent="0.25">
      <c r="A33" t="s">
        <v>684</v>
      </c>
      <c r="B33" t="s">
        <v>685</v>
      </c>
      <c r="C33" t="s">
        <v>683</v>
      </c>
      <c r="D33">
        <v>150000</v>
      </c>
    </row>
    <row r="34" spans="1:4" x14ac:dyDescent="0.25">
      <c r="A34" s="2" t="s">
        <v>68</v>
      </c>
      <c r="B34" t="s">
        <v>182</v>
      </c>
      <c r="C34" s="3">
        <v>42833</v>
      </c>
      <c r="D34" s="1">
        <v>1300000</v>
      </c>
    </row>
    <row r="35" spans="1:4" x14ac:dyDescent="0.25">
      <c r="A35" s="2" t="s">
        <v>73</v>
      </c>
      <c r="B35" t="s">
        <v>223</v>
      </c>
      <c r="C35" s="3">
        <v>42816</v>
      </c>
      <c r="D35" s="1">
        <v>1900000</v>
      </c>
    </row>
    <row r="36" spans="1:4" x14ac:dyDescent="0.25">
      <c r="A36" t="s">
        <v>266</v>
      </c>
      <c r="B36" t="s">
        <v>267</v>
      </c>
      <c r="C36" t="s">
        <v>630</v>
      </c>
      <c r="D36">
        <v>1800000</v>
      </c>
    </row>
    <row r="37" spans="1:4" x14ac:dyDescent="0.25">
      <c r="A37" s="1" t="s">
        <v>74</v>
      </c>
      <c r="B37" t="s">
        <v>214</v>
      </c>
      <c r="C37" s="3">
        <v>42838</v>
      </c>
      <c r="D37" s="1">
        <v>1500000</v>
      </c>
    </row>
    <row r="38" spans="1:4" x14ac:dyDescent="0.25">
      <c r="A38" t="s">
        <v>493</v>
      </c>
      <c r="B38" t="s">
        <v>494</v>
      </c>
      <c r="C38" t="s">
        <v>486</v>
      </c>
      <c r="D38">
        <v>1200000</v>
      </c>
    </row>
    <row r="39" spans="1:4" x14ac:dyDescent="0.25">
      <c r="A39" t="s">
        <v>689</v>
      </c>
      <c r="B39" t="s">
        <v>690</v>
      </c>
      <c r="C39" t="s">
        <v>691</v>
      </c>
      <c r="D39">
        <v>150000</v>
      </c>
    </row>
    <row r="40" spans="1:4" x14ac:dyDescent="0.25">
      <c r="A40" t="s">
        <v>593</v>
      </c>
      <c r="B40" t="s">
        <v>594</v>
      </c>
      <c r="C40" t="s">
        <v>543</v>
      </c>
      <c r="D40">
        <v>250000</v>
      </c>
    </row>
    <row r="41" spans="1:4" x14ac:dyDescent="0.25">
      <c r="A41" t="s">
        <v>470</v>
      </c>
      <c r="B41" t="s">
        <v>471</v>
      </c>
      <c r="C41" t="s">
        <v>461</v>
      </c>
      <c r="D41">
        <v>250000</v>
      </c>
    </row>
    <row r="42" spans="1:4" x14ac:dyDescent="0.25">
      <c r="A42" t="s">
        <v>692</v>
      </c>
      <c r="B42" t="s">
        <v>693</v>
      </c>
      <c r="C42" t="s">
        <v>659</v>
      </c>
      <c r="D42">
        <v>1200000</v>
      </c>
    </row>
    <row r="43" spans="1:4" x14ac:dyDescent="0.25">
      <c r="A43" t="s">
        <v>323</v>
      </c>
      <c r="B43" t="s">
        <v>324</v>
      </c>
      <c r="C43" s="8">
        <v>42956</v>
      </c>
      <c r="D43">
        <v>1050000</v>
      </c>
    </row>
    <row r="44" spans="1:4" x14ac:dyDescent="0.25">
      <c r="A44" t="s">
        <v>615</v>
      </c>
      <c r="B44" t="s">
        <v>616</v>
      </c>
      <c r="C44" t="s">
        <v>611</v>
      </c>
      <c r="D44">
        <v>3900000</v>
      </c>
    </row>
    <row r="45" spans="1:4" x14ac:dyDescent="0.25">
      <c r="A45" t="s">
        <v>597</v>
      </c>
      <c r="B45" t="s">
        <v>598</v>
      </c>
      <c r="C45" s="8">
        <v>43045</v>
      </c>
      <c r="D45">
        <v>150000</v>
      </c>
    </row>
    <row r="46" spans="1:4" x14ac:dyDescent="0.25">
      <c r="A46" t="s">
        <v>601</v>
      </c>
      <c r="B46" t="s">
        <v>602</v>
      </c>
      <c r="C46" t="s">
        <v>603</v>
      </c>
      <c r="D46">
        <v>1500000</v>
      </c>
    </row>
    <row r="47" spans="1:4" x14ac:dyDescent="0.25">
      <c r="A47" s="1" t="s">
        <v>72</v>
      </c>
      <c r="B47" s="1" t="s">
        <v>135</v>
      </c>
      <c r="C47" s="3">
        <v>42816</v>
      </c>
      <c r="D47" s="1">
        <v>1000000</v>
      </c>
    </row>
    <row r="48" spans="1:4" x14ac:dyDescent="0.25">
      <c r="A48" s="1" t="s">
        <v>128</v>
      </c>
      <c r="B48" t="s">
        <v>187</v>
      </c>
      <c r="C48" s="3">
        <v>42883</v>
      </c>
      <c r="D48" s="1">
        <v>100</v>
      </c>
    </row>
    <row r="49" spans="1:4" x14ac:dyDescent="0.25">
      <c r="A49" s="1" t="s">
        <v>139</v>
      </c>
      <c r="B49" t="s">
        <v>178</v>
      </c>
      <c r="C49" s="1" t="s">
        <v>140</v>
      </c>
      <c r="D49" s="4">
        <v>2700000</v>
      </c>
    </row>
    <row r="50" spans="1:4" x14ac:dyDescent="0.25">
      <c r="A50" t="s">
        <v>591</v>
      </c>
      <c r="B50" t="s">
        <v>592</v>
      </c>
      <c r="C50" s="8">
        <v>43041</v>
      </c>
      <c r="D50">
        <v>400000</v>
      </c>
    </row>
    <row r="51" spans="1:4" x14ac:dyDescent="0.25">
      <c r="A51" s="1" t="s">
        <v>82</v>
      </c>
      <c r="B51" t="s">
        <v>199</v>
      </c>
      <c r="C51" s="3">
        <v>42873</v>
      </c>
      <c r="D51" s="1">
        <v>990000</v>
      </c>
    </row>
    <row r="52" spans="1:4" x14ac:dyDescent="0.25">
      <c r="A52" s="1" t="s">
        <v>31</v>
      </c>
      <c r="B52" t="s">
        <v>200</v>
      </c>
      <c r="C52" s="3">
        <v>42816</v>
      </c>
      <c r="D52" s="1">
        <v>370000</v>
      </c>
    </row>
    <row r="53" spans="1:4" x14ac:dyDescent="0.25">
      <c r="A53" t="s">
        <v>564</v>
      </c>
      <c r="B53" t="s">
        <v>565</v>
      </c>
      <c r="C53" s="8">
        <v>43030</v>
      </c>
      <c r="D53">
        <v>250000</v>
      </c>
    </row>
    <row r="54" spans="1:4" x14ac:dyDescent="0.25">
      <c r="A54" s="1" t="s">
        <v>44</v>
      </c>
      <c r="B54" t="s">
        <v>205</v>
      </c>
      <c r="C54" s="3">
        <v>42816</v>
      </c>
      <c r="D54" s="1">
        <v>430000</v>
      </c>
    </row>
    <row r="55" spans="1:4" x14ac:dyDescent="0.25">
      <c r="A55" s="1" t="s">
        <v>14</v>
      </c>
      <c r="B55" t="s">
        <v>191</v>
      </c>
      <c r="C55" s="3">
        <v>42820</v>
      </c>
      <c r="D55" s="1">
        <v>1100000</v>
      </c>
    </row>
    <row r="56" spans="1:4" x14ac:dyDescent="0.25">
      <c r="A56" t="s">
        <v>488</v>
      </c>
      <c r="B56" t="s">
        <v>489</v>
      </c>
      <c r="C56" t="s">
        <v>483</v>
      </c>
      <c r="D56">
        <v>780000</v>
      </c>
    </row>
    <row r="57" spans="1:4" x14ac:dyDescent="0.25">
      <c r="A57" t="s">
        <v>208</v>
      </c>
      <c r="B57" t="s">
        <v>209</v>
      </c>
      <c r="C57" s="8">
        <v>42904</v>
      </c>
      <c r="D57">
        <v>650</v>
      </c>
    </row>
    <row r="58" spans="1:4" x14ac:dyDescent="0.25">
      <c r="A58" t="s">
        <v>495</v>
      </c>
      <c r="B58" t="s">
        <v>496</v>
      </c>
      <c r="C58" t="s">
        <v>486</v>
      </c>
      <c r="D58">
        <v>1000000</v>
      </c>
    </row>
    <row r="59" spans="1:4" x14ac:dyDescent="0.25">
      <c r="A59" s="1" t="s">
        <v>27</v>
      </c>
      <c r="B59" t="s">
        <v>197</v>
      </c>
      <c r="C59" s="3">
        <v>42816</v>
      </c>
      <c r="D59" s="1">
        <v>1250000</v>
      </c>
    </row>
    <row r="60" spans="1:4" x14ac:dyDescent="0.25">
      <c r="A60" t="s">
        <v>464</v>
      </c>
      <c r="B60" t="s">
        <v>465</v>
      </c>
      <c r="C60" t="s">
        <v>462</v>
      </c>
      <c r="D60">
        <v>600000</v>
      </c>
    </row>
    <row r="61" spans="1:4" x14ac:dyDescent="0.25">
      <c r="A61" t="s">
        <v>468</v>
      </c>
      <c r="B61" t="s">
        <v>469</v>
      </c>
      <c r="C61" t="s">
        <v>460</v>
      </c>
      <c r="D61">
        <v>950000</v>
      </c>
    </row>
    <row r="62" spans="1:4" x14ac:dyDescent="0.25">
      <c r="A62" t="s">
        <v>458</v>
      </c>
      <c r="B62" t="s">
        <v>459</v>
      </c>
      <c r="C62" t="s">
        <v>455</v>
      </c>
      <c r="D62">
        <v>1500000</v>
      </c>
    </row>
    <row r="63" spans="1:4" x14ac:dyDescent="0.25">
      <c r="A63" t="s">
        <v>149</v>
      </c>
      <c r="B63" t="s">
        <v>167</v>
      </c>
      <c r="C63" s="8">
        <v>42899</v>
      </c>
      <c r="D63">
        <v>1300000</v>
      </c>
    </row>
    <row r="64" spans="1:4" x14ac:dyDescent="0.25">
      <c r="A64" t="s">
        <v>437</v>
      </c>
      <c r="B64" t="s">
        <v>438</v>
      </c>
      <c r="C64" t="s">
        <v>434</v>
      </c>
      <c r="D64">
        <v>1200000</v>
      </c>
    </row>
    <row r="65" spans="1:4" x14ac:dyDescent="0.25">
      <c r="A65" t="s">
        <v>440</v>
      </c>
      <c r="B65" t="s">
        <v>292</v>
      </c>
      <c r="C65" t="s">
        <v>439</v>
      </c>
      <c r="D65">
        <v>1400000</v>
      </c>
    </row>
    <row r="66" spans="1:4" x14ac:dyDescent="0.25">
      <c r="A66" s="1" t="s">
        <v>85</v>
      </c>
      <c r="B66" t="s">
        <v>194</v>
      </c>
      <c r="C66" s="2" t="s">
        <v>86</v>
      </c>
      <c r="D66" s="1">
        <v>395000</v>
      </c>
    </row>
    <row r="67" spans="1:4" x14ac:dyDescent="0.25">
      <c r="A67" s="1" t="s">
        <v>6</v>
      </c>
      <c r="B67" t="s">
        <v>174</v>
      </c>
      <c r="C67" s="3">
        <v>42853</v>
      </c>
      <c r="D67" s="1">
        <v>1000000</v>
      </c>
    </row>
    <row r="68" spans="1:4" x14ac:dyDescent="0.25">
      <c r="A68" t="s">
        <v>335</v>
      </c>
      <c r="B68" t="s">
        <v>336</v>
      </c>
      <c r="C68" s="8">
        <v>42968</v>
      </c>
      <c r="D68">
        <v>300000</v>
      </c>
    </row>
    <row r="69" spans="1:4" x14ac:dyDescent="0.25">
      <c r="A69" s="2" t="s">
        <v>56</v>
      </c>
      <c r="B69" t="s">
        <v>239</v>
      </c>
      <c r="C69" s="3">
        <v>42816</v>
      </c>
      <c r="D69" s="1">
        <v>450000</v>
      </c>
    </row>
    <row r="70" spans="1:4" x14ac:dyDescent="0.25">
      <c r="A70" t="s">
        <v>332</v>
      </c>
      <c r="B70" t="s">
        <v>333</v>
      </c>
      <c r="C70" s="8">
        <v>42964</v>
      </c>
      <c r="D70">
        <v>1200000</v>
      </c>
    </row>
    <row r="71" spans="1:4" x14ac:dyDescent="0.25">
      <c r="A71" s="1" t="s">
        <v>18</v>
      </c>
      <c r="B71" t="s">
        <v>238</v>
      </c>
      <c r="C71" s="3">
        <v>42820</v>
      </c>
      <c r="D71" s="1">
        <v>550000</v>
      </c>
    </row>
    <row r="72" spans="1:4" x14ac:dyDescent="0.25">
      <c r="A72" t="s">
        <v>233</v>
      </c>
      <c r="B72" t="s">
        <v>234</v>
      </c>
      <c r="C72" s="8">
        <v>42921</v>
      </c>
      <c r="D72">
        <v>100000</v>
      </c>
    </row>
    <row r="73" spans="1:4" x14ac:dyDescent="0.25">
      <c r="A73" t="s">
        <v>215</v>
      </c>
      <c r="B73" t="s">
        <v>216</v>
      </c>
      <c r="C73" s="8">
        <v>42906</v>
      </c>
      <c r="D73">
        <v>350000</v>
      </c>
    </row>
    <row r="74" spans="1:4" x14ac:dyDescent="0.25">
      <c r="A74" t="s">
        <v>75</v>
      </c>
      <c r="B74" t="s">
        <v>310</v>
      </c>
      <c r="C74" s="8">
        <v>42954</v>
      </c>
      <c r="D74">
        <v>880000</v>
      </c>
    </row>
    <row r="75" spans="1:4" x14ac:dyDescent="0.25">
      <c r="A75" t="s">
        <v>235</v>
      </c>
      <c r="B75" t="s">
        <v>236</v>
      </c>
      <c r="C75" s="8">
        <v>42920</v>
      </c>
      <c r="D75">
        <v>1700000</v>
      </c>
    </row>
    <row r="76" spans="1:4" x14ac:dyDescent="0.25">
      <c r="A76" t="s">
        <v>290</v>
      </c>
      <c r="B76" t="s">
        <v>180</v>
      </c>
      <c r="C76" t="s">
        <v>284</v>
      </c>
      <c r="D76">
        <v>550000</v>
      </c>
    </row>
    <row r="77" spans="1:4" x14ac:dyDescent="0.25">
      <c r="A77" s="1" t="s">
        <v>5</v>
      </c>
      <c r="B77" t="s">
        <v>176</v>
      </c>
      <c r="C77" s="3">
        <v>42821</v>
      </c>
      <c r="D77" s="1">
        <v>1300000</v>
      </c>
    </row>
    <row r="78" spans="1:4" x14ac:dyDescent="0.25">
      <c r="A78" t="s">
        <v>291</v>
      </c>
      <c r="B78" t="s">
        <v>292</v>
      </c>
      <c r="C78" t="s">
        <v>286</v>
      </c>
      <c r="D78">
        <v>1400000</v>
      </c>
    </row>
    <row r="79" spans="1:4" x14ac:dyDescent="0.25">
      <c r="A79" s="1" t="s">
        <v>4</v>
      </c>
      <c r="B79" t="s">
        <v>184</v>
      </c>
      <c r="C79" s="3">
        <v>42821</v>
      </c>
      <c r="D79" s="1">
        <v>890000</v>
      </c>
    </row>
    <row r="80" spans="1:4" x14ac:dyDescent="0.25">
      <c r="A80" t="s">
        <v>219</v>
      </c>
      <c r="B80" t="s">
        <v>220</v>
      </c>
      <c r="C80" s="8">
        <v>42908</v>
      </c>
      <c r="D80" t="s">
        <v>104</v>
      </c>
    </row>
    <row r="81" spans="1:4" x14ac:dyDescent="0.25">
      <c r="A81" t="s">
        <v>278</v>
      </c>
      <c r="B81" t="s">
        <v>279</v>
      </c>
      <c r="C81" s="8">
        <v>42936</v>
      </c>
      <c r="D81">
        <v>500000</v>
      </c>
    </row>
    <row r="82" spans="1:4" x14ac:dyDescent="0.25">
      <c r="A82" t="s">
        <v>273</v>
      </c>
      <c r="B82" t="s">
        <v>274</v>
      </c>
      <c r="C82" t="s">
        <v>272</v>
      </c>
      <c r="D82" t="s">
        <v>104</v>
      </c>
    </row>
    <row r="83" spans="1:4" x14ac:dyDescent="0.25">
      <c r="A83" t="s">
        <v>268</v>
      </c>
      <c r="B83" t="s">
        <v>269</v>
      </c>
      <c r="C83" s="8">
        <v>42930</v>
      </c>
      <c r="D83" t="s">
        <v>104</v>
      </c>
    </row>
    <row r="84" spans="1:4" x14ac:dyDescent="0.25">
      <c r="A84" s="2" t="s">
        <v>69</v>
      </c>
      <c r="B84" t="s">
        <v>240</v>
      </c>
      <c r="C84" s="3">
        <v>42836</v>
      </c>
      <c r="D84" s="1" t="s">
        <v>104</v>
      </c>
    </row>
    <row r="85" spans="1:4" x14ac:dyDescent="0.25">
      <c r="A85" t="s">
        <v>221</v>
      </c>
      <c r="B85" t="s">
        <v>222</v>
      </c>
      <c r="C85" s="8">
        <v>42911</v>
      </c>
      <c r="D85">
        <v>1000000</v>
      </c>
    </row>
    <row r="86" spans="1:4" x14ac:dyDescent="0.25">
      <c r="A86" t="s">
        <v>231</v>
      </c>
      <c r="B86" t="s">
        <v>232</v>
      </c>
      <c r="C86" s="8">
        <v>42919</v>
      </c>
      <c r="D86">
        <v>3500000</v>
      </c>
    </row>
    <row r="87" spans="1:4" x14ac:dyDescent="0.25">
      <c r="A87" t="s">
        <v>227</v>
      </c>
      <c r="B87" t="s">
        <v>228</v>
      </c>
      <c r="C87" t="s">
        <v>226</v>
      </c>
      <c r="D87">
        <v>395000</v>
      </c>
    </row>
    <row r="88" spans="1:4" x14ac:dyDescent="0.25">
      <c r="A88" s="1" t="s">
        <v>37</v>
      </c>
      <c r="B88" t="s">
        <v>196</v>
      </c>
      <c r="C88" s="3">
        <v>42846</v>
      </c>
      <c r="D88" s="1">
        <v>200000</v>
      </c>
    </row>
    <row r="89" spans="1:4" x14ac:dyDescent="0.25">
      <c r="A89" s="1" t="s">
        <v>71</v>
      </c>
      <c r="B89" t="s">
        <v>213</v>
      </c>
      <c r="C89" s="3">
        <v>42837</v>
      </c>
      <c r="D89" s="1">
        <v>1460000</v>
      </c>
    </row>
    <row r="90" spans="1:4" x14ac:dyDescent="0.25">
      <c r="A90" t="s">
        <v>206</v>
      </c>
      <c r="B90" t="s">
        <v>207</v>
      </c>
      <c r="C90" t="s">
        <v>204</v>
      </c>
      <c r="D90" t="s">
        <v>104</v>
      </c>
    </row>
    <row r="91" spans="1:4" x14ac:dyDescent="0.25">
      <c r="A91" t="s">
        <v>148</v>
      </c>
      <c r="B91" t="s">
        <v>168</v>
      </c>
      <c r="C91" t="s">
        <v>144</v>
      </c>
      <c r="D91">
        <v>200000</v>
      </c>
    </row>
    <row r="92" spans="1:4" x14ac:dyDescent="0.25">
      <c r="A92" s="1" t="s">
        <v>81</v>
      </c>
      <c r="B92" t="s">
        <v>170</v>
      </c>
      <c r="C92" s="3">
        <v>42864</v>
      </c>
      <c r="D92" s="1">
        <v>600000</v>
      </c>
    </row>
    <row r="93" spans="1:4" x14ac:dyDescent="0.25">
      <c r="A93" s="1" t="s">
        <v>59</v>
      </c>
      <c r="B93" t="s">
        <v>172</v>
      </c>
      <c r="C93" s="3">
        <v>42859</v>
      </c>
      <c r="D93" s="1">
        <v>950000</v>
      </c>
    </row>
    <row r="94" spans="1:4" x14ac:dyDescent="0.25">
      <c r="A94" s="1" t="s">
        <v>142</v>
      </c>
      <c r="B94" t="s">
        <v>173</v>
      </c>
      <c r="C94" s="9">
        <v>42894</v>
      </c>
      <c r="D94" s="1">
        <v>1800000</v>
      </c>
    </row>
    <row r="95" spans="1:4" x14ac:dyDescent="0.25">
      <c r="A95" s="2" t="s">
        <v>65</v>
      </c>
      <c r="B95" t="s">
        <v>175</v>
      </c>
      <c r="C95" s="3">
        <v>42828</v>
      </c>
      <c r="D95" s="1">
        <v>200000</v>
      </c>
    </row>
    <row r="96" spans="1:4" x14ac:dyDescent="0.25">
      <c r="A96" s="1" t="s">
        <v>64</v>
      </c>
      <c r="B96" t="s">
        <v>179</v>
      </c>
      <c r="C96" s="3">
        <v>42826</v>
      </c>
      <c r="D96" s="4">
        <v>650000</v>
      </c>
    </row>
    <row r="97" spans="1:4" x14ac:dyDescent="0.25">
      <c r="A97" s="1" t="s">
        <v>133</v>
      </c>
      <c r="B97" t="s">
        <v>180</v>
      </c>
      <c r="C97" s="1" t="s">
        <v>131</v>
      </c>
      <c r="D97" s="1">
        <v>550000</v>
      </c>
    </row>
    <row r="98" spans="1:4" x14ac:dyDescent="0.25">
      <c r="A98" s="1" t="s">
        <v>127</v>
      </c>
      <c r="B98" t="s">
        <v>185</v>
      </c>
      <c r="C98" s="1" t="s">
        <v>130</v>
      </c>
      <c r="D98" s="1">
        <v>1450000</v>
      </c>
    </row>
    <row r="99" spans="1:4" x14ac:dyDescent="0.25">
      <c r="A99" s="1" t="s">
        <v>123</v>
      </c>
      <c r="B99" t="s">
        <v>190</v>
      </c>
      <c r="C99" s="1" t="s">
        <v>124</v>
      </c>
      <c r="D99" s="1">
        <v>900000</v>
      </c>
    </row>
    <row r="100" spans="1:4" x14ac:dyDescent="0.25">
      <c r="A100" s="1" t="s">
        <v>32</v>
      </c>
      <c r="B100" t="s">
        <v>201</v>
      </c>
      <c r="C100" s="3">
        <v>42816</v>
      </c>
      <c r="D100" s="1">
        <v>400000</v>
      </c>
    </row>
    <row r="101" spans="1:4" x14ac:dyDescent="0.25">
      <c r="A101" s="1" t="s">
        <v>38</v>
      </c>
      <c r="B101" t="s">
        <v>203</v>
      </c>
      <c r="C101" s="3">
        <v>42816</v>
      </c>
      <c r="D101" s="1">
        <v>850000</v>
      </c>
    </row>
    <row r="102" spans="1:4" x14ac:dyDescent="0.25">
      <c r="A102" s="1" t="s">
        <v>58</v>
      </c>
      <c r="B102" s="1" t="s">
        <v>134</v>
      </c>
      <c r="C102" s="3">
        <v>42824</v>
      </c>
      <c r="D102" s="1">
        <v>1500000</v>
      </c>
    </row>
    <row r="103" spans="1:4" x14ac:dyDescent="0.25">
      <c r="A103" s="1" t="s">
        <v>45</v>
      </c>
      <c r="B103" s="1" t="s">
        <v>137</v>
      </c>
      <c r="C103" s="3">
        <v>42816</v>
      </c>
      <c r="D103" s="1">
        <v>1200000</v>
      </c>
    </row>
    <row r="104" spans="1:4" x14ac:dyDescent="0.25">
      <c r="A104" s="1" t="s">
        <v>33</v>
      </c>
      <c r="B104" s="1" t="s">
        <v>138</v>
      </c>
      <c r="C104" s="3">
        <v>42816</v>
      </c>
      <c r="D104" s="1">
        <v>250000</v>
      </c>
    </row>
    <row r="105" spans="1:4" x14ac:dyDescent="0.25">
      <c r="A105" s="1" t="s">
        <v>13</v>
      </c>
      <c r="B105" s="1" t="s">
        <v>8</v>
      </c>
      <c r="C105" s="3">
        <v>42821</v>
      </c>
      <c r="D105" s="1" t="s">
        <v>87</v>
      </c>
    </row>
    <row r="106" spans="1:4" x14ac:dyDescent="0.25">
      <c r="A106" s="1" t="s">
        <v>60</v>
      </c>
      <c r="B106" s="1" t="s">
        <v>61</v>
      </c>
      <c r="C106" s="3">
        <v>42825</v>
      </c>
      <c r="D106" s="1" t="s">
        <v>92</v>
      </c>
    </row>
    <row r="107" spans="1:4" x14ac:dyDescent="0.25">
      <c r="A107" s="1" t="s">
        <v>19</v>
      </c>
      <c r="B107" s="1" t="s">
        <v>20</v>
      </c>
      <c r="C107" s="3">
        <v>42818</v>
      </c>
      <c r="D107" s="1" t="s">
        <v>95</v>
      </c>
    </row>
    <row r="108" spans="1:4" x14ac:dyDescent="0.25">
      <c r="A108" s="1" t="s">
        <v>7</v>
      </c>
      <c r="B108" s="1" t="s">
        <v>8</v>
      </c>
      <c r="C108" s="3">
        <v>42821</v>
      </c>
      <c r="D108" s="1" t="s">
        <v>96</v>
      </c>
    </row>
    <row r="109" spans="1:4" x14ac:dyDescent="0.25">
      <c r="A109" s="1" t="s">
        <v>78</v>
      </c>
      <c r="B109" s="1" t="s">
        <v>79</v>
      </c>
      <c r="C109" s="3">
        <v>42816</v>
      </c>
      <c r="D109" s="1" t="s">
        <v>104</v>
      </c>
    </row>
    <row r="110" spans="1:4" x14ac:dyDescent="0.25">
      <c r="A110" s="2" t="s">
        <v>34</v>
      </c>
      <c r="B110" s="2" t="s">
        <v>35</v>
      </c>
      <c r="C110" s="3">
        <v>42816</v>
      </c>
      <c r="D110" s="1" t="s">
        <v>94</v>
      </c>
    </row>
    <row r="111" spans="1:4" x14ac:dyDescent="0.25">
      <c r="A111" s="2" t="s">
        <v>77</v>
      </c>
      <c r="B111" s="2" t="s">
        <v>42</v>
      </c>
      <c r="C111" s="3">
        <v>42816</v>
      </c>
      <c r="D111" s="1" t="s">
        <v>97</v>
      </c>
    </row>
    <row r="112" spans="1:4" x14ac:dyDescent="0.25">
      <c r="A112" s="2" t="s">
        <v>66</v>
      </c>
      <c r="B112" s="2" t="s">
        <v>67</v>
      </c>
      <c r="C112" s="3">
        <v>42828</v>
      </c>
      <c r="D112" s="1" t="s">
        <v>104</v>
      </c>
    </row>
    <row r="113" spans="1:4" x14ac:dyDescent="0.25">
      <c r="A113" s="2" t="s">
        <v>62</v>
      </c>
      <c r="B113" s="2" t="s">
        <v>63</v>
      </c>
      <c r="C113" s="3">
        <v>42826</v>
      </c>
      <c r="D113" s="1" t="s">
        <v>100</v>
      </c>
    </row>
    <row r="114" spans="1:4" x14ac:dyDescent="0.25">
      <c r="A114" s="2" t="s">
        <v>0</v>
      </c>
      <c r="B114" s="2" t="s">
        <v>1</v>
      </c>
      <c r="C114" s="3">
        <v>42823</v>
      </c>
      <c r="D114" s="1" t="s">
        <v>101</v>
      </c>
    </row>
    <row r="115" spans="1:4" x14ac:dyDescent="0.25">
      <c r="A115" s="2" t="s">
        <v>2</v>
      </c>
      <c r="B115" s="2" t="s">
        <v>3</v>
      </c>
      <c r="C115" s="3">
        <v>42822</v>
      </c>
      <c r="D115" s="1" t="s">
        <v>99</v>
      </c>
    </row>
    <row r="116" spans="1:4" x14ac:dyDescent="0.25">
      <c r="A116" s="2" t="s">
        <v>10</v>
      </c>
      <c r="B116" s="2" t="s">
        <v>11</v>
      </c>
      <c r="C116" s="3">
        <v>42821</v>
      </c>
      <c r="D116" s="1" t="s">
        <v>90</v>
      </c>
    </row>
    <row r="117" spans="1:4" x14ac:dyDescent="0.25">
      <c r="A117" s="2" t="s">
        <v>15</v>
      </c>
      <c r="B117" s="2" t="s">
        <v>16</v>
      </c>
      <c r="C117" s="3">
        <v>42820</v>
      </c>
      <c r="D117" s="1" t="s">
        <v>98</v>
      </c>
    </row>
    <row r="118" spans="1:4" x14ac:dyDescent="0.25">
      <c r="A118" s="2" t="s">
        <v>25</v>
      </c>
      <c r="B118" s="2" t="s">
        <v>26</v>
      </c>
      <c r="C118" s="3">
        <v>42818</v>
      </c>
      <c r="D118" s="1" t="s">
        <v>89</v>
      </c>
    </row>
    <row r="119" spans="1:4" x14ac:dyDescent="0.25">
      <c r="A119" s="2" t="s">
        <v>29</v>
      </c>
      <c r="B119" s="2" t="s">
        <v>30</v>
      </c>
      <c r="C119" s="3">
        <v>42816</v>
      </c>
      <c r="D119" s="1" t="s">
        <v>99</v>
      </c>
    </row>
    <row r="120" spans="1:4" x14ac:dyDescent="0.25">
      <c r="A120" s="2" t="s">
        <v>41</v>
      </c>
      <c r="B120" s="2" t="s">
        <v>42</v>
      </c>
      <c r="C120" s="3">
        <v>42816</v>
      </c>
      <c r="D120" s="1" t="s">
        <v>97</v>
      </c>
    </row>
    <row r="121" spans="1:4" x14ac:dyDescent="0.25">
      <c r="A121" s="2" t="s">
        <v>47</v>
      </c>
      <c r="B121" s="2" t="s">
        <v>48</v>
      </c>
      <c r="C121" s="3">
        <v>42816</v>
      </c>
      <c r="D121" s="1" t="s">
        <v>104</v>
      </c>
    </row>
    <row r="122" spans="1:4" x14ac:dyDescent="0.25">
      <c r="A122" s="2" t="s">
        <v>49</v>
      </c>
      <c r="B122" s="2" t="s">
        <v>28</v>
      </c>
      <c r="C122" s="3">
        <v>42816</v>
      </c>
      <c r="D122" s="1" t="s">
        <v>102</v>
      </c>
    </row>
    <row r="123" spans="1:4" x14ac:dyDescent="0.25">
      <c r="A123" s="2" t="s">
        <v>50</v>
      </c>
      <c r="B123" s="2" t="s">
        <v>51</v>
      </c>
      <c r="C123" s="3">
        <v>42816</v>
      </c>
      <c r="D123" s="1" t="s">
        <v>94</v>
      </c>
    </row>
    <row r="124" spans="1:4" x14ac:dyDescent="0.25">
      <c r="A124" s="2" t="s">
        <v>54</v>
      </c>
      <c r="B124" s="2" t="s">
        <v>55</v>
      </c>
      <c r="C124" s="3">
        <v>42816</v>
      </c>
      <c r="D124" s="1" t="s">
        <v>93</v>
      </c>
    </row>
    <row r="125" spans="1:4" x14ac:dyDescent="0.25">
      <c r="C125" s="3"/>
    </row>
    <row r="126" spans="1:4" x14ac:dyDescent="0.25">
      <c r="C126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56"/>
  <sheetViews>
    <sheetView workbookViewId="0">
      <selection activeCell="I12" sqref="I12"/>
    </sheetView>
  </sheetViews>
  <sheetFormatPr defaultColWidth="8.85546875" defaultRowHeight="15" x14ac:dyDescent="0.25"/>
  <cols>
    <col min="1" max="1" width="11.42578125" style="1" customWidth="1"/>
    <col min="2" max="2" width="91.85546875" style="1" bestFit="1" customWidth="1"/>
    <col min="3" max="3" width="12.140625" style="34" customWidth="1"/>
    <col min="4" max="4" width="10.140625" style="4" bestFit="1" customWidth="1"/>
    <col min="5" max="5" width="11.7109375" style="1" customWidth="1"/>
    <col min="6" max="9" width="8.85546875" style="1"/>
    <col min="10" max="10" width="10.5703125" style="1" bestFit="1" customWidth="1"/>
    <col min="11" max="16384" width="8.85546875" style="1"/>
  </cols>
  <sheetData>
    <row r="1" spans="1:8" ht="15.75" thickBot="1" x14ac:dyDescent="0.3">
      <c r="A1" s="423" t="s">
        <v>80</v>
      </c>
      <c r="B1" s="424"/>
      <c r="C1" s="424"/>
      <c r="D1" s="424"/>
      <c r="E1" s="424"/>
      <c r="F1" s="425"/>
      <c r="H1" s="393">
        <f>AVERAGE(F:F)</f>
        <v>812884.46296296292</v>
      </c>
    </row>
    <row r="2" spans="1:8" ht="15.75" thickBot="1" x14ac:dyDescent="0.3">
      <c r="A2" s="418" t="s">
        <v>68</v>
      </c>
      <c r="B2" s="419" t="s">
        <v>182</v>
      </c>
      <c r="C2" s="422">
        <v>42833</v>
      </c>
      <c r="D2" s="419">
        <v>1500000</v>
      </c>
      <c r="E2" s="421">
        <v>43131</v>
      </c>
      <c r="F2" s="420">
        <v>1300000</v>
      </c>
    </row>
    <row r="3" spans="1:8" ht="15.75" thickBot="1" x14ac:dyDescent="0.3">
      <c r="A3" s="418" t="s">
        <v>642</v>
      </c>
      <c r="B3" s="419" t="s">
        <v>643</v>
      </c>
      <c r="C3" s="422" t="s">
        <v>641</v>
      </c>
      <c r="D3" s="410">
        <v>1100000</v>
      </c>
      <c r="E3" s="421">
        <v>43131</v>
      </c>
      <c r="F3" s="420">
        <v>980000</v>
      </c>
    </row>
    <row r="4" spans="1:8" ht="15.75" thickBot="1" x14ac:dyDescent="0.3">
      <c r="A4" s="418" t="s">
        <v>544</v>
      </c>
      <c r="B4" s="419" t="s">
        <v>545</v>
      </c>
      <c r="C4" s="422" t="s">
        <v>630</v>
      </c>
      <c r="D4" s="410">
        <v>600000</v>
      </c>
      <c r="E4" s="421">
        <v>43131</v>
      </c>
      <c r="F4" s="420">
        <v>560000</v>
      </c>
    </row>
    <row r="5" spans="1:8" ht="15.75" thickBot="1" x14ac:dyDescent="0.3">
      <c r="A5" s="418" t="s">
        <v>43</v>
      </c>
      <c r="B5" s="419" t="s">
        <v>193</v>
      </c>
      <c r="C5" s="422">
        <v>42819</v>
      </c>
      <c r="D5" s="397">
        <v>1100000</v>
      </c>
      <c r="E5" s="421">
        <v>43131</v>
      </c>
      <c r="F5" s="420">
        <v>900000</v>
      </c>
    </row>
    <row r="6" spans="1:8" ht="15.75" thickBot="1" x14ac:dyDescent="0.3">
      <c r="A6" s="418" t="s">
        <v>9</v>
      </c>
      <c r="B6" s="419" t="s">
        <v>188</v>
      </c>
      <c r="C6" s="422">
        <v>42820</v>
      </c>
      <c r="D6" s="419">
        <v>250000</v>
      </c>
      <c r="E6" s="421">
        <v>43131</v>
      </c>
      <c r="F6" s="420">
        <v>300000</v>
      </c>
    </row>
    <row r="7" spans="1:8" ht="15.75" thickBot="1" x14ac:dyDescent="0.3">
      <c r="A7" s="418" t="s">
        <v>578</v>
      </c>
      <c r="B7" s="419" t="s">
        <v>579</v>
      </c>
      <c r="C7" s="422">
        <v>43035</v>
      </c>
      <c r="D7" s="419">
        <v>600000</v>
      </c>
      <c r="E7" s="421">
        <v>43118</v>
      </c>
      <c r="F7" s="420">
        <v>530000</v>
      </c>
    </row>
    <row r="8" spans="1:8" ht="15.75" thickBot="1" x14ac:dyDescent="0.3">
      <c r="A8" s="41" t="s">
        <v>22</v>
      </c>
      <c r="B8" s="42" t="s">
        <v>195</v>
      </c>
      <c r="C8" s="33">
        <v>42816</v>
      </c>
      <c r="D8" s="410">
        <v>2100000</v>
      </c>
      <c r="E8" s="44">
        <v>43109</v>
      </c>
      <c r="F8" s="43">
        <v>1700000</v>
      </c>
    </row>
    <row r="9" spans="1:8" ht="15.75" thickBot="1" x14ac:dyDescent="0.3">
      <c r="A9" s="41" t="s">
        <v>243</v>
      </c>
      <c r="B9" s="42" t="s">
        <v>244</v>
      </c>
      <c r="C9" s="45">
        <v>42928</v>
      </c>
      <c r="D9" s="410">
        <v>600000</v>
      </c>
      <c r="E9" s="44">
        <v>43109</v>
      </c>
      <c r="F9" s="43">
        <v>450000</v>
      </c>
    </row>
    <row r="10" spans="1:8" ht="15.75" thickBot="1" x14ac:dyDescent="0.3">
      <c r="A10" s="41" t="s">
        <v>639</v>
      </c>
      <c r="B10" s="42" t="s">
        <v>640</v>
      </c>
      <c r="C10" s="45" t="s">
        <v>641</v>
      </c>
      <c r="D10" s="410">
        <v>1500000</v>
      </c>
      <c r="E10" s="44">
        <v>43109</v>
      </c>
      <c r="F10" s="43">
        <v>1300000</v>
      </c>
    </row>
    <row r="11" spans="1:8" ht="15.75" thickBot="1" x14ac:dyDescent="0.3">
      <c r="A11" s="41" t="s">
        <v>266</v>
      </c>
      <c r="B11" s="42" t="s">
        <v>267</v>
      </c>
      <c r="C11" s="45" t="s">
        <v>630</v>
      </c>
      <c r="D11" s="410">
        <v>1600000</v>
      </c>
      <c r="E11" s="44">
        <v>43109</v>
      </c>
      <c r="F11" s="43">
        <v>1800000</v>
      </c>
    </row>
    <row r="12" spans="1:8" ht="15.75" thickBot="1" x14ac:dyDescent="0.3">
      <c r="A12" s="41" t="s">
        <v>17</v>
      </c>
      <c r="B12" s="42" t="s">
        <v>192</v>
      </c>
      <c r="C12" s="45">
        <v>42819</v>
      </c>
      <c r="D12" s="410">
        <v>3500000</v>
      </c>
      <c r="E12" s="44">
        <v>43109</v>
      </c>
      <c r="F12" s="43">
        <v>3200000</v>
      </c>
    </row>
    <row r="13" spans="1:8" ht="15.75" thickBot="1" x14ac:dyDescent="0.3">
      <c r="A13" s="41" t="s">
        <v>472</v>
      </c>
      <c r="B13" s="42" t="s">
        <v>473</v>
      </c>
      <c r="C13" s="45" t="s">
        <v>474</v>
      </c>
      <c r="D13" s="410">
        <v>400000</v>
      </c>
      <c r="E13" s="44">
        <v>43109</v>
      </c>
      <c r="F13" s="43">
        <v>320000</v>
      </c>
    </row>
    <row r="14" spans="1:8" ht="15.75" thickBot="1" x14ac:dyDescent="0.3">
      <c r="A14" s="405" t="s">
        <v>686</v>
      </c>
      <c r="B14" s="406" t="s">
        <v>687</v>
      </c>
      <c r="C14" s="409" t="s">
        <v>654</v>
      </c>
      <c r="D14" s="406">
        <v>500000</v>
      </c>
      <c r="E14" s="408">
        <v>43118</v>
      </c>
      <c r="F14" s="407">
        <v>500000</v>
      </c>
    </row>
    <row r="15" spans="1:8" ht="15.75" thickBot="1" x14ac:dyDescent="0.3">
      <c r="A15" s="36" t="s">
        <v>337</v>
      </c>
      <c r="B15" s="37" t="s">
        <v>338</v>
      </c>
      <c r="C15" s="40" t="s">
        <v>334</v>
      </c>
      <c r="D15" s="411">
        <v>700000</v>
      </c>
      <c r="E15" s="39">
        <v>43109</v>
      </c>
      <c r="F15" s="38">
        <v>700000</v>
      </c>
    </row>
    <row r="16" spans="1:8" ht="15.75" thickBot="1" x14ac:dyDescent="0.3">
      <c r="A16" s="36" t="s">
        <v>631</v>
      </c>
      <c r="B16" s="37" t="s">
        <v>632</v>
      </c>
      <c r="C16" s="40" t="s">
        <v>633</v>
      </c>
      <c r="D16" s="411">
        <v>350000</v>
      </c>
      <c r="E16" s="39">
        <v>43109</v>
      </c>
      <c r="F16" s="38">
        <v>350000</v>
      </c>
    </row>
    <row r="17" spans="1:6" ht="15.75" thickBot="1" x14ac:dyDescent="0.3">
      <c r="A17" s="36" t="s">
        <v>40</v>
      </c>
      <c r="B17" s="37" t="s">
        <v>165</v>
      </c>
      <c r="C17" s="40">
        <v>42816</v>
      </c>
      <c r="D17" s="411">
        <v>1</v>
      </c>
      <c r="E17" s="39">
        <v>43109</v>
      </c>
      <c r="F17" s="38">
        <v>1</v>
      </c>
    </row>
    <row r="18" spans="1:6" ht="15.75" thickBot="1" x14ac:dyDescent="0.3">
      <c r="A18" s="36" t="s">
        <v>645</v>
      </c>
      <c r="B18" s="37" t="s">
        <v>646</v>
      </c>
      <c r="C18" s="40" t="s">
        <v>644</v>
      </c>
      <c r="D18" s="411">
        <v>200000</v>
      </c>
      <c r="E18" s="39">
        <v>43109</v>
      </c>
      <c r="F18" s="38">
        <v>200000</v>
      </c>
    </row>
    <row r="19" spans="1:6" ht="15.75" thickBot="1" x14ac:dyDescent="0.3">
      <c r="A19" s="36" t="s">
        <v>466</v>
      </c>
      <c r="B19" s="37" t="s">
        <v>467</v>
      </c>
      <c r="C19" s="40" t="s">
        <v>463</v>
      </c>
      <c r="D19" s="411">
        <v>1100000</v>
      </c>
      <c r="E19" s="39">
        <v>43109</v>
      </c>
      <c r="F19" s="38">
        <v>995000</v>
      </c>
    </row>
    <row r="20" spans="1:6" ht="15.75" thickBot="1" x14ac:dyDescent="0.3">
      <c r="A20" s="36" t="s">
        <v>53</v>
      </c>
      <c r="B20" s="37" t="s">
        <v>210</v>
      </c>
      <c r="C20" s="40">
        <v>42836</v>
      </c>
      <c r="D20" s="411">
        <v>200000</v>
      </c>
      <c r="E20" s="39">
        <v>43109</v>
      </c>
      <c r="F20" s="38">
        <v>200000</v>
      </c>
    </row>
    <row r="21" spans="1:6" ht="15.75" thickBot="1" x14ac:dyDescent="0.3">
      <c r="A21" s="36" t="s">
        <v>76</v>
      </c>
      <c r="B21" s="37" t="s">
        <v>166</v>
      </c>
      <c r="C21" s="40">
        <v>42839</v>
      </c>
      <c r="D21" s="411">
        <v>600000</v>
      </c>
      <c r="E21" s="39">
        <v>43109</v>
      </c>
      <c r="F21" s="38">
        <v>600000</v>
      </c>
    </row>
    <row r="22" spans="1:6" ht="15.75" thickBot="1" x14ac:dyDescent="0.3">
      <c r="A22" s="405" t="s">
        <v>21</v>
      </c>
      <c r="B22" s="406" t="s">
        <v>183</v>
      </c>
      <c r="C22" s="409">
        <v>42817</v>
      </c>
      <c r="D22" s="412">
        <v>1200000</v>
      </c>
      <c r="E22" s="408">
        <v>43109</v>
      </c>
      <c r="F22" s="407">
        <v>500000</v>
      </c>
    </row>
    <row r="23" spans="1:6" ht="15.75" thickBot="1" x14ac:dyDescent="0.3">
      <c r="A23" s="41" t="s">
        <v>128</v>
      </c>
      <c r="B23" s="42" t="s">
        <v>187</v>
      </c>
      <c r="C23" s="45">
        <v>42883</v>
      </c>
      <c r="D23" s="410">
        <v>1</v>
      </c>
      <c r="E23" s="44">
        <v>43070</v>
      </c>
      <c r="F23" s="43">
        <v>100</v>
      </c>
    </row>
    <row r="24" spans="1:6" ht="15.75" thickBot="1" x14ac:dyDescent="0.3">
      <c r="A24" s="36" t="s">
        <v>141</v>
      </c>
      <c r="B24" s="37" t="s">
        <v>177</v>
      </c>
      <c r="C24" s="40">
        <v>42888</v>
      </c>
      <c r="D24" s="411">
        <v>1300000</v>
      </c>
      <c r="E24" s="39">
        <v>43070</v>
      </c>
      <c r="F24" s="38">
        <v>1300000</v>
      </c>
    </row>
    <row r="25" spans="1:6" ht="15.75" thickBot="1" x14ac:dyDescent="0.3">
      <c r="A25" s="36" t="s">
        <v>613</v>
      </c>
      <c r="B25" s="37" t="s">
        <v>614</v>
      </c>
      <c r="C25" s="40">
        <v>43048</v>
      </c>
      <c r="D25" s="411">
        <v>900000</v>
      </c>
      <c r="E25" s="39">
        <v>43070</v>
      </c>
      <c r="F25" s="38">
        <v>900000</v>
      </c>
    </row>
    <row r="26" spans="1:6" ht="15.75" thickBot="1" x14ac:dyDescent="0.3">
      <c r="A26" s="41" t="s">
        <v>564</v>
      </c>
      <c r="B26" s="42" t="s">
        <v>565</v>
      </c>
      <c r="C26" s="45">
        <v>43030</v>
      </c>
      <c r="D26" s="410">
        <v>780000</v>
      </c>
      <c r="E26" s="44">
        <v>43062</v>
      </c>
      <c r="F26" s="43">
        <v>250000</v>
      </c>
    </row>
    <row r="27" spans="1:6" ht="15.75" thickBot="1" x14ac:dyDescent="0.3">
      <c r="A27" s="36" t="s">
        <v>46</v>
      </c>
      <c r="B27" s="37" t="s">
        <v>181</v>
      </c>
      <c r="C27" s="40">
        <v>42837</v>
      </c>
      <c r="D27" s="411">
        <v>1300000</v>
      </c>
      <c r="E27" s="39">
        <v>43062</v>
      </c>
      <c r="F27" s="38">
        <v>1300000</v>
      </c>
    </row>
    <row r="28" spans="1:6" ht="15.75" thickBot="1" x14ac:dyDescent="0.3">
      <c r="A28" s="36" t="s">
        <v>52</v>
      </c>
      <c r="B28" s="37" t="s">
        <v>212</v>
      </c>
      <c r="C28" s="40">
        <v>42816</v>
      </c>
      <c r="D28" s="411">
        <v>1600000</v>
      </c>
      <c r="E28" s="39">
        <v>43054</v>
      </c>
      <c r="F28" s="38">
        <v>1600000</v>
      </c>
    </row>
    <row r="29" spans="1:6" ht="15.75" thickBot="1" x14ac:dyDescent="0.3">
      <c r="A29" s="41" t="s">
        <v>24</v>
      </c>
      <c r="B29" s="42" t="s">
        <v>189</v>
      </c>
      <c r="C29" s="45">
        <v>42816</v>
      </c>
      <c r="D29" s="410">
        <v>2100000</v>
      </c>
      <c r="E29" s="44">
        <v>43046</v>
      </c>
      <c r="F29" s="43">
        <v>2000000</v>
      </c>
    </row>
    <row r="30" spans="1:6" ht="15.75" thickBot="1" x14ac:dyDescent="0.3">
      <c r="A30" s="41" t="s">
        <v>39</v>
      </c>
      <c r="B30" s="42" t="s">
        <v>202</v>
      </c>
      <c r="C30" s="45">
        <v>42842</v>
      </c>
      <c r="D30" s="410">
        <v>350000</v>
      </c>
      <c r="E30" s="44">
        <v>43042</v>
      </c>
      <c r="F30" s="43">
        <v>300000</v>
      </c>
    </row>
    <row r="31" spans="1:6" ht="15.75" thickBot="1" x14ac:dyDescent="0.3">
      <c r="A31" s="41" t="s">
        <v>488</v>
      </c>
      <c r="B31" s="42" t="s">
        <v>489</v>
      </c>
      <c r="C31" s="45" t="s">
        <v>483</v>
      </c>
      <c r="D31" s="410">
        <v>800000</v>
      </c>
      <c r="E31" s="44">
        <v>43035</v>
      </c>
      <c r="F31" s="43">
        <v>780000</v>
      </c>
    </row>
    <row r="32" spans="1:6" ht="15.75" thickBot="1" x14ac:dyDescent="0.3">
      <c r="A32" s="41" t="s">
        <v>44</v>
      </c>
      <c r="B32" s="42" t="s">
        <v>205</v>
      </c>
      <c r="C32" s="45">
        <v>42816</v>
      </c>
      <c r="D32" s="410">
        <v>560000</v>
      </c>
      <c r="E32" s="44">
        <v>43031</v>
      </c>
      <c r="F32" s="43">
        <v>430000</v>
      </c>
    </row>
    <row r="33" spans="1:6" ht="15.75" thickBot="1" x14ac:dyDescent="0.3">
      <c r="A33" s="41" t="s">
        <v>14</v>
      </c>
      <c r="B33" s="42" t="s">
        <v>191</v>
      </c>
      <c r="C33" s="45">
        <v>42820</v>
      </c>
      <c r="D33" s="413">
        <v>1400000</v>
      </c>
      <c r="E33" s="44">
        <v>43028</v>
      </c>
      <c r="F33" s="43">
        <v>1100000</v>
      </c>
    </row>
    <row r="34" spans="1:6" ht="15.75" thickBot="1" x14ac:dyDescent="0.3">
      <c r="A34" s="41" t="s">
        <v>27</v>
      </c>
      <c r="B34" s="42" t="s">
        <v>197</v>
      </c>
      <c r="C34" s="45">
        <v>42816</v>
      </c>
      <c r="D34" s="410">
        <v>1450000</v>
      </c>
      <c r="E34" s="44">
        <v>43018</v>
      </c>
      <c r="F34" s="43">
        <v>1250000</v>
      </c>
    </row>
    <row r="35" spans="1:6" ht="15.75" thickBot="1" x14ac:dyDescent="0.3">
      <c r="A35" s="41" t="s">
        <v>31</v>
      </c>
      <c r="B35" s="42" t="s">
        <v>200</v>
      </c>
      <c r="C35" s="45">
        <v>42816</v>
      </c>
      <c r="D35" s="414">
        <v>520000</v>
      </c>
      <c r="E35" s="44">
        <v>43018</v>
      </c>
      <c r="F35" s="43">
        <v>370000</v>
      </c>
    </row>
    <row r="36" spans="1:6" ht="15.75" thickBot="1" x14ac:dyDescent="0.3">
      <c r="A36" s="41" t="s">
        <v>208</v>
      </c>
      <c r="B36" s="42" t="s">
        <v>209</v>
      </c>
      <c r="C36" s="45">
        <v>42904</v>
      </c>
      <c r="D36" s="410" t="s">
        <v>104</v>
      </c>
      <c r="E36" s="44">
        <v>43018</v>
      </c>
      <c r="F36" s="43">
        <v>650</v>
      </c>
    </row>
    <row r="37" spans="1:6" ht="15.75" thickBot="1" x14ac:dyDescent="0.3">
      <c r="A37" s="41" t="s">
        <v>229</v>
      </c>
      <c r="B37" s="42" t="s">
        <v>230</v>
      </c>
      <c r="C37" s="45" t="s">
        <v>226</v>
      </c>
      <c r="D37" s="410">
        <v>1400000</v>
      </c>
      <c r="E37" s="44">
        <v>43018</v>
      </c>
      <c r="F37" s="43">
        <v>1000000</v>
      </c>
    </row>
    <row r="38" spans="1:6" ht="15.75" thickBot="1" x14ac:dyDescent="0.3">
      <c r="A38" s="41" t="s">
        <v>456</v>
      </c>
      <c r="B38" s="42" t="s">
        <v>457</v>
      </c>
      <c r="C38" s="45" t="s">
        <v>455</v>
      </c>
      <c r="D38" s="410">
        <v>10</v>
      </c>
      <c r="E38" s="44">
        <v>43018</v>
      </c>
      <c r="F38" s="43">
        <v>1600000</v>
      </c>
    </row>
    <row r="39" spans="1:6" ht="15.75" thickBot="1" x14ac:dyDescent="0.3">
      <c r="A39" s="36" t="s">
        <v>325</v>
      </c>
      <c r="B39" s="37" t="s">
        <v>326</v>
      </c>
      <c r="C39" s="40">
        <v>42957</v>
      </c>
      <c r="D39" s="411">
        <v>850000</v>
      </c>
      <c r="E39" s="39">
        <v>43003</v>
      </c>
      <c r="F39" s="38">
        <v>820000</v>
      </c>
    </row>
    <row r="40" spans="1:6" ht="15.75" thickBot="1" x14ac:dyDescent="0.3">
      <c r="A40" s="36" t="s">
        <v>435</v>
      </c>
      <c r="B40" s="37" t="s">
        <v>436</v>
      </c>
      <c r="C40" s="40">
        <v>42978</v>
      </c>
      <c r="D40" s="411">
        <v>150000</v>
      </c>
      <c r="E40" s="39">
        <v>42982</v>
      </c>
      <c r="F40" s="38">
        <v>150000</v>
      </c>
    </row>
    <row r="41" spans="1:6" ht="15.75" thickBot="1" x14ac:dyDescent="0.3">
      <c r="A41" s="41" t="s">
        <v>245</v>
      </c>
      <c r="B41" s="42" t="s">
        <v>246</v>
      </c>
      <c r="C41" s="45">
        <v>42927</v>
      </c>
      <c r="D41" s="410">
        <v>400000</v>
      </c>
      <c r="E41" s="44">
        <v>42972</v>
      </c>
      <c r="F41" s="43">
        <v>200000</v>
      </c>
    </row>
    <row r="42" spans="1:6" ht="15.75" thickBot="1" x14ac:dyDescent="0.3">
      <c r="A42" s="41" t="s">
        <v>215</v>
      </c>
      <c r="B42" s="42" t="s">
        <v>216</v>
      </c>
      <c r="C42" s="45">
        <v>42906</v>
      </c>
      <c r="D42" s="410" t="s">
        <v>104</v>
      </c>
      <c r="E42" s="44">
        <v>42957</v>
      </c>
      <c r="F42" s="43">
        <v>350000</v>
      </c>
    </row>
    <row r="43" spans="1:6" ht="15.75" thickBot="1" x14ac:dyDescent="0.3">
      <c r="A43" s="41" t="s">
        <v>233</v>
      </c>
      <c r="B43" s="42" t="s">
        <v>234</v>
      </c>
      <c r="C43" s="45">
        <v>42921</v>
      </c>
      <c r="D43" s="410">
        <v>180000</v>
      </c>
      <c r="E43" s="44">
        <v>42957</v>
      </c>
      <c r="F43" s="43">
        <v>100000</v>
      </c>
    </row>
    <row r="44" spans="1:6" ht="15.75" thickBot="1" x14ac:dyDescent="0.3">
      <c r="A44" s="41" t="s">
        <v>235</v>
      </c>
      <c r="B44" s="42" t="s">
        <v>236</v>
      </c>
      <c r="C44" s="45">
        <v>42920</v>
      </c>
      <c r="D44" s="410">
        <v>2000000</v>
      </c>
      <c r="E44" s="44">
        <v>42955</v>
      </c>
      <c r="F44" s="43">
        <v>1700000</v>
      </c>
    </row>
    <row r="45" spans="1:6" ht="15.75" thickBot="1" x14ac:dyDescent="0.3">
      <c r="A45" s="41" t="s">
        <v>82</v>
      </c>
      <c r="B45" s="42" t="s">
        <v>199</v>
      </c>
      <c r="C45" s="45">
        <v>42873</v>
      </c>
      <c r="D45" s="410">
        <v>1000070</v>
      </c>
      <c r="E45" s="44">
        <v>42954</v>
      </c>
      <c r="F45" s="43">
        <v>990000</v>
      </c>
    </row>
    <row r="46" spans="1:6" ht="15.75" thickBot="1" x14ac:dyDescent="0.3">
      <c r="A46" s="26" t="s">
        <v>69</v>
      </c>
      <c r="B46" s="27" t="s">
        <v>70</v>
      </c>
      <c r="C46" s="33">
        <v>42836</v>
      </c>
      <c r="D46" s="415" t="s">
        <v>99</v>
      </c>
      <c r="E46" s="29">
        <v>42926</v>
      </c>
      <c r="F46" s="28" t="s">
        <v>104</v>
      </c>
    </row>
    <row r="47" spans="1:6" ht="15.75" thickBot="1" x14ac:dyDescent="0.3">
      <c r="A47" s="26" t="s">
        <v>56</v>
      </c>
      <c r="B47" s="27" t="s">
        <v>57</v>
      </c>
      <c r="C47" s="33">
        <v>42816</v>
      </c>
      <c r="D47" s="415" t="s">
        <v>103</v>
      </c>
      <c r="E47" s="29">
        <v>42926</v>
      </c>
      <c r="F47" s="28">
        <v>450000</v>
      </c>
    </row>
    <row r="48" spans="1:6" ht="15.75" thickBot="1" x14ac:dyDescent="0.3">
      <c r="A48" s="26" t="s">
        <v>18</v>
      </c>
      <c r="B48" s="27" t="s">
        <v>136</v>
      </c>
      <c r="C48" s="33">
        <v>42820</v>
      </c>
      <c r="D48" s="415">
        <v>600000</v>
      </c>
      <c r="E48" s="29">
        <v>42926</v>
      </c>
      <c r="F48" s="28">
        <v>550000</v>
      </c>
    </row>
    <row r="49" spans="1:6" ht="15.75" thickBot="1" x14ac:dyDescent="0.3">
      <c r="A49" s="26" t="s">
        <v>148</v>
      </c>
      <c r="B49" s="27" t="s">
        <v>168</v>
      </c>
      <c r="C49" s="33">
        <v>42898</v>
      </c>
      <c r="D49" s="415">
        <v>300000</v>
      </c>
      <c r="E49" s="29">
        <v>42922</v>
      </c>
      <c r="F49" s="28">
        <v>200000</v>
      </c>
    </row>
    <row r="50" spans="1:6" ht="15.75" thickBot="1" x14ac:dyDescent="0.3">
      <c r="A50" s="36" t="s">
        <v>224</v>
      </c>
      <c r="B50" s="37" t="s">
        <v>225</v>
      </c>
      <c r="C50" s="40">
        <v>42914</v>
      </c>
      <c r="D50" s="411">
        <v>1400000</v>
      </c>
      <c r="E50" s="39">
        <v>42936</v>
      </c>
      <c r="F50" s="38">
        <v>1400000</v>
      </c>
    </row>
    <row r="51" spans="1:6" ht="15.75" thickBot="1" x14ac:dyDescent="0.3">
      <c r="A51" s="22" t="s">
        <v>145</v>
      </c>
      <c r="B51" s="23" t="s">
        <v>169</v>
      </c>
      <c r="C51" s="31">
        <v>42898</v>
      </c>
      <c r="D51" s="416">
        <v>900000</v>
      </c>
      <c r="E51" s="25">
        <v>42927</v>
      </c>
      <c r="F51" s="24">
        <v>900000</v>
      </c>
    </row>
    <row r="52" spans="1:6" ht="15.75" thickBot="1" x14ac:dyDescent="0.3">
      <c r="A52" s="22" t="s">
        <v>146</v>
      </c>
      <c r="B52" s="23" t="s">
        <v>171</v>
      </c>
      <c r="C52" s="31">
        <v>42895</v>
      </c>
      <c r="D52" s="416">
        <v>800000</v>
      </c>
      <c r="E52" s="25">
        <v>42919</v>
      </c>
      <c r="F52" s="24">
        <v>800000</v>
      </c>
    </row>
    <row r="53" spans="1:6" ht="15.75" thickBot="1" x14ac:dyDescent="0.3">
      <c r="A53" s="22" t="s">
        <v>12</v>
      </c>
      <c r="B53" s="23" t="s">
        <v>186</v>
      </c>
      <c r="C53" s="30">
        <v>42821</v>
      </c>
      <c r="D53" s="416">
        <v>820000</v>
      </c>
      <c r="E53" s="25">
        <v>42919</v>
      </c>
      <c r="F53" s="24">
        <v>820000</v>
      </c>
    </row>
    <row r="54" spans="1:6" ht="15.75" thickBot="1" x14ac:dyDescent="0.3">
      <c r="A54" s="41" t="s">
        <v>128</v>
      </c>
      <c r="B54" s="42" t="s">
        <v>187</v>
      </c>
      <c r="C54" s="45" t="s">
        <v>130</v>
      </c>
      <c r="D54" s="410">
        <v>1500000</v>
      </c>
      <c r="E54" s="44">
        <v>42914</v>
      </c>
      <c r="F54" s="43">
        <v>10</v>
      </c>
    </row>
    <row r="55" spans="1:6" ht="15.75" thickBot="1" x14ac:dyDescent="0.3">
      <c r="A55" s="41" t="s">
        <v>221</v>
      </c>
      <c r="B55" s="42" t="s">
        <v>222</v>
      </c>
      <c r="C55" s="45">
        <v>42911</v>
      </c>
      <c r="D55" s="410">
        <v>999999</v>
      </c>
      <c r="E55" s="44">
        <v>42913</v>
      </c>
      <c r="F55" s="43">
        <v>1000000</v>
      </c>
    </row>
    <row r="56" spans="1:6" ht="15.75" thickBot="1" x14ac:dyDescent="0.3">
      <c r="A56" s="41" t="s">
        <v>73</v>
      </c>
      <c r="B56" s="80" t="s">
        <v>223</v>
      </c>
      <c r="C56" s="45">
        <v>42816</v>
      </c>
      <c r="D56" s="410" t="s">
        <v>98</v>
      </c>
      <c r="E56" s="44">
        <v>42912</v>
      </c>
      <c r="F56" s="43">
        <v>1900000</v>
      </c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500"/>
  <sheetViews>
    <sheetView workbookViewId="0">
      <selection activeCell="B33" sqref="B33"/>
    </sheetView>
  </sheetViews>
  <sheetFormatPr defaultColWidth="9.140625" defaultRowHeight="15" x14ac:dyDescent="0.25"/>
  <cols>
    <col min="1" max="1" width="12.28515625" style="1" customWidth="1"/>
    <col min="2" max="2" width="89.28515625" style="1" bestFit="1" customWidth="1"/>
    <col min="3" max="3" width="11.7109375" style="1" bestFit="1" customWidth="1"/>
    <col min="4" max="4" width="8" style="1" bestFit="1" customWidth="1"/>
    <col min="5" max="16384" width="9.140625" style="1"/>
  </cols>
  <sheetData>
    <row r="1" spans="1:5" x14ac:dyDescent="0.25">
      <c r="A1" t="s">
        <v>770</v>
      </c>
      <c r="B1" t="s">
        <v>771</v>
      </c>
      <c r="C1" t="s">
        <v>761</v>
      </c>
      <c r="D1">
        <v>850000</v>
      </c>
    </row>
    <row r="2" spans="1:5" x14ac:dyDescent="0.25">
      <c r="A2" t="s">
        <v>697</v>
      </c>
      <c r="B2" t="s">
        <v>698</v>
      </c>
      <c r="C2" t="s">
        <v>745</v>
      </c>
      <c r="D2">
        <v>900000</v>
      </c>
      <c r="E2" s="8"/>
    </row>
    <row r="3" spans="1:5" x14ac:dyDescent="0.25">
      <c r="A3" t="s">
        <v>772</v>
      </c>
      <c r="B3" t="s">
        <v>773</v>
      </c>
      <c r="C3" t="s">
        <v>751</v>
      </c>
      <c r="D3">
        <v>900000</v>
      </c>
    </row>
    <row r="4" spans="1:5" x14ac:dyDescent="0.25">
      <c r="A4" t="s">
        <v>699</v>
      </c>
      <c r="B4" t="s">
        <v>700</v>
      </c>
      <c r="C4" t="s">
        <v>774</v>
      </c>
      <c r="D4">
        <v>650000</v>
      </c>
    </row>
    <row r="5" spans="1:5" x14ac:dyDescent="0.25">
      <c r="A5" t="s">
        <v>109</v>
      </c>
      <c r="B5" t="s">
        <v>162</v>
      </c>
      <c r="C5" t="s">
        <v>774</v>
      </c>
      <c r="D5">
        <v>890000</v>
      </c>
    </row>
    <row r="6" spans="1:5" x14ac:dyDescent="0.25">
      <c r="A6" t="s">
        <v>718</v>
      </c>
      <c r="B6" t="s">
        <v>719</v>
      </c>
      <c r="C6" t="s">
        <v>704</v>
      </c>
      <c r="D6">
        <v>700000</v>
      </c>
    </row>
    <row r="7" spans="1:5" x14ac:dyDescent="0.25">
      <c r="A7" t="s">
        <v>720</v>
      </c>
      <c r="B7" t="s">
        <v>721</v>
      </c>
      <c r="C7" t="s">
        <v>704</v>
      </c>
      <c r="D7">
        <v>1050000</v>
      </c>
    </row>
    <row r="8" spans="1:5" x14ac:dyDescent="0.25">
      <c r="A8" t="s">
        <v>270</v>
      </c>
      <c r="B8" t="s">
        <v>271</v>
      </c>
      <c r="C8" t="s">
        <v>707</v>
      </c>
      <c r="D8">
        <v>900000</v>
      </c>
    </row>
    <row r="9" spans="1:5" x14ac:dyDescent="0.25">
      <c r="A9" t="s">
        <v>107</v>
      </c>
      <c r="B9" t="s">
        <v>161</v>
      </c>
      <c r="C9" t="s">
        <v>707</v>
      </c>
      <c r="D9">
        <v>900000</v>
      </c>
    </row>
    <row r="10" spans="1:5" x14ac:dyDescent="0.25">
      <c r="A10" t="s">
        <v>110</v>
      </c>
      <c r="B10" t="s">
        <v>163</v>
      </c>
      <c r="C10" t="s">
        <v>707</v>
      </c>
      <c r="D10">
        <v>950000</v>
      </c>
    </row>
    <row r="11" spans="1:5" x14ac:dyDescent="0.25">
      <c r="A11" t="s">
        <v>108</v>
      </c>
      <c r="B11" t="s">
        <v>156</v>
      </c>
      <c r="C11" t="s">
        <v>707</v>
      </c>
      <c r="D11">
        <v>1500000</v>
      </c>
    </row>
    <row r="12" spans="1:5" x14ac:dyDescent="0.25">
      <c r="A12" t="s">
        <v>722</v>
      </c>
      <c r="B12" t="s">
        <v>723</v>
      </c>
      <c r="C12" t="s">
        <v>715</v>
      </c>
      <c r="D12">
        <v>850000</v>
      </c>
    </row>
    <row r="13" spans="1:5" x14ac:dyDescent="0.25">
      <c r="A13" t="s">
        <v>724</v>
      </c>
      <c r="B13" t="s">
        <v>725</v>
      </c>
      <c r="C13" t="s">
        <v>716</v>
      </c>
      <c r="D13">
        <v>970000</v>
      </c>
    </row>
    <row r="14" spans="1:5" x14ac:dyDescent="0.25">
      <c r="A14" t="s">
        <v>381</v>
      </c>
      <c r="B14" t="s">
        <v>382</v>
      </c>
      <c r="C14" t="s">
        <v>683</v>
      </c>
      <c r="D14">
        <v>700000</v>
      </c>
    </row>
    <row r="15" spans="1:5" x14ac:dyDescent="0.25">
      <c r="A15" t="s">
        <v>694</v>
      </c>
      <c r="B15" t="s">
        <v>695</v>
      </c>
      <c r="C15" t="s">
        <v>696</v>
      </c>
      <c r="D15">
        <v>1300000</v>
      </c>
    </row>
    <row r="16" spans="1:5" x14ac:dyDescent="0.25">
      <c r="A16"/>
      <c r="B16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/>
      <c r="C26"/>
      <c r="D26"/>
    </row>
    <row r="27" spans="1:4" x14ac:dyDescent="0.25">
      <c r="A27"/>
      <c r="B27"/>
      <c r="C27"/>
      <c r="D27"/>
    </row>
    <row r="28" spans="1:4" x14ac:dyDescent="0.25">
      <c r="A28"/>
      <c r="B28"/>
      <c r="C28"/>
      <c r="D28"/>
    </row>
    <row r="29" spans="1:4" x14ac:dyDescent="0.25">
      <c r="A29"/>
      <c r="B29"/>
      <c r="C29"/>
      <c r="D29"/>
    </row>
    <row r="30" spans="1:4" x14ac:dyDescent="0.25">
      <c r="A30"/>
      <c r="B30"/>
      <c r="C30"/>
      <c r="D30"/>
    </row>
    <row r="31" spans="1:4" x14ac:dyDescent="0.25">
      <c r="A31"/>
      <c r="B31"/>
      <c r="C31"/>
      <c r="D31"/>
    </row>
    <row r="32" spans="1:4" x14ac:dyDescent="0.25">
      <c r="A32"/>
      <c r="B32"/>
      <c r="C32"/>
      <c r="D32"/>
    </row>
    <row r="33" spans="1:4" x14ac:dyDescent="0.25">
      <c r="A33"/>
      <c r="B33"/>
      <c r="C33"/>
      <c r="D33"/>
    </row>
    <row r="34" spans="1:4" x14ac:dyDescent="0.25">
      <c r="A34"/>
      <c r="B34"/>
      <c r="C34"/>
      <c r="D34"/>
    </row>
    <row r="35" spans="1:4" x14ac:dyDescent="0.25">
      <c r="A35"/>
      <c r="B35"/>
      <c r="C35"/>
      <c r="D35"/>
    </row>
    <row r="36" spans="1:4" x14ac:dyDescent="0.25">
      <c r="A36"/>
      <c r="B36"/>
      <c r="C36"/>
      <c r="D36"/>
    </row>
    <row r="37" spans="1:4" x14ac:dyDescent="0.25">
      <c r="A37"/>
      <c r="B37"/>
      <c r="C37"/>
      <c r="D37"/>
    </row>
    <row r="38" spans="1:4" x14ac:dyDescent="0.25">
      <c r="A38"/>
      <c r="B38"/>
      <c r="C38"/>
      <c r="D38"/>
    </row>
    <row r="39" spans="1:4" x14ac:dyDescent="0.25">
      <c r="A39"/>
      <c r="B39"/>
      <c r="C39"/>
      <c r="D39"/>
    </row>
    <row r="40" spans="1:4" x14ac:dyDescent="0.25">
      <c r="A40"/>
      <c r="B40"/>
      <c r="C40"/>
      <c r="D40"/>
    </row>
    <row r="41" spans="1:4" x14ac:dyDescent="0.25">
      <c r="A41"/>
      <c r="B41"/>
      <c r="C41"/>
      <c r="D41"/>
    </row>
    <row r="42" spans="1:4" x14ac:dyDescent="0.25">
      <c r="A42"/>
      <c r="B42"/>
      <c r="C42"/>
      <c r="D42"/>
    </row>
    <row r="43" spans="1:4" x14ac:dyDescent="0.25">
      <c r="A43"/>
      <c r="B43"/>
      <c r="C43"/>
      <c r="D43"/>
    </row>
    <row r="44" spans="1:4" x14ac:dyDescent="0.25">
      <c r="A44"/>
      <c r="B44"/>
      <c r="C44"/>
      <c r="D44"/>
    </row>
    <row r="45" spans="1:4" x14ac:dyDescent="0.25">
      <c r="A45"/>
      <c r="B45"/>
      <c r="C45"/>
      <c r="D45"/>
    </row>
    <row r="46" spans="1:4" x14ac:dyDescent="0.25">
      <c r="A46"/>
      <c r="B46"/>
      <c r="C46"/>
      <c r="D46"/>
    </row>
    <row r="47" spans="1:4" x14ac:dyDescent="0.25">
      <c r="A47"/>
      <c r="B47"/>
      <c r="C47"/>
      <c r="D47"/>
    </row>
    <row r="48" spans="1:4" x14ac:dyDescent="0.25">
      <c r="A48"/>
      <c r="B48"/>
      <c r="C48"/>
      <c r="D48"/>
    </row>
    <row r="49" spans="1:4" x14ac:dyDescent="0.25">
      <c r="A49"/>
      <c r="B49"/>
      <c r="C49"/>
      <c r="D49"/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  <row r="56" spans="1:4" x14ac:dyDescent="0.25">
      <c r="A56"/>
      <c r="B56"/>
      <c r="C56"/>
      <c r="D56"/>
    </row>
    <row r="57" spans="1:4" x14ac:dyDescent="0.25">
      <c r="A57"/>
      <c r="B57"/>
      <c r="C57"/>
      <c r="D57"/>
    </row>
    <row r="58" spans="1:4" x14ac:dyDescent="0.25">
      <c r="A58"/>
      <c r="B58"/>
      <c r="C58"/>
      <c r="D58"/>
    </row>
    <row r="59" spans="1:4" x14ac:dyDescent="0.25">
      <c r="A59"/>
      <c r="B59"/>
      <c r="C59"/>
      <c r="D59"/>
    </row>
    <row r="60" spans="1:4" x14ac:dyDescent="0.25">
      <c r="A60"/>
      <c r="B60"/>
      <c r="C60"/>
      <c r="D60"/>
    </row>
    <row r="61" spans="1:4" x14ac:dyDescent="0.25">
      <c r="A61"/>
      <c r="B61"/>
      <c r="C61"/>
      <c r="D61"/>
    </row>
    <row r="62" spans="1:4" x14ac:dyDescent="0.25">
      <c r="A62"/>
      <c r="B62"/>
      <c r="C62"/>
      <c r="D62"/>
    </row>
    <row r="63" spans="1:4" x14ac:dyDescent="0.25">
      <c r="A63"/>
      <c r="B63"/>
      <c r="C63"/>
      <c r="D63"/>
    </row>
    <row r="64" spans="1:4" x14ac:dyDescent="0.25">
      <c r="A64"/>
      <c r="B64"/>
      <c r="C64"/>
      <c r="D64"/>
    </row>
    <row r="65" spans="1:4" x14ac:dyDescent="0.25">
      <c r="A65"/>
      <c r="B65"/>
      <c r="C65"/>
      <c r="D65"/>
    </row>
    <row r="66" spans="1:4" x14ac:dyDescent="0.25">
      <c r="A66"/>
      <c r="B66"/>
      <c r="C66"/>
      <c r="D66"/>
    </row>
    <row r="67" spans="1:4" x14ac:dyDescent="0.25">
      <c r="A67"/>
      <c r="B67"/>
      <c r="C67"/>
      <c r="D67"/>
    </row>
    <row r="68" spans="1:4" x14ac:dyDescent="0.25">
      <c r="A68"/>
      <c r="B68"/>
      <c r="C68"/>
      <c r="D68"/>
    </row>
    <row r="69" spans="1:4" x14ac:dyDescent="0.25">
      <c r="A69"/>
      <c r="B69"/>
      <c r="C69"/>
      <c r="D69"/>
    </row>
    <row r="70" spans="1:4" x14ac:dyDescent="0.25">
      <c r="A70"/>
      <c r="B70"/>
      <c r="C70"/>
      <c r="D70"/>
    </row>
    <row r="71" spans="1:4" x14ac:dyDescent="0.25">
      <c r="A71"/>
      <c r="B71"/>
      <c r="C71"/>
      <c r="D71"/>
    </row>
    <row r="72" spans="1:4" x14ac:dyDescent="0.25">
      <c r="A72"/>
      <c r="B72"/>
      <c r="C72"/>
      <c r="D72"/>
    </row>
    <row r="73" spans="1:4" x14ac:dyDescent="0.25">
      <c r="A73"/>
      <c r="B73"/>
      <c r="C73"/>
      <c r="D73"/>
    </row>
    <row r="74" spans="1:4" x14ac:dyDescent="0.25">
      <c r="A74"/>
      <c r="B74"/>
      <c r="C74"/>
      <c r="D74"/>
    </row>
    <row r="75" spans="1:4" x14ac:dyDescent="0.25">
      <c r="A75"/>
      <c r="B75"/>
      <c r="C75"/>
      <c r="D75"/>
    </row>
    <row r="76" spans="1:4" x14ac:dyDescent="0.25">
      <c r="A76"/>
      <c r="B76"/>
      <c r="C76"/>
      <c r="D76"/>
    </row>
    <row r="77" spans="1:4" x14ac:dyDescent="0.25">
      <c r="A77"/>
      <c r="B77"/>
      <c r="C77"/>
      <c r="D77"/>
    </row>
    <row r="78" spans="1:4" x14ac:dyDescent="0.25">
      <c r="A78"/>
      <c r="B78"/>
      <c r="C78"/>
      <c r="D78"/>
    </row>
    <row r="79" spans="1:4" x14ac:dyDescent="0.25">
      <c r="A79"/>
      <c r="B79"/>
      <c r="C79"/>
      <c r="D79"/>
    </row>
    <row r="80" spans="1:4" x14ac:dyDescent="0.25">
      <c r="A80"/>
      <c r="B80"/>
      <c r="C80"/>
      <c r="D80"/>
    </row>
    <row r="81" spans="1:4" x14ac:dyDescent="0.25">
      <c r="A81"/>
      <c r="B81"/>
      <c r="C81"/>
      <c r="D81"/>
    </row>
    <row r="82" spans="1:4" x14ac:dyDescent="0.25">
      <c r="A82"/>
      <c r="B82"/>
      <c r="C82"/>
      <c r="D82"/>
    </row>
    <row r="83" spans="1:4" x14ac:dyDescent="0.25">
      <c r="A83"/>
      <c r="B83"/>
      <c r="C83"/>
      <c r="D83"/>
    </row>
    <row r="84" spans="1:4" x14ac:dyDescent="0.25">
      <c r="A84"/>
      <c r="B84"/>
      <c r="C84"/>
      <c r="D84"/>
    </row>
    <row r="85" spans="1:4" x14ac:dyDescent="0.25">
      <c r="A85"/>
      <c r="B85"/>
      <c r="C85"/>
      <c r="D85"/>
    </row>
    <row r="86" spans="1:4" x14ac:dyDescent="0.25">
      <c r="A86"/>
      <c r="B86"/>
      <c r="C86"/>
      <c r="D86"/>
    </row>
    <row r="87" spans="1:4" x14ac:dyDescent="0.25">
      <c r="A87"/>
      <c r="B87"/>
      <c r="C87"/>
      <c r="D87"/>
    </row>
    <row r="88" spans="1:4" x14ac:dyDescent="0.25">
      <c r="A88"/>
      <c r="B88"/>
      <c r="C88"/>
      <c r="D88"/>
    </row>
    <row r="89" spans="1:4" x14ac:dyDescent="0.25">
      <c r="A89"/>
      <c r="B89"/>
      <c r="C89"/>
      <c r="D89"/>
    </row>
    <row r="90" spans="1:4" x14ac:dyDescent="0.25">
      <c r="A90"/>
      <c r="B90"/>
      <c r="C90"/>
      <c r="D90"/>
    </row>
    <row r="91" spans="1:4" x14ac:dyDescent="0.25">
      <c r="A91"/>
      <c r="B91"/>
      <c r="C91"/>
      <c r="D91"/>
    </row>
    <row r="92" spans="1:4" x14ac:dyDescent="0.25">
      <c r="A92"/>
      <c r="B92"/>
      <c r="C92"/>
      <c r="D92"/>
    </row>
    <row r="93" spans="1:4" x14ac:dyDescent="0.25">
      <c r="A93"/>
      <c r="B93"/>
      <c r="C93"/>
      <c r="D93"/>
    </row>
    <row r="94" spans="1:4" x14ac:dyDescent="0.25">
      <c r="A94"/>
      <c r="B94"/>
      <c r="C94"/>
      <c r="D94"/>
    </row>
    <row r="95" spans="1:4" x14ac:dyDescent="0.25">
      <c r="A95"/>
      <c r="B95"/>
      <c r="C95"/>
      <c r="D95"/>
    </row>
    <row r="96" spans="1:4" x14ac:dyDescent="0.25">
      <c r="A96"/>
      <c r="B96"/>
      <c r="C96"/>
      <c r="D96"/>
    </row>
    <row r="97" spans="1:4" x14ac:dyDescent="0.25">
      <c r="A97"/>
      <c r="B97"/>
      <c r="C97"/>
      <c r="D97"/>
    </row>
    <row r="98" spans="1:4" x14ac:dyDescent="0.25">
      <c r="A98"/>
      <c r="B98"/>
      <c r="C98"/>
      <c r="D98"/>
    </row>
    <row r="99" spans="1:4" x14ac:dyDescent="0.25">
      <c r="A99"/>
      <c r="B99"/>
      <c r="C99"/>
      <c r="D99"/>
    </row>
    <row r="100" spans="1:4" x14ac:dyDescent="0.25">
      <c r="A100"/>
      <c r="B100"/>
      <c r="C100"/>
      <c r="D100"/>
    </row>
    <row r="101" spans="1:4" x14ac:dyDescent="0.25">
      <c r="A101"/>
      <c r="B101"/>
      <c r="C101"/>
      <c r="D101"/>
    </row>
    <row r="102" spans="1:4" x14ac:dyDescent="0.25">
      <c r="A102"/>
      <c r="B102"/>
      <c r="C102"/>
      <c r="D102"/>
    </row>
    <row r="103" spans="1:4" x14ac:dyDescent="0.25">
      <c r="A103"/>
      <c r="B103"/>
      <c r="C103"/>
      <c r="D103"/>
    </row>
    <row r="104" spans="1:4" x14ac:dyDescent="0.25">
      <c r="A104"/>
      <c r="B104"/>
      <c r="C104"/>
      <c r="D104"/>
    </row>
    <row r="105" spans="1:4" x14ac:dyDescent="0.25">
      <c r="A105"/>
      <c r="B105"/>
      <c r="C105"/>
      <c r="D105"/>
    </row>
    <row r="106" spans="1:4" x14ac:dyDescent="0.25">
      <c r="A106"/>
      <c r="B106"/>
      <c r="C106"/>
      <c r="D106"/>
    </row>
    <row r="107" spans="1:4" x14ac:dyDescent="0.25">
      <c r="A107"/>
      <c r="B107"/>
      <c r="C107"/>
      <c r="D107"/>
    </row>
    <row r="108" spans="1:4" x14ac:dyDescent="0.25">
      <c r="A108"/>
      <c r="B108"/>
      <c r="C108"/>
      <c r="D108"/>
    </row>
    <row r="109" spans="1:4" x14ac:dyDescent="0.25">
      <c r="A109"/>
      <c r="B109"/>
      <c r="C109"/>
      <c r="D109"/>
    </row>
    <row r="110" spans="1:4" x14ac:dyDescent="0.25">
      <c r="A110"/>
      <c r="B110"/>
      <c r="C110"/>
      <c r="D110"/>
    </row>
    <row r="111" spans="1:4" x14ac:dyDescent="0.25">
      <c r="A111"/>
      <c r="B111"/>
      <c r="C111"/>
      <c r="D111"/>
    </row>
    <row r="112" spans="1:4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C224"/>
      <c r="D224"/>
    </row>
    <row r="225" spans="1:4" x14ac:dyDescent="0.25">
      <c r="A225"/>
      <c r="B225"/>
      <c r="C225"/>
      <c r="D225"/>
    </row>
    <row r="226" spans="1:4" x14ac:dyDescent="0.25">
      <c r="A226"/>
      <c r="B226"/>
      <c r="C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  <c r="B229"/>
      <c r="C229"/>
      <c r="D229"/>
    </row>
    <row r="230" spans="1:4" x14ac:dyDescent="0.25">
      <c r="A230"/>
      <c r="B230"/>
      <c r="C230"/>
      <c r="D230"/>
    </row>
    <row r="231" spans="1:4" x14ac:dyDescent="0.25">
      <c r="A231"/>
      <c r="B231"/>
      <c r="C231"/>
      <c r="D231"/>
    </row>
    <row r="232" spans="1:4" x14ac:dyDescent="0.25">
      <c r="A232"/>
      <c r="B232"/>
      <c r="C232"/>
      <c r="D232"/>
    </row>
    <row r="233" spans="1:4" x14ac:dyDescent="0.25">
      <c r="A233"/>
      <c r="B233"/>
      <c r="C233"/>
      <c r="D233"/>
    </row>
    <row r="234" spans="1:4" x14ac:dyDescent="0.25">
      <c r="A234"/>
      <c r="B234"/>
      <c r="C234"/>
      <c r="D234"/>
    </row>
    <row r="235" spans="1:4" x14ac:dyDescent="0.25">
      <c r="A235"/>
      <c r="B235"/>
      <c r="C235"/>
      <c r="D235"/>
    </row>
    <row r="236" spans="1:4" x14ac:dyDescent="0.25">
      <c r="A236"/>
      <c r="B236"/>
      <c r="C236"/>
      <c r="D236"/>
    </row>
    <row r="237" spans="1:4" x14ac:dyDescent="0.25">
      <c r="A237"/>
      <c r="B237"/>
      <c r="C237"/>
      <c r="D237"/>
    </row>
    <row r="238" spans="1:4" x14ac:dyDescent="0.25">
      <c r="A238"/>
      <c r="B238"/>
      <c r="C238"/>
      <c r="D238"/>
    </row>
    <row r="239" spans="1:4" x14ac:dyDescent="0.25">
      <c r="A239"/>
      <c r="B239"/>
      <c r="C239"/>
      <c r="D239"/>
    </row>
    <row r="240" spans="1:4" x14ac:dyDescent="0.25">
      <c r="A240"/>
      <c r="B240"/>
      <c r="C240"/>
      <c r="D240"/>
    </row>
    <row r="241" spans="1:4" x14ac:dyDescent="0.25">
      <c r="A241"/>
      <c r="B241"/>
      <c r="C241"/>
      <c r="D241"/>
    </row>
    <row r="242" spans="1:4" x14ac:dyDescent="0.25">
      <c r="A242"/>
      <c r="B242"/>
      <c r="C242"/>
      <c r="D242"/>
    </row>
    <row r="243" spans="1:4" x14ac:dyDescent="0.25">
      <c r="A243"/>
      <c r="B243"/>
      <c r="C243"/>
      <c r="D243"/>
    </row>
    <row r="244" spans="1:4" x14ac:dyDescent="0.25">
      <c r="A244"/>
      <c r="B244"/>
      <c r="C244"/>
      <c r="D244"/>
    </row>
    <row r="245" spans="1:4" x14ac:dyDescent="0.25">
      <c r="A245"/>
      <c r="B245"/>
      <c r="C245"/>
      <c r="D245"/>
    </row>
    <row r="246" spans="1:4" x14ac:dyDescent="0.25">
      <c r="A246"/>
      <c r="B246"/>
      <c r="C246"/>
      <c r="D246"/>
    </row>
    <row r="247" spans="1:4" x14ac:dyDescent="0.25">
      <c r="A247"/>
      <c r="B247"/>
      <c r="C247"/>
      <c r="D247"/>
    </row>
    <row r="248" spans="1:4" x14ac:dyDescent="0.25">
      <c r="A248"/>
      <c r="B248"/>
      <c r="C248"/>
      <c r="D248"/>
    </row>
    <row r="249" spans="1:4" x14ac:dyDescent="0.25">
      <c r="A249"/>
      <c r="B249"/>
      <c r="C249"/>
      <c r="D249"/>
    </row>
    <row r="250" spans="1:4" x14ac:dyDescent="0.25">
      <c r="A250"/>
      <c r="B250"/>
      <c r="C250"/>
      <c r="D250"/>
    </row>
    <row r="251" spans="1:4" x14ac:dyDescent="0.25">
      <c r="A251"/>
      <c r="B251"/>
      <c r="C251"/>
      <c r="D251"/>
    </row>
    <row r="252" spans="1:4" x14ac:dyDescent="0.25">
      <c r="A252"/>
      <c r="B252"/>
      <c r="C252"/>
      <c r="D252"/>
    </row>
    <row r="253" spans="1:4" x14ac:dyDescent="0.25">
      <c r="A253"/>
      <c r="B253"/>
      <c r="C253"/>
      <c r="D253"/>
    </row>
    <row r="254" spans="1:4" x14ac:dyDescent="0.25">
      <c r="A254"/>
      <c r="B254"/>
      <c r="C254"/>
      <c r="D254"/>
    </row>
    <row r="255" spans="1:4" x14ac:dyDescent="0.25">
      <c r="A255"/>
      <c r="B255"/>
      <c r="C255"/>
      <c r="D255"/>
    </row>
    <row r="256" spans="1:4" x14ac:dyDescent="0.25">
      <c r="A256"/>
      <c r="B256"/>
      <c r="C256"/>
      <c r="D256"/>
    </row>
    <row r="257" spans="1:4" x14ac:dyDescent="0.25">
      <c r="A257"/>
      <c r="B257"/>
      <c r="C257"/>
      <c r="D257"/>
    </row>
    <row r="258" spans="1:4" x14ac:dyDescent="0.25">
      <c r="A258"/>
      <c r="B258"/>
      <c r="C258"/>
      <c r="D258"/>
    </row>
    <row r="259" spans="1:4" x14ac:dyDescent="0.25">
      <c r="A259"/>
      <c r="B259"/>
      <c r="C259"/>
      <c r="D259"/>
    </row>
    <row r="260" spans="1:4" x14ac:dyDescent="0.25">
      <c r="A260"/>
      <c r="B260"/>
      <c r="C260"/>
      <c r="D260"/>
    </row>
    <row r="261" spans="1:4" x14ac:dyDescent="0.25">
      <c r="A261"/>
      <c r="B261"/>
      <c r="C261"/>
      <c r="D261"/>
    </row>
    <row r="262" spans="1:4" x14ac:dyDescent="0.25">
      <c r="A262"/>
      <c r="B262"/>
      <c r="C262"/>
      <c r="D262"/>
    </row>
    <row r="263" spans="1:4" x14ac:dyDescent="0.25">
      <c r="A263"/>
      <c r="B263"/>
      <c r="C263"/>
      <c r="D263"/>
    </row>
    <row r="264" spans="1:4" x14ac:dyDescent="0.25">
      <c r="A264"/>
      <c r="B264"/>
      <c r="C264"/>
      <c r="D264"/>
    </row>
    <row r="265" spans="1:4" x14ac:dyDescent="0.25">
      <c r="A265"/>
      <c r="B265"/>
      <c r="C265"/>
      <c r="D265"/>
    </row>
    <row r="266" spans="1:4" x14ac:dyDescent="0.25">
      <c r="A266"/>
      <c r="B266"/>
      <c r="C266"/>
      <c r="D266"/>
    </row>
    <row r="267" spans="1:4" x14ac:dyDescent="0.25">
      <c r="A267"/>
      <c r="B267"/>
      <c r="C267"/>
      <c r="D267"/>
    </row>
    <row r="268" spans="1:4" x14ac:dyDescent="0.25">
      <c r="A268"/>
      <c r="B268"/>
      <c r="C268"/>
      <c r="D268"/>
    </row>
    <row r="269" spans="1:4" x14ac:dyDescent="0.25">
      <c r="A269"/>
      <c r="B269"/>
      <c r="C269"/>
      <c r="D269"/>
    </row>
    <row r="270" spans="1:4" x14ac:dyDescent="0.25">
      <c r="A270"/>
      <c r="B270"/>
      <c r="C270"/>
      <c r="D270"/>
    </row>
    <row r="271" spans="1:4" x14ac:dyDescent="0.25">
      <c r="A271"/>
      <c r="B271"/>
      <c r="C271"/>
      <c r="D271"/>
    </row>
    <row r="272" spans="1:4" x14ac:dyDescent="0.25">
      <c r="A272"/>
      <c r="B272"/>
      <c r="C272"/>
      <c r="D272"/>
    </row>
    <row r="273" spans="1:4" x14ac:dyDescent="0.25">
      <c r="A273"/>
      <c r="B273"/>
      <c r="C273"/>
      <c r="D273"/>
    </row>
    <row r="274" spans="1:4" x14ac:dyDescent="0.25">
      <c r="A274"/>
      <c r="B274"/>
      <c r="C274"/>
      <c r="D274"/>
    </row>
    <row r="275" spans="1:4" x14ac:dyDescent="0.25">
      <c r="A275"/>
      <c r="B275"/>
      <c r="C275"/>
      <c r="D275"/>
    </row>
    <row r="276" spans="1:4" x14ac:dyDescent="0.25">
      <c r="A276"/>
      <c r="B276"/>
      <c r="C276"/>
      <c r="D276"/>
    </row>
    <row r="277" spans="1:4" x14ac:dyDescent="0.25">
      <c r="A277"/>
      <c r="B277"/>
      <c r="C277"/>
      <c r="D277"/>
    </row>
    <row r="278" spans="1:4" x14ac:dyDescent="0.25">
      <c r="A278"/>
      <c r="B278"/>
      <c r="C278"/>
      <c r="D278"/>
    </row>
    <row r="279" spans="1:4" x14ac:dyDescent="0.25">
      <c r="A279"/>
      <c r="B279"/>
      <c r="C279"/>
      <c r="D279"/>
    </row>
    <row r="280" spans="1:4" x14ac:dyDescent="0.25">
      <c r="A280"/>
      <c r="B280"/>
      <c r="C280"/>
      <c r="D280"/>
    </row>
    <row r="281" spans="1:4" x14ac:dyDescent="0.25">
      <c r="A281"/>
      <c r="B281"/>
      <c r="C281"/>
      <c r="D281"/>
    </row>
    <row r="282" spans="1:4" x14ac:dyDescent="0.25">
      <c r="A282"/>
      <c r="B282"/>
      <c r="C282"/>
      <c r="D282"/>
    </row>
    <row r="283" spans="1:4" x14ac:dyDescent="0.25">
      <c r="A283"/>
      <c r="B283"/>
      <c r="C283"/>
      <c r="D283"/>
    </row>
    <row r="284" spans="1:4" x14ac:dyDescent="0.25">
      <c r="A284"/>
      <c r="B284"/>
      <c r="C284"/>
      <c r="D284"/>
    </row>
    <row r="285" spans="1:4" x14ac:dyDescent="0.25">
      <c r="A285"/>
      <c r="B285"/>
      <c r="C285"/>
      <c r="D285"/>
    </row>
    <row r="286" spans="1:4" x14ac:dyDescent="0.25">
      <c r="A286"/>
      <c r="B286"/>
      <c r="C286"/>
      <c r="D286"/>
    </row>
    <row r="287" spans="1:4" x14ac:dyDescent="0.25">
      <c r="A287"/>
      <c r="B287"/>
      <c r="C287"/>
      <c r="D287"/>
    </row>
    <row r="288" spans="1:4" x14ac:dyDescent="0.25">
      <c r="A288"/>
      <c r="B288"/>
      <c r="C288"/>
      <c r="D288"/>
    </row>
    <row r="289" spans="1:4" x14ac:dyDescent="0.25">
      <c r="A289"/>
      <c r="B289"/>
      <c r="C289"/>
      <c r="D289"/>
    </row>
    <row r="290" spans="1:4" x14ac:dyDescent="0.25">
      <c r="A290"/>
      <c r="B290"/>
      <c r="C290"/>
      <c r="D290"/>
    </row>
    <row r="291" spans="1:4" x14ac:dyDescent="0.25">
      <c r="A291"/>
      <c r="B291"/>
      <c r="C291"/>
      <c r="D291"/>
    </row>
    <row r="292" spans="1:4" x14ac:dyDescent="0.25">
      <c r="A292"/>
      <c r="B292"/>
      <c r="C292"/>
      <c r="D292"/>
    </row>
    <row r="293" spans="1:4" x14ac:dyDescent="0.25">
      <c r="A293"/>
      <c r="B293"/>
      <c r="C293"/>
      <c r="D293"/>
    </row>
    <row r="294" spans="1:4" x14ac:dyDescent="0.25">
      <c r="A294"/>
      <c r="B294"/>
      <c r="C294"/>
      <c r="D294"/>
    </row>
    <row r="295" spans="1:4" x14ac:dyDescent="0.25">
      <c r="A295"/>
      <c r="B295"/>
      <c r="C295"/>
      <c r="D295"/>
    </row>
    <row r="296" spans="1:4" x14ac:dyDescent="0.25">
      <c r="A296"/>
      <c r="B296"/>
      <c r="C296"/>
      <c r="D296"/>
    </row>
    <row r="297" spans="1:4" x14ac:dyDescent="0.25">
      <c r="A297"/>
      <c r="B297"/>
      <c r="C297"/>
      <c r="D297"/>
    </row>
    <row r="298" spans="1:4" x14ac:dyDescent="0.25">
      <c r="A298"/>
      <c r="B298"/>
      <c r="C298"/>
      <c r="D298"/>
    </row>
    <row r="299" spans="1:4" x14ac:dyDescent="0.25">
      <c r="A299"/>
      <c r="B299"/>
      <c r="C299"/>
      <c r="D299"/>
    </row>
    <row r="300" spans="1:4" x14ac:dyDescent="0.25">
      <c r="A300"/>
      <c r="B300"/>
      <c r="C300"/>
      <c r="D300"/>
    </row>
    <row r="301" spans="1:4" x14ac:dyDescent="0.25">
      <c r="A301"/>
      <c r="B301"/>
      <c r="C301"/>
      <c r="D301"/>
    </row>
    <row r="302" spans="1:4" x14ac:dyDescent="0.25">
      <c r="A302"/>
      <c r="B302"/>
      <c r="C302"/>
      <c r="D302"/>
    </row>
    <row r="303" spans="1:4" x14ac:dyDescent="0.25">
      <c r="A303"/>
      <c r="B303"/>
      <c r="C303"/>
      <c r="D303"/>
    </row>
    <row r="304" spans="1:4" x14ac:dyDescent="0.25">
      <c r="A304"/>
      <c r="B304"/>
      <c r="C304"/>
      <c r="D304"/>
    </row>
    <row r="305" spans="1:4" x14ac:dyDescent="0.25">
      <c r="A305"/>
      <c r="B305"/>
      <c r="C305"/>
      <c r="D305"/>
    </row>
    <row r="306" spans="1:4" x14ac:dyDescent="0.25">
      <c r="A306"/>
      <c r="B306"/>
      <c r="C306"/>
      <c r="D306"/>
    </row>
    <row r="307" spans="1:4" x14ac:dyDescent="0.25">
      <c r="A307"/>
      <c r="B307"/>
      <c r="C307"/>
      <c r="D307"/>
    </row>
    <row r="308" spans="1:4" x14ac:dyDescent="0.25">
      <c r="A308"/>
      <c r="B308"/>
      <c r="C308"/>
      <c r="D308"/>
    </row>
    <row r="309" spans="1:4" x14ac:dyDescent="0.25">
      <c r="A309"/>
      <c r="B309"/>
      <c r="C309"/>
      <c r="D309"/>
    </row>
    <row r="310" spans="1:4" x14ac:dyDescent="0.25">
      <c r="A310"/>
      <c r="B310"/>
      <c r="C310"/>
      <c r="D310"/>
    </row>
    <row r="311" spans="1:4" x14ac:dyDescent="0.25">
      <c r="A311"/>
      <c r="B311"/>
      <c r="C311"/>
      <c r="D311"/>
    </row>
    <row r="312" spans="1:4" x14ac:dyDescent="0.25">
      <c r="A312"/>
      <c r="B312"/>
      <c r="C312"/>
      <c r="D312"/>
    </row>
    <row r="313" spans="1:4" x14ac:dyDescent="0.25">
      <c r="A313"/>
      <c r="B313"/>
      <c r="C313"/>
      <c r="D313"/>
    </row>
    <row r="314" spans="1:4" x14ac:dyDescent="0.25">
      <c r="A314"/>
      <c r="B314"/>
      <c r="C314"/>
      <c r="D314"/>
    </row>
    <row r="315" spans="1:4" x14ac:dyDescent="0.25">
      <c r="A315"/>
      <c r="B315"/>
      <c r="C315"/>
      <c r="D315"/>
    </row>
    <row r="316" spans="1:4" x14ac:dyDescent="0.25">
      <c r="A316"/>
      <c r="B316"/>
      <c r="C316"/>
      <c r="D316"/>
    </row>
    <row r="317" spans="1:4" x14ac:dyDescent="0.25">
      <c r="A317"/>
      <c r="B317"/>
      <c r="C317"/>
      <c r="D317"/>
    </row>
    <row r="318" spans="1:4" x14ac:dyDescent="0.25">
      <c r="A318"/>
      <c r="B318"/>
      <c r="C318"/>
      <c r="D318"/>
    </row>
    <row r="319" spans="1:4" x14ac:dyDescent="0.25">
      <c r="A319"/>
      <c r="B319"/>
      <c r="C319"/>
      <c r="D319"/>
    </row>
    <row r="320" spans="1:4" x14ac:dyDescent="0.25">
      <c r="A320"/>
      <c r="B320"/>
      <c r="C320"/>
      <c r="D320"/>
    </row>
    <row r="321" spans="1:4" x14ac:dyDescent="0.25">
      <c r="A321"/>
      <c r="B321"/>
      <c r="C321"/>
      <c r="D321"/>
    </row>
    <row r="322" spans="1:4" x14ac:dyDescent="0.25">
      <c r="A322"/>
      <c r="B322"/>
      <c r="C322"/>
      <c r="D322"/>
    </row>
    <row r="323" spans="1:4" x14ac:dyDescent="0.25">
      <c r="A323"/>
      <c r="B323"/>
      <c r="C323"/>
      <c r="D323"/>
    </row>
    <row r="324" spans="1:4" x14ac:dyDescent="0.25">
      <c r="A324"/>
      <c r="B324"/>
      <c r="C324"/>
      <c r="D324"/>
    </row>
    <row r="325" spans="1:4" x14ac:dyDescent="0.25">
      <c r="A325"/>
      <c r="B325"/>
      <c r="C325"/>
      <c r="D325"/>
    </row>
    <row r="326" spans="1:4" x14ac:dyDescent="0.25">
      <c r="A326"/>
      <c r="B326"/>
      <c r="C326"/>
      <c r="D326"/>
    </row>
    <row r="327" spans="1:4" x14ac:dyDescent="0.25">
      <c r="A327"/>
      <c r="B327"/>
      <c r="C327"/>
      <c r="D327"/>
    </row>
    <row r="328" spans="1:4" x14ac:dyDescent="0.25">
      <c r="A328"/>
      <c r="B328"/>
      <c r="C328"/>
      <c r="D328"/>
    </row>
    <row r="329" spans="1:4" x14ac:dyDescent="0.25">
      <c r="A329"/>
      <c r="B329"/>
      <c r="C329"/>
      <c r="D329"/>
    </row>
    <row r="330" spans="1:4" x14ac:dyDescent="0.25">
      <c r="A330"/>
      <c r="B330"/>
      <c r="C330"/>
      <c r="D330"/>
    </row>
    <row r="331" spans="1:4" x14ac:dyDescent="0.25">
      <c r="A331"/>
      <c r="B331"/>
      <c r="C331"/>
      <c r="D331"/>
    </row>
    <row r="332" spans="1:4" x14ac:dyDescent="0.25">
      <c r="A332"/>
      <c r="B332"/>
      <c r="C332"/>
      <c r="D332"/>
    </row>
    <row r="333" spans="1:4" x14ac:dyDescent="0.25">
      <c r="A333"/>
      <c r="B333"/>
      <c r="C333"/>
      <c r="D333"/>
    </row>
    <row r="334" spans="1:4" x14ac:dyDescent="0.25">
      <c r="A334"/>
      <c r="B334"/>
      <c r="C334"/>
      <c r="D334"/>
    </row>
    <row r="335" spans="1:4" x14ac:dyDescent="0.25">
      <c r="A335"/>
      <c r="B335"/>
      <c r="C335"/>
      <c r="D335"/>
    </row>
    <row r="336" spans="1:4" x14ac:dyDescent="0.25">
      <c r="A336"/>
      <c r="B336"/>
      <c r="C336"/>
      <c r="D336"/>
    </row>
    <row r="337" spans="1:4" x14ac:dyDescent="0.25">
      <c r="A337"/>
      <c r="B337"/>
      <c r="C337"/>
      <c r="D337"/>
    </row>
    <row r="338" spans="1:4" x14ac:dyDescent="0.25">
      <c r="A338"/>
      <c r="B338"/>
      <c r="C338"/>
      <c r="D338"/>
    </row>
    <row r="339" spans="1:4" x14ac:dyDescent="0.25">
      <c r="A339"/>
      <c r="B339"/>
      <c r="C339"/>
      <c r="D339"/>
    </row>
    <row r="340" spans="1:4" x14ac:dyDescent="0.25">
      <c r="A340"/>
      <c r="B340"/>
      <c r="C340"/>
      <c r="D340"/>
    </row>
    <row r="341" spans="1:4" x14ac:dyDescent="0.25">
      <c r="A341"/>
      <c r="B341"/>
      <c r="C341"/>
      <c r="D341"/>
    </row>
    <row r="342" spans="1:4" x14ac:dyDescent="0.25">
      <c r="A342"/>
      <c r="B342"/>
      <c r="C342"/>
      <c r="D342"/>
    </row>
    <row r="343" spans="1:4" x14ac:dyDescent="0.25">
      <c r="A343"/>
      <c r="B343"/>
      <c r="C343"/>
      <c r="D343"/>
    </row>
    <row r="344" spans="1:4" x14ac:dyDescent="0.25">
      <c r="A344"/>
      <c r="B344"/>
      <c r="C344"/>
      <c r="D344"/>
    </row>
    <row r="345" spans="1:4" x14ac:dyDescent="0.25">
      <c r="A345"/>
      <c r="B345"/>
      <c r="C345"/>
      <c r="D345"/>
    </row>
    <row r="346" spans="1:4" x14ac:dyDescent="0.25">
      <c r="A346"/>
      <c r="B346"/>
      <c r="C346"/>
      <c r="D346"/>
    </row>
    <row r="347" spans="1:4" x14ac:dyDescent="0.25">
      <c r="A347"/>
      <c r="B347"/>
      <c r="C347"/>
      <c r="D347"/>
    </row>
    <row r="348" spans="1:4" x14ac:dyDescent="0.25">
      <c r="A348"/>
      <c r="B348"/>
      <c r="C348"/>
      <c r="D348"/>
    </row>
    <row r="349" spans="1:4" x14ac:dyDescent="0.25">
      <c r="A349"/>
      <c r="B349"/>
      <c r="C349"/>
      <c r="D349"/>
    </row>
    <row r="350" spans="1:4" x14ac:dyDescent="0.25">
      <c r="A350"/>
      <c r="B350"/>
      <c r="C350"/>
      <c r="D350"/>
    </row>
    <row r="351" spans="1:4" x14ac:dyDescent="0.25">
      <c r="A351"/>
      <c r="B351"/>
      <c r="C351"/>
      <c r="D351"/>
    </row>
    <row r="352" spans="1:4" x14ac:dyDescent="0.25">
      <c r="A352"/>
      <c r="B352"/>
      <c r="C352"/>
      <c r="D352"/>
    </row>
    <row r="353" spans="1:4" x14ac:dyDescent="0.25">
      <c r="A353"/>
      <c r="B353"/>
      <c r="C353"/>
      <c r="D353"/>
    </row>
    <row r="354" spans="1:4" x14ac:dyDescent="0.25">
      <c r="A354"/>
      <c r="B354"/>
      <c r="C354"/>
      <c r="D354"/>
    </row>
    <row r="355" spans="1:4" x14ac:dyDescent="0.25">
      <c r="A355"/>
      <c r="B355"/>
      <c r="C355"/>
      <c r="D355"/>
    </row>
    <row r="356" spans="1:4" x14ac:dyDescent="0.25">
      <c r="A356"/>
      <c r="B356"/>
      <c r="C356"/>
      <c r="D356"/>
    </row>
    <row r="357" spans="1:4" x14ac:dyDescent="0.25">
      <c r="A357"/>
      <c r="B357"/>
      <c r="C357"/>
      <c r="D357"/>
    </row>
    <row r="358" spans="1:4" x14ac:dyDescent="0.25">
      <c r="A358"/>
      <c r="B358"/>
      <c r="C358"/>
      <c r="D358"/>
    </row>
    <row r="359" spans="1:4" x14ac:dyDescent="0.25">
      <c r="A359"/>
      <c r="B359"/>
      <c r="C359"/>
      <c r="D359"/>
    </row>
    <row r="360" spans="1:4" x14ac:dyDescent="0.25">
      <c r="A360"/>
      <c r="B360"/>
      <c r="C360"/>
      <c r="D360"/>
    </row>
    <row r="361" spans="1:4" x14ac:dyDescent="0.25">
      <c r="A361"/>
      <c r="B361"/>
      <c r="C361"/>
      <c r="D361"/>
    </row>
    <row r="362" spans="1:4" x14ac:dyDescent="0.25">
      <c r="A362"/>
      <c r="B362"/>
      <c r="C362"/>
      <c r="D362"/>
    </row>
    <row r="363" spans="1:4" x14ac:dyDescent="0.25">
      <c r="A363"/>
      <c r="B363"/>
      <c r="C363"/>
      <c r="D363"/>
    </row>
    <row r="364" spans="1:4" x14ac:dyDescent="0.25">
      <c r="A364"/>
      <c r="B364"/>
      <c r="C364"/>
      <c r="D364"/>
    </row>
    <row r="365" spans="1:4" x14ac:dyDescent="0.25">
      <c r="A365"/>
      <c r="B365"/>
      <c r="C365"/>
      <c r="D365"/>
    </row>
    <row r="366" spans="1:4" x14ac:dyDescent="0.25">
      <c r="A366"/>
      <c r="B366"/>
      <c r="C366"/>
      <c r="D366"/>
    </row>
    <row r="367" spans="1:4" x14ac:dyDescent="0.25">
      <c r="A367"/>
      <c r="B367"/>
      <c r="C367"/>
      <c r="D367"/>
    </row>
    <row r="368" spans="1:4" x14ac:dyDescent="0.25">
      <c r="A368"/>
      <c r="B368"/>
      <c r="C368"/>
      <c r="D368"/>
    </row>
    <row r="369" spans="1:4" x14ac:dyDescent="0.25">
      <c r="A369"/>
      <c r="B369"/>
      <c r="C369"/>
      <c r="D369"/>
    </row>
    <row r="370" spans="1:4" x14ac:dyDescent="0.25">
      <c r="A370"/>
      <c r="B370"/>
      <c r="C370"/>
      <c r="D370"/>
    </row>
    <row r="371" spans="1:4" x14ac:dyDescent="0.25">
      <c r="A371"/>
      <c r="B371"/>
      <c r="C371"/>
      <c r="D371"/>
    </row>
    <row r="372" spans="1:4" x14ac:dyDescent="0.25">
      <c r="A372"/>
      <c r="B372"/>
      <c r="C372"/>
      <c r="D372"/>
    </row>
    <row r="373" spans="1:4" x14ac:dyDescent="0.25">
      <c r="A373"/>
      <c r="B373"/>
      <c r="C373"/>
      <c r="D373"/>
    </row>
    <row r="374" spans="1:4" x14ac:dyDescent="0.25">
      <c r="A374"/>
      <c r="B374"/>
      <c r="C374"/>
      <c r="D374"/>
    </row>
    <row r="375" spans="1:4" x14ac:dyDescent="0.25">
      <c r="A375"/>
      <c r="B375"/>
      <c r="C375"/>
      <c r="D375"/>
    </row>
    <row r="376" spans="1:4" x14ac:dyDescent="0.25">
      <c r="A376"/>
      <c r="B376"/>
      <c r="C376"/>
      <c r="D376"/>
    </row>
    <row r="377" spans="1:4" x14ac:dyDescent="0.25">
      <c r="A377"/>
      <c r="B377"/>
      <c r="C377"/>
      <c r="D377"/>
    </row>
    <row r="378" spans="1:4" x14ac:dyDescent="0.25">
      <c r="A378"/>
      <c r="B378"/>
      <c r="C378"/>
      <c r="D378"/>
    </row>
    <row r="379" spans="1:4" x14ac:dyDescent="0.25">
      <c r="A379"/>
      <c r="B379"/>
      <c r="C379"/>
      <c r="D379"/>
    </row>
    <row r="380" spans="1:4" x14ac:dyDescent="0.25">
      <c r="A380"/>
      <c r="B380"/>
      <c r="C380"/>
      <c r="D380"/>
    </row>
    <row r="381" spans="1:4" x14ac:dyDescent="0.25">
      <c r="A381"/>
      <c r="B381"/>
      <c r="C381"/>
      <c r="D381"/>
    </row>
    <row r="382" spans="1:4" x14ac:dyDescent="0.25">
      <c r="A382"/>
      <c r="B382"/>
      <c r="C382"/>
      <c r="D382"/>
    </row>
    <row r="383" spans="1:4" x14ac:dyDescent="0.25">
      <c r="A383"/>
      <c r="B383"/>
      <c r="C383"/>
      <c r="D383"/>
    </row>
    <row r="384" spans="1:4" x14ac:dyDescent="0.25">
      <c r="A384"/>
      <c r="B384"/>
      <c r="C384"/>
      <c r="D384"/>
    </row>
    <row r="385" spans="1:4" x14ac:dyDescent="0.25">
      <c r="A385"/>
      <c r="B385"/>
      <c r="C385"/>
      <c r="D385"/>
    </row>
    <row r="386" spans="1:4" x14ac:dyDescent="0.25">
      <c r="A386"/>
      <c r="B386"/>
      <c r="C386"/>
      <c r="D386"/>
    </row>
    <row r="387" spans="1:4" x14ac:dyDescent="0.25">
      <c r="A387"/>
      <c r="B387"/>
      <c r="C387"/>
      <c r="D387"/>
    </row>
    <row r="388" spans="1:4" x14ac:dyDescent="0.25">
      <c r="A388"/>
      <c r="B388"/>
      <c r="C388"/>
      <c r="D388"/>
    </row>
    <row r="389" spans="1:4" x14ac:dyDescent="0.25">
      <c r="A389"/>
      <c r="B389"/>
      <c r="C389"/>
      <c r="D389"/>
    </row>
    <row r="390" spans="1:4" x14ac:dyDescent="0.25">
      <c r="A390"/>
      <c r="B390"/>
      <c r="C390"/>
      <c r="D390"/>
    </row>
    <row r="391" spans="1:4" x14ac:dyDescent="0.25">
      <c r="A391"/>
      <c r="B391"/>
      <c r="C391"/>
      <c r="D391"/>
    </row>
    <row r="392" spans="1:4" x14ac:dyDescent="0.25">
      <c r="A392"/>
      <c r="B392"/>
      <c r="C392"/>
      <c r="D392"/>
    </row>
    <row r="393" spans="1:4" x14ac:dyDescent="0.25">
      <c r="A393"/>
      <c r="B393"/>
      <c r="C393"/>
      <c r="D393"/>
    </row>
    <row r="394" spans="1:4" x14ac:dyDescent="0.25">
      <c r="A394"/>
      <c r="B394"/>
      <c r="C394"/>
      <c r="D394"/>
    </row>
    <row r="395" spans="1:4" x14ac:dyDescent="0.25">
      <c r="A395"/>
      <c r="B395"/>
      <c r="C395"/>
      <c r="D395"/>
    </row>
    <row r="396" spans="1:4" x14ac:dyDescent="0.25">
      <c r="A396"/>
      <c r="B396"/>
      <c r="C396"/>
      <c r="D396"/>
    </row>
    <row r="397" spans="1:4" x14ac:dyDescent="0.25">
      <c r="A397"/>
      <c r="B397"/>
      <c r="C397"/>
      <c r="D397"/>
    </row>
    <row r="398" spans="1:4" x14ac:dyDescent="0.25">
      <c r="A398"/>
      <c r="B398"/>
      <c r="C398"/>
      <c r="D398"/>
    </row>
    <row r="399" spans="1:4" x14ac:dyDescent="0.25">
      <c r="A399"/>
      <c r="B399"/>
      <c r="C399"/>
      <c r="D399"/>
    </row>
    <row r="400" spans="1:4" x14ac:dyDescent="0.25">
      <c r="A400"/>
      <c r="B400"/>
      <c r="C400"/>
      <c r="D400"/>
    </row>
    <row r="401" spans="1:4" x14ac:dyDescent="0.25">
      <c r="A401"/>
      <c r="B401"/>
      <c r="C401"/>
      <c r="D401"/>
    </row>
    <row r="402" spans="1:4" x14ac:dyDescent="0.25">
      <c r="A402"/>
      <c r="B402"/>
      <c r="C402"/>
      <c r="D402"/>
    </row>
    <row r="403" spans="1:4" x14ac:dyDescent="0.25">
      <c r="A403"/>
      <c r="B403"/>
      <c r="C403"/>
      <c r="D403"/>
    </row>
    <row r="404" spans="1:4" x14ac:dyDescent="0.25">
      <c r="A404"/>
      <c r="B404"/>
      <c r="C404"/>
      <c r="D404"/>
    </row>
    <row r="405" spans="1:4" x14ac:dyDescent="0.25">
      <c r="A405"/>
      <c r="B405"/>
      <c r="C405"/>
      <c r="D405"/>
    </row>
    <row r="406" spans="1:4" x14ac:dyDescent="0.25">
      <c r="A406"/>
      <c r="B406"/>
      <c r="C406"/>
      <c r="D406"/>
    </row>
    <row r="407" spans="1:4" x14ac:dyDescent="0.25">
      <c r="A407"/>
      <c r="B407"/>
      <c r="C407"/>
      <c r="D407"/>
    </row>
    <row r="408" spans="1:4" x14ac:dyDescent="0.25">
      <c r="A408"/>
      <c r="B408"/>
      <c r="C408"/>
      <c r="D408"/>
    </row>
    <row r="409" spans="1:4" x14ac:dyDescent="0.25">
      <c r="A409"/>
      <c r="B409"/>
      <c r="C409"/>
      <c r="D409"/>
    </row>
    <row r="410" spans="1:4" x14ac:dyDescent="0.25">
      <c r="A410"/>
      <c r="B410"/>
      <c r="C410"/>
      <c r="D410"/>
    </row>
    <row r="411" spans="1:4" x14ac:dyDescent="0.25">
      <c r="A411"/>
      <c r="B411"/>
      <c r="C411"/>
      <c r="D411"/>
    </row>
    <row r="412" spans="1:4" x14ac:dyDescent="0.25">
      <c r="A412"/>
      <c r="B412"/>
      <c r="C412"/>
      <c r="D412"/>
    </row>
    <row r="413" spans="1:4" x14ac:dyDescent="0.25">
      <c r="A413"/>
      <c r="B413"/>
      <c r="C413"/>
      <c r="D413"/>
    </row>
    <row r="414" spans="1:4" x14ac:dyDescent="0.25">
      <c r="A414"/>
      <c r="B414"/>
      <c r="C414"/>
      <c r="D414"/>
    </row>
    <row r="415" spans="1:4" x14ac:dyDescent="0.25">
      <c r="A415"/>
      <c r="B415"/>
      <c r="C415"/>
      <c r="D415"/>
    </row>
    <row r="416" spans="1:4" x14ac:dyDescent="0.25">
      <c r="A416"/>
      <c r="B416"/>
      <c r="C416"/>
      <c r="D416"/>
    </row>
    <row r="417" spans="1:4" x14ac:dyDescent="0.25">
      <c r="A417"/>
      <c r="B417"/>
      <c r="C417"/>
      <c r="D417"/>
    </row>
    <row r="418" spans="1:4" x14ac:dyDescent="0.25">
      <c r="A418"/>
      <c r="B418"/>
      <c r="C418"/>
      <c r="D418"/>
    </row>
    <row r="419" spans="1:4" x14ac:dyDescent="0.25">
      <c r="A419"/>
      <c r="B419"/>
      <c r="C419"/>
      <c r="D419"/>
    </row>
    <row r="420" spans="1:4" x14ac:dyDescent="0.25">
      <c r="A420"/>
      <c r="B420"/>
      <c r="C420"/>
      <c r="D420"/>
    </row>
    <row r="421" spans="1:4" x14ac:dyDescent="0.25">
      <c r="A421"/>
      <c r="B421"/>
      <c r="C421"/>
      <c r="D421"/>
    </row>
    <row r="422" spans="1:4" x14ac:dyDescent="0.25">
      <c r="A422"/>
      <c r="B422"/>
      <c r="C422"/>
      <c r="D422"/>
    </row>
    <row r="423" spans="1:4" x14ac:dyDescent="0.25">
      <c r="A423"/>
      <c r="B423"/>
      <c r="C423"/>
      <c r="D423"/>
    </row>
    <row r="424" spans="1:4" x14ac:dyDescent="0.25">
      <c r="A424"/>
      <c r="B424"/>
      <c r="C424"/>
      <c r="D424"/>
    </row>
    <row r="425" spans="1:4" x14ac:dyDescent="0.25">
      <c r="A425"/>
      <c r="B425"/>
      <c r="C425"/>
      <c r="D425"/>
    </row>
    <row r="426" spans="1:4" x14ac:dyDescent="0.25">
      <c r="A426"/>
      <c r="B426"/>
      <c r="C426"/>
      <c r="D426"/>
    </row>
    <row r="427" spans="1:4" x14ac:dyDescent="0.25">
      <c r="A427"/>
      <c r="B427"/>
      <c r="C427"/>
      <c r="D427"/>
    </row>
    <row r="428" spans="1:4" x14ac:dyDescent="0.25">
      <c r="A428"/>
      <c r="B428"/>
      <c r="C428"/>
      <c r="D428"/>
    </row>
    <row r="429" spans="1:4" x14ac:dyDescent="0.25">
      <c r="A429"/>
      <c r="B429"/>
      <c r="C429"/>
      <c r="D429"/>
    </row>
    <row r="430" spans="1:4" x14ac:dyDescent="0.25">
      <c r="A430"/>
      <c r="B430"/>
      <c r="C430"/>
      <c r="D430"/>
    </row>
    <row r="431" spans="1:4" x14ac:dyDescent="0.25">
      <c r="A431"/>
      <c r="B431"/>
      <c r="C431"/>
      <c r="D431"/>
    </row>
    <row r="432" spans="1:4" x14ac:dyDescent="0.25">
      <c r="A432"/>
      <c r="B432"/>
      <c r="C432"/>
      <c r="D432"/>
    </row>
    <row r="433" spans="1:4" x14ac:dyDescent="0.25">
      <c r="A433"/>
      <c r="B433"/>
      <c r="C433"/>
      <c r="D433"/>
    </row>
    <row r="434" spans="1:4" x14ac:dyDescent="0.25">
      <c r="A434"/>
      <c r="B434"/>
      <c r="C434"/>
      <c r="D434"/>
    </row>
    <row r="435" spans="1:4" x14ac:dyDescent="0.25">
      <c r="A435"/>
      <c r="B435"/>
      <c r="C435"/>
      <c r="D435"/>
    </row>
    <row r="436" spans="1:4" x14ac:dyDescent="0.25">
      <c r="A436"/>
      <c r="B436"/>
      <c r="C436"/>
      <c r="D436"/>
    </row>
    <row r="437" spans="1:4" x14ac:dyDescent="0.25">
      <c r="A437"/>
      <c r="B437"/>
      <c r="C437"/>
      <c r="D437"/>
    </row>
    <row r="438" spans="1:4" x14ac:dyDescent="0.25">
      <c r="A438"/>
      <c r="B438"/>
      <c r="C438"/>
      <c r="D438"/>
    </row>
    <row r="439" spans="1:4" x14ac:dyDescent="0.25">
      <c r="A439"/>
      <c r="B439"/>
      <c r="C439"/>
      <c r="D439"/>
    </row>
    <row r="440" spans="1:4" x14ac:dyDescent="0.25">
      <c r="A440"/>
      <c r="B440"/>
      <c r="C440"/>
      <c r="D440"/>
    </row>
    <row r="441" spans="1:4" x14ac:dyDescent="0.25">
      <c r="A441"/>
      <c r="B441"/>
      <c r="C441"/>
      <c r="D441"/>
    </row>
    <row r="442" spans="1:4" x14ac:dyDescent="0.25">
      <c r="A442"/>
      <c r="B442"/>
      <c r="C442"/>
      <c r="D442"/>
    </row>
    <row r="443" spans="1:4" x14ac:dyDescent="0.25">
      <c r="A443"/>
      <c r="B443"/>
      <c r="C443"/>
      <c r="D443"/>
    </row>
    <row r="444" spans="1:4" x14ac:dyDescent="0.25">
      <c r="A444"/>
      <c r="B444"/>
      <c r="C444"/>
      <c r="D444"/>
    </row>
    <row r="445" spans="1:4" x14ac:dyDescent="0.25">
      <c r="A445"/>
      <c r="B445"/>
      <c r="C445"/>
      <c r="D445"/>
    </row>
    <row r="446" spans="1:4" x14ac:dyDescent="0.25">
      <c r="A446"/>
      <c r="B446"/>
      <c r="C446"/>
      <c r="D446"/>
    </row>
    <row r="447" spans="1:4" x14ac:dyDescent="0.25">
      <c r="A447"/>
      <c r="B447"/>
      <c r="C447"/>
      <c r="D447"/>
    </row>
    <row r="448" spans="1:4" x14ac:dyDescent="0.25">
      <c r="A448"/>
      <c r="B448"/>
      <c r="C448"/>
      <c r="D448"/>
    </row>
    <row r="449" spans="1:4" x14ac:dyDescent="0.25">
      <c r="A449"/>
      <c r="B449"/>
      <c r="C449"/>
      <c r="D449"/>
    </row>
    <row r="450" spans="1:4" x14ac:dyDescent="0.25">
      <c r="A450"/>
      <c r="B450"/>
      <c r="C450"/>
      <c r="D450"/>
    </row>
    <row r="451" spans="1:4" x14ac:dyDescent="0.25">
      <c r="A451"/>
      <c r="B451"/>
      <c r="C451"/>
      <c r="D451"/>
    </row>
    <row r="452" spans="1:4" x14ac:dyDescent="0.25">
      <c r="A452"/>
      <c r="B452"/>
      <c r="C452"/>
      <c r="D452"/>
    </row>
    <row r="453" spans="1:4" x14ac:dyDescent="0.25">
      <c r="A453"/>
      <c r="B453"/>
      <c r="C453"/>
      <c r="D453"/>
    </row>
    <row r="454" spans="1:4" x14ac:dyDescent="0.25">
      <c r="A454"/>
      <c r="B454"/>
      <c r="C454"/>
      <c r="D454"/>
    </row>
    <row r="455" spans="1:4" x14ac:dyDescent="0.25">
      <c r="A455"/>
      <c r="B455"/>
      <c r="C455"/>
      <c r="D455"/>
    </row>
    <row r="456" spans="1:4" x14ac:dyDescent="0.25">
      <c r="A456"/>
      <c r="B456"/>
      <c r="C456"/>
      <c r="D456"/>
    </row>
    <row r="457" spans="1:4" x14ac:dyDescent="0.25">
      <c r="A457"/>
      <c r="B457"/>
      <c r="C457"/>
      <c r="D457"/>
    </row>
    <row r="458" spans="1:4" x14ac:dyDescent="0.25">
      <c r="A458"/>
      <c r="B458"/>
      <c r="C458"/>
      <c r="D458"/>
    </row>
    <row r="459" spans="1:4" x14ac:dyDescent="0.25">
      <c r="A459"/>
      <c r="B459"/>
      <c r="C459"/>
      <c r="D459"/>
    </row>
    <row r="460" spans="1:4" x14ac:dyDescent="0.25">
      <c r="A460"/>
      <c r="B460"/>
      <c r="C460"/>
      <c r="D460"/>
    </row>
    <row r="461" spans="1:4" x14ac:dyDescent="0.25">
      <c r="A461"/>
      <c r="B461"/>
      <c r="C461"/>
      <c r="D461"/>
    </row>
    <row r="462" spans="1:4" x14ac:dyDescent="0.25">
      <c r="A462"/>
      <c r="B462"/>
      <c r="C462"/>
      <c r="D462"/>
    </row>
    <row r="463" spans="1:4" x14ac:dyDescent="0.25">
      <c r="A463"/>
      <c r="B463"/>
      <c r="C463"/>
      <c r="D463"/>
    </row>
    <row r="464" spans="1:4" x14ac:dyDescent="0.25">
      <c r="A464"/>
      <c r="B464"/>
      <c r="C464"/>
      <c r="D464"/>
    </row>
    <row r="465" spans="1:4" x14ac:dyDescent="0.25">
      <c r="A465"/>
      <c r="B465"/>
      <c r="C465"/>
      <c r="D465"/>
    </row>
    <row r="466" spans="1:4" x14ac:dyDescent="0.25">
      <c r="A466"/>
      <c r="B466"/>
      <c r="C466"/>
      <c r="D466"/>
    </row>
    <row r="467" spans="1:4" x14ac:dyDescent="0.25">
      <c r="A467"/>
      <c r="B467"/>
      <c r="C467"/>
      <c r="D467"/>
    </row>
    <row r="468" spans="1:4" x14ac:dyDescent="0.25">
      <c r="A468"/>
      <c r="B468"/>
      <c r="C468"/>
      <c r="D468"/>
    </row>
    <row r="469" spans="1:4" x14ac:dyDescent="0.25">
      <c r="A469"/>
      <c r="B469"/>
      <c r="C469"/>
      <c r="D469"/>
    </row>
    <row r="470" spans="1:4" x14ac:dyDescent="0.25">
      <c r="A470"/>
      <c r="B470"/>
      <c r="C470"/>
      <c r="D470"/>
    </row>
    <row r="471" spans="1:4" x14ac:dyDescent="0.25">
      <c r="A471"/>
      <c r="B471"/>
      <c r="C471"/>
      <c r="D471"/>
    </row>
    <row r="472" spans="1:4" x14ac:dyDescent="0.25">
      <c r="A472"/>
      <c r="B472"/>
      <c r="C472"/>
      <c r="D472"/>
    </row>
    <row r="473" spans="1:4" x14ac:dyDescent="0.25">
      <c r="A473"/>
      <c r="B473"/>
      <c r="C473"/>
      <c r="D473"/>
    </row>
    <row r="474" spans="1:4" x14ac:dyDescent="0.25">
      <c r="A474"/>
      <c r="B474"/>
      <c r="C474"/>
      <c r="D474"/>
    </row>
    <row r="475" spans="1:4" x14ac:dyDescent="0.25">
      <c r="A475"/>
      <c r="B475"/>
      <c r="C475"/>
      <c r="D475"/>
    </row>
    <row r="476" spans="1:4" x14ac:dyDescent="0.25">
      <c r="A476"/>
      <c r="B476"/>
      <c r="C476"/>
      <c r="D476"/>
    </row>
    <row r="477" spans="1:4" x14ac:dyDescent="0.25">
      <c r="A477"/>
      <c r="B477"/>
      <c r="C477"/>
      <c r="D477"/>
    </row>
    <row r="478" spans="1:4" x14ac:dyDescent="0.25">
      <c r="A478"/>
      <c r="B478"/>
      <c r="C478"/>
      <c r="D478"/>
    </row>
    <row r="479" spans="1:4" x14ac:dyDescent="0.25">
      <c r="A479"/>
      <c r="B479"/>
      <c r="C479"/>
      <c r="D479"/>
    </row>
    <row r="480" spans="1:4" x14ac:dyDescent="0.25">
      <c r="A480"/>
      <c r="B480"/>
      <c r="C480"/>
      <c r="D480"/>
    </row>
    <row r="481" spans="1:4" x14ac:dyDescent="0.25">
      <c r="A481"/>
      <c r="B481"/>
      <c r="C481"/>
      <c r="D481"/>
    </row>
    <row r="482" spans="1:4" x14ac:dyDescent="0.25">
      <c r="A482"/>
      <c r="B482"/>
      <c r="C482"/>
      <c r="D482"/>
    </row>
    <row r="483" spans="1:4" x14ac:dyDescent="0.25">
      <c r="A483"/>
      <c r="B483"/>
      <c r="C483"/>
      <c r="D483"/>
    </row>
    <row r="484" spans="1:4" x14ac:dyDescent="0.25">
      <c r="A484"/>
      <c r="B484"/>
      <c r="C484"/>
      <c r="D484"/>
    </row>
    <row r="485" spans="1:4" x14ac:dyDescent="0.25">
      <c r="A485"/>
      <c r="B485"/>
      <c r="C485"/>
      <c r="D485"/>
    </row>
    <row r="486" spans="1:4" x14ac:dyDescent="0.25">
      <c r="A486"/>
      <c r="B486"/>
      <c r="C486"/>
      <c r="D486"/>
    </row>
    <row r="487" spans="1:4" x14ac:dyDescent="0.25">
      <c r="A487"/>
      <c r="B487"/>
      <c r="C487"/>
      <c r="D487"/>
    </row>
    <row r="488" spans="1:4" x14ac:dyDescent="0.25">
      <c r="A488"/>
      <c r="B488"/>
      <c r="C488"/>
      <c r="D488"/>
    </row>
    <row r="489" spans="1:4" x14ac:dyDescent="0.25">
      <c r="A489"/>
      <c r="B489"/>
      <c r="C489"/>
      <c r="D489"/>
    </row>
    <row r="490" spans="1:4" x14ac:dyDescent="0.25">
      <c r="A490"/>
      <c r="B490"/>
      <c r="C490"/>
      <c r="D490"/>
    </row>
    <row r="491" spans="1:4" x14ac:dyDescent="0.25">
      <c r="A491"/>
      <c r="B491"/>
      <c r="C491"/>
      <c r="D491"/>
    </row>
    <row r="492" spans="1:4" x14ac:dyDescent="0.25">
      <c r="A492"/>
      <c r="B492"/>
      <c r="C492"/>
      <c r="D492"/>
    </row>
    <row r="493" spans="1:4" x14ac:dyDescent="0.25">
      <c r="A493"/>
      <c r="B493"/>
      <c r="C493"/>
      <c r="D493"/>
    </row>
    <row r="494" spans="1:4" x14ac:dyDescent="0.25">
      <c r="A494"/>
      <c r="B494"/>
      <c r="C494"/>
      <c r="D494"/>
    </row>
    <row r="495" spans="1:4" x14ac:dyDescent="0.25">
      <c r="A495"/>
      <c r="B495"/>
      <c r="C495"/>
      <c r="D495"/>
    </row>
    <row r="496" spans="1:4" x14ac:dyDescent="0.25">
      <c r="A496"/>
      <c r="B496"/>
      <c r="C496"/>
      <c r="D496"/>
    </row>
    <row r="497" spans="1:4" x14ac:dyDescent="0.25">
      <c r="A497"/>
      <c r="B497"/>
      <c r="C497"/>
      <c r="D497"/>
    </row>
    <row r="498" spans="1:4" x14ac:dyDescent="0.25">
      <c r="A498"/>
      <c r="B498"/>
      <c r="C498"/>
      <c r="D498"/>
    </row>
    <row r="499" spans="1:4" x14ac:dyDescent="0.25">
      <c r="A499"/>
      <c r="B499"/>
      <c r="C499"/>
      <c r="D499"/>
    </row>
    <row r="500" spans="1:4" x14ac:dyDescent="0.25">
      <c r="A500"/>
      <c r="B500"/>
      <c r="C500"/>
      <c r="D50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8"/>
  <sheetViews>
    <sheetView workbookViewId="0">
      <selection activeCell="B12" sqref="B12"/>
    </sheetView>
  </sheetViews>
  <sheetFormatPr defaultColWidth="8.85546875" defaultRowHeight="15" x14ac:dyDescent="0.25"/>
  <cols>
    <col min="1" max="1" width="13.140625" style="1" customWidth="1"/>
    <col min="2" max="2" width="105.5703125" style="1" bestFit="1" customWidth="1"/>
    <col min="3" max="3" width="10.140625" style="1" bestFit="1" customWidth="1"/>
    <col min="4" max="4" width="10.140625" style="1" customWidth="1"/>
    <col min="5" max="5" width="9.5703125" style="1" customWidth="1"/>
    <col min="6" max="16384" width="8.85546875" style="1"/>
  </cols>
  <sheetData>
    <row r="1" spans="1:4" x14ac:dyDescent="0.25">
      <c r="A1" t="s">
        <v>770</v>
      </c>
      <c r="B1" t="s">
        <v>771</v>
      </c>
      <c r="C1" t="s">
        <v>761</v>
      </c>
      <c r="D1">
        <v>850000</v>
      </c>
    </row>
    <row r="2" spans="1:4" x14ac:dyDescent="0.25">
      <c r="A2" t="s">
        <v>697</v>
      </c>
      <c r="B2" t="s">
        <v>698</v>
      </c>
      <c r="C2" t="s">
        <v>657</v>
      </c>
      <c r="D2">
        <v>900000</v>
      </c>
    </row>
    <row r="3" spans="1:4" x14ac:dyDescent="0.25">
      <c r="A3" t="s">
        <v>772</v>
      </c>
      <c r="B3" t="s">
        <v>773</v>
      </c>
      <c r="C3" t="s">
        <v>751</v>
      </c>
      <c r="D3">
        <v>900000</v>
      </c>
    </row>
    <row r="4" spans="1:4" x14ac:dyDescent="0.25">
      <c r="A4" t="s">
        <v>699</v>
      </c>
      <c r="B4" t="s">
        <v>700</v>
      </c>
      <c r="C4" t="s">
        <v>701</v>
      </c>
      <c r="D4">
        <v>650000</v>
      </c>
    </row>
    <row r="5" spans="1:4" x14ac:dyDescent="0.25">
      <c r="A5" s="1" t="s">
        <v>109</v>
      </c>
      <c r="B5" t="s">
        <v>162</v>
      </c>
      <c r="C5" s="8">
        <v>42875</v>
      </c>
      <c r="D5" s="1">
        <v>890000</v>
      </c>
    </row>
    <row r="6" spans="1:4" x14ac:dyDescent="0.25">
      <c r="A6" t="s">
        <v>718</v>
      </c>
      <c r="B6" t="s">
        <v>719</v>
      </c>
      <c r="C6" t="s">
        <v>704</v>
      </c>
      <c r="D6">
        <v>700000</v>
      </c>
    </row>
    <row r="7" spans="1:4" x14ac:dyDescent="0.25">
      <c r="A7" t="s">
        <v>720</v>
      </c>
      <c r="B7" t="s">
        <v>721</v>
      </c>
      <c r="C7" t="s">
        <v>704</v>
      </c>
      <c r="D7">
        <v>1050000</v>
      </c>
    </row>
    <row r="8" spans="1:4" x14ac:dyDescent="0.25">
      <c r="A8" t="s">
        <v>270</v>
      </c>
      <c r="B8" t="s">
        <v>271</v>
      </c>
      <c r="C8" s="8">
        <v>42929</v>
      </c>
      <c r="D8">
        <v>900000</v>
      </c>
    </row>
    <row r="9" spans="1:4" x14ac:dyDescent="0.25">
      <c r="A9" s="1" t="s">
        <v>107</v>
      </c>
      <c r="B9" t="s">
        <v>161</v>
      </c>
      <c r="C9" s="1" t="s">
        <v>105</v>
      </c>
      <c r="D9" s="1">
        <v>900000</v>
      </c>
    </row>
    <row r="10" spans="1:4" x14ac:dyDescent="0.25">
      <c r="A10" t="s">
        <v>110</v>
      </c>
      <c r="B10" t="s">
        <v>163</v>
      </c>
      <c r="C10" t="s">
        <v>707</v>
      </c>
      <c r="D10">
        <v>950000</v>
      </c>
    </row>
    <row r="11" spans="1:4" x14ac:dyDescent="0.25">
      <c r="A11" t="s">
        <v>108</v>
      </c>
      <c r="B11" t="s">
        <v>156</v>
      </c>
      <c r="C11" s="8">
        <v>43048</v>
      </c>
      <c r="D11">
        <v>1500000</v>
      </c>
    </row>
    <row r="12" spans="1:4" x14ac:dyDescent="0.25">
      <c r="A12" t="s">
        <v>722</v>
      </c>
      <c r="B12" t="s">
        <v>723</v>
      </c>
      <c r="C12" t="s">
        <v>715</v>
      </c>
      <c r="D12">
        <v>850000</v>
      </c>
    </row>
    <row r="13" spans="1:4" x14ac:dyDescent="0.25">
      <c r="A13" t="s">
        <v>724</v>
      </c>
      <c r="B13" t="s">
        <v>725</v>
      </c>
      <c r="C13" t="s">
        <v>716</v>
      </c>
      <c r="D13">
        <v>970000</v>
      </c>
    </row>
    <row r="14" spans="1:4" x14ac:dyDescent="0.25">
      <c r="A14" t="s">
        <v>381</v>
      </c>
      <c r="B14" t="s">
        <v>382</v>
      </c>
      <c r="C14" t="s">
        <v>383</v>
      </c>
      <c r="D14">
        <v>700000</v>
      </c>
    </row>
    <row r="15" spans="1:4" x14ac:dyDescent="0.25">
      <c r="A15" t="s">
        <v>694</v>
      </c>
      <c r="B15" t="s">
        <v>695</v>
      </c>
      <c r="C15" t="s">
        <v>696</v>
      </c>
      <c r="D15">
        <v>1300000</v>
      </c>
    </row>
    <row r="16" spans="1:4" x14ac:dyDescent="0.25">
      <c r="A16" t="s">
        <v>302</v>
      </c>
      <c r="B16" t="s">
        <v>303</v>
      </c>
      <c r="C16" t="s">
        <v>286</v>
      </c>
      <c r="D16">
        <v>1200000</v>
      </c>
    </row>
    <row r="17" spans="1:4" x14ac:dyDescent="0.25">
      <c r="A17" s="1" t="s">
        <v>113</v>
      </c>
      <c r="B17" t="s">
        <v>293</v>
      </c>
      <c r="C17" s="1" t="s">
        <v>91</v>
      </c>
      <c r="D17" s="1">
        <v>1050000</v>
      </c>
    </row>
    <row r="18" spans="1:4" x14ac:dyDescent="0.25">
      <c r="A18" t="s">
        <v>604</v>
      </c>
      <c r="B18" t="s">
        <v>605</v>
      </c>
      <c r="C18" t="s">
        <v>606</v>
      </c>
      <c r="D18">
        <v>800000</v>
      </c>
    </row>
    <row r="19" spans="1:4" x14ac:dyDescent="0.25">
      <c r="A19" t="s">
        <v>607</v>
      </c>
      <c r="B19" t="s">
        <v>608</v>
      </c>
      <c r="C19" t="s">
        <v>603</v>
      </c>
      <c r="D19">
        <v>850000</v>
      </c>
    </row>
    <row r="20" spans="1:4" x14ac:dyDescent="0.25">
      <c r="A20" t="s">
        <v>444</v>
      </c>
      <c r="B20" t="s">
        <v>445</v>
      </c>
      <c r="C20" t="s">
        <v>443</v>
      </c>
      <c r="D20">
        <v>1050000</v>
      </c>
    </row>
    <row r="21" spans="1:4" x14ac:dyDescent="0.25">
      <c r="A21" t="s">
        <v>589</v>
      </c>
      <c r="B21" t="s">
        <v>590</v>
      </c>
      <c r="C21" s="8">
        <v>43038</v>
      </c>
      <c r="D21">
        <v>400000</v>
      </c>
    </row>
    <row r="22" spans="1:4" x14ac:dyDescent="0.25">
      <c r="A22" t="s">
        <v>304</v>
      </c>
      <c r="B22" t="s">
        <v>305</v>
      </c>
      <c r="C22" t="s">
        <v>289</v>
      </c>
      <c r="D22">
        <v>700000</v>
      </c>
    </row>
    <row r="23" spans="1:4" x14ac:dyDescent="0.25">
      <c r="A23" t="s">
        <v>568</v>
      </c>
      <c r="B23" t="s">
        <v>569</v>
      </c>
      <c r="C23" s="8">
        <v>43032</v>
      </c>
      <c r="D23">
        <v>1000000</v>
      </c>
    </row>
    <row r="24" spans="1:4" x14ac:dyDescent="0.25">
      <c r="A24" t="s">
        <v>546</v>
      </c>
      <c r="B24" t="s">
        <v>547</v>
      </c>
      <c r="C24" t="s">
        <v>548</v>
      </c>
      <c r="D24">
        <v>950000</v>
      </c>
    </row>
    <row r="25" spans="1:4" x14ac:dyDescent="0.25">
      <c r="A25" t="s">
        <v>554</v>
      </c>
      <c r="B25" t="s">
        <v>555</v>
      </c>
      <c r="C25" t="s">
        <v>484</v>
      </c>
      <c r="D25">
        <v>850000</v>
      </c>
    </row>
    <row r="26" spans="1:4" x14ac:dyDescent="0.25">
      <c r="A26" t="s">
        <v>280</v>
      </c>
      <c r="B26" t="s">
        <v>281</v>
      </c>
      <c r="C26" s="8">
        <v>42936</v>
      </c>
      <c r="D26">
        <v>1</v>
      </c>
    </row>
    <row r="27" spans="1:4" x14ac:dyDescent="0.25">
      <c r="A27" t="s">
        <v>499</v>
      </c>
      <c r="B27" t="s">
        <v>500</v>
      </c>
      <c r="C27" t="s">
        <v>485</v>
      </c>
      <c r="D27">
        <v>1600000</v>
      </c>
    </row>
    <row r="28" spans="1:4" x14ac:dyDescent="0.25">
      <c r="A28" t="s">
        <v>501</v>
      </c>
      <c r="B28" t="s">
        <v>502</v>
      </c>
      <c r="C28" t="s">
        <v>485</v>
      </c>
      <c r="D28">
        <v>1600000</v>
      </c>
    </row>
    <row r="29" spans="1:4" x14ac:dyDescent="0.25">
      <c r="A29" t="s">
        <v>217</v>
      </c>
      <c r="B29" t="s">
        <v>218</v>
      </c>
      <c r="C29" s="8">
        <v>42908</v>
      </c>
      <c r="D29">
        <v>1100000</v>
      </c>
    </row>
    <row r="30" spans="1:4" x14ac:dyDescent="0.25">
      <c r="A30" t="s">
        <v>476</v>
      </c>
      <c r="B30" t="s">
        <v>477</v>
      </c>
      <c r="C30" t="s">
        <v>463</v>
      </c>
      <c r="D30">
        <v>1600000</v>
      </c>
    </row>
    <row r="31" spans="1:4" x14ac:dyDescent="0.25">
      <c r="A31" t="s">
        <v>478</v>
      </c>
      <c r="B31" t="s">
        <v>479</v>
      </c>
      <c r="C31" t="s">
        <v>460</v>
      </c>
      <c r="D31">
        <v>1600000</v>
      </c>
    </row>
    <row r="32" spans="1:4" x14ac:dyDescent="0.25">
      <c r="A32" t="s">
        <v>143</v>
      </c>
      <c r="B32" t="s">
        <v>153</v>
      </c>
      <c r="C32" s="8">
        <v>42896</v>
      </c>
      <c r="D32">
        <v>1100000</v>
      </c>
    </row>
    <row r="33" spans="1:4" x14ac:dyDescent="0.25">
      <c r="A33" t="s">
        <v>241</v>
      </c>
      <c r="B33" t="s">
        <v>242</v>
      </c>
      <c r="C33" s="8">
        <v>42925</v>
      </c>
      <c r="D33">
        <v>980000</v>
      </c>
    </row>
    <row r="34" spans="1:4" x14ac:dyDescent="0.25">
      <c r="A34" t="s">
        <v>296</v>
      </c>
      <c r="B34" t="s">
        <v>297</v>
      </c>
      <c r="C34" t="s">
        <v>285</v>
      </c>
      <c r="D34">
        <v>900000</v>
      </c>
    </row>
    <row r="35" spans="1:4" x14ac:dyDescent="0.25">
      <c r="A35" t="s">
        <v>441</v>
      </c>
      <c r="B35" t="s">
        <v>442</v>
      </c>
      <c r="C35" t="s">
        <v>439</v>
      </c>
      <c r="D35">
        <v>1200000</v>
      </c>
    </row>
    <row r="36" spans="1:4" x14ac:dyDescent="0.25">
      <c r="A36" t="s">
        <v>298</v>
      </c>
      <c r="B36" t="s">
        <v>299</v>
      </c>
      <c r="C36" t="s">
        <v>285</v>
      </c>
      <c r="D36">
        <v>1200000</v>
      </c>
    </row>
    <row r="37" spans="1:4" x14ac:dyDescent="0.25">
      <c r="A37" s="1" t="s">
        <v>112</v>
      </c>
      <c r="B37" t="s">
        <v>152</v>
      </c>
      <c r="C37" s="8">
        <v>42870</v>
      </c>
      <c r="D37" s="1">
        <v>840000</v>
      </c>
    </row>
    <row r="38" spans="1:4" x14ac:dyDescent="0.25">
      <c r="A38" t="s">
        <v>300</v>
      </c>
      <c r="B38" t="s">
        <v>301</v>
      </c>
      <c r="C38" t="s">
        <v>288</v>
      </c>
      <c r="D38">
        <v>1100000</v>
      </c>
    </row>
    <row r="39" spans="1:4" x14ac:dyDescent="0.25">
      <c r="A39" t="s">
        <v>247</v>
      </c>
      <c r="B39" t="s">
        <v>248</v>
      </c>
      <c r="C39" s="8">
        <v>42927</v>
      </c>
      <c r="D39">
        <v>990000</v>
      </c>
    </row>
    <row r="40" spans="1:4" x14ac:dyDescent="0.25">
      <c r="A40" t="s">
        <v>275</v>
      </c>
      <c r="B40" t="s">
        <v>276</v>
      </c>
      <c r="C40" t="s">
        <v>237</v>
      </c>
      <c r="D40" t="s">
        <v>104</v>
      </c>
    </row>
    <row r="41" spans="1:4" x14ac:dyDescent="0.25">
      <c r="A41" s="1" t="s">
        <v>126</v>
      </c>
      <c r="B41" t="s">
        <v>159</v>
      </c>
      <c r="C41" s="1" t="s">
        <v>130</v>
      </c>
      <c r="D41" s="1">
        <v>1050000</v>
      </c>
    </row>
    <row r="42" spans="1:4" x14ac:dyDescent="0.25">
      <c r="A42" t="s">
        <v>150</v>
      </c>
      <c r="B42" t="s">
        <v>151</v>
      </c>
      <c r="C42" s="8">
        <v>42901</v>
      </c>
      <c r="D42">
        <v>500000</v>
      </c>
    </row>
    <row r="43" spans="1:4" x14ac:dyDescent="0.25">
      <c r="A43" s="1" t="s">
        <v>116</v>
      </c>
      <c r="B43" t="s">
        <v>155</v>
      </c>
      <c r="C43" s="8">
        <v>42857</v>
      </c>
      <c r="D43" s="1">
        <v>790000</v>
      </c>
    </row>
    <row r="44" spans="1:4" x14ac:dyDescent="0.25">
      <c r="A44" s="1" t="s">
        <v>129</v>
      </c>
      <c r="B44" t="s">
        <v>157</v>
      </c>
      <c r="C44" s="1" t="s">
        <v>131</v>
      </c>
      <c r="D44" s="1">
        <v>450000</v>
      </c>
    </row>
    <row r="45" spans="1:4" x14ac:dyDescent="0.25">
      <c r="A45" s="1" t="s">
        <v>125</v>
      </c>
      <c r="B45" t="s">
        <v>158</v>
      </c>
      <c r="C45" s="1" t="s">
        <v>130</v>
      </c>
      <c r="D45" s="1">
        <v>1000000</v>
      </c>
    </row>
    <row r="46" spans="1:4" x14ac:dyDescent="0.25">
      <c r="A46" s="1" t="s">
        <v>106</v>
      </c>
      <c r="B46" t="s">
        <v>160</v>
      </c>
      <c r="C46" s="1" t="s">
        <v>124</v>
      </c>
      <c r="D46" s="1">
        <v>900000</v>
      </c>
    </row>
    <row r="47" spans="1:4" x14ac:dyDescent="0.25">
      <c r="A47" s="1" t="s">
        <v>111</v>
      </c>
      <c r="B47" t="s">
        <v>164</v>
      </c>
      <c r="C47" s="1" t="s">
        <v>88</v>
      </c>
      <c r="D47" s="1">
        <v>1100000</v>
      </c>
    </row>
    <row r="48" spans="1:4" x14ac:dyDescent="0.25">
      <c r="A48" s="1" t="s">
        <v>114</v>
      </c>
      <c r="B48" s="1" t="s">
        <v>132</v>
      </c>
      <c r="C48" s="1" t="s">
        <v>84</v>
      </c>
      <c r="D48" s="1">
        <v>1200000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workbookViewId="0">
      <selection activeCell="I5" sqref="I5"/>
    </sheetView>
  </sheetViews>
  <sheetFormatPr defaultColWidth="8.85546875" defaultRowHeight="15" x14ac:dyDescent="0.25"/>
  <cols>
    <col min="1" max="1" width="11.7109375" style="1" customWidth="1"/>
    <col min="2" max="2" width="99.7109375" style="7" bestFit="1" customWidth="1"/>
    <col min="3" max="3" width="11.7109375" style="34" bestFit="1" customWidth="1"/>
    <col min="4" max="4" width="8.42578125" style="1" customWidth="1"/>
    <col min="5" max="5" width="10.7109375" style="1" customWidth="1"/>
    <col min="6" max="8" width="8.85546875" style="1"/>
    <col min="9" max="9" width="9.140625" style="1" bestFit="1" customWidth="1"/>
    <col min="10" max="16384" width="8.85546875" style="1"/>
  </cols>
  <sheetData>
    <row r="1" spans="1:9" ht="15.75" thickBot="1" x14ac:dyDescent="0.3">
      <c r="A1" s="423" t="s">
        <v>80</v>
      </c>
      <c r="B1" s="424"/>
      <c r="C1" s="424"/>
      <c r="D1" s="424"/>
      <c r="E1" s="424"/>
      <c r="F1" s="425"/>
      <c r="H1" s="14"/>
      <c r="I1" s="394">
        <f>AVERAGE(F:F)</f>
        <v>932500</v>
      </c>
    </row>
    <row r="2" spans="1:9" ht="15.75" thickBot="1" x14ac:dyDescent="0.3">
      <c r="A2" s="418" t="s">
        <v>722</v>
      </c>
      <c r="B2" s="419" t="s">
        <v>723</v>
      </c>
      <c r="C2" s="419" t="s">
        <v>715</v>
      </c>
      <c r="D2" s="419">
        <v>900000</v>
      </c>
      <c r="E2" s="421">
        <v>43131</v>
      </c>
      <c r="F2" s="420">
        <v>850000</v>
      </c>
      <c r="H2" s="96"/>
      <c r="I2" s="417"/>
    </row>
    <row r="3" spans="1:9" ht="15.75" thickBot="1" x14ac:dyDescent="0.3">
      <c r="A3" s="418" t="s">
        <v>107</v>
      </c>
      <c r="B3" s="419" t="s">
        <v>161</v>
      </c>
      <c r="C3" s="419" t="s">
        <v>105</v>
      </c>
      <c r="D3" s="419">
        <v>800000</v>
      </c>
      <c r="E3" s="421">
        <v>43116</v>
      </c>
      <c r="F3" s="420">
        <v>900000</v>
      </c>
    </row>
    <row r="4" spans="1:9" ht="15.75" thickBot="1" x14ac:dyDescent="0.3">
      <c r="A4" s="41" t="s">
        <v>109</v>
      </c>
      <c r="B4" s="42" t="s">
        <v>162</v>
      </c>
      <c r="C4" s="45">
        <v>42875</v>
      </c>
      <c r="D4" s="11">
        <v>1050000</v>
      </c>
      <c r="E4" s="44">
        <v>43109</v>
      </c>
      <c r="F4" s="43">
        <v>890000</v>
      </c>
    </row>
    <row r="5" spans="1:9" ht="15.75" thickBot="1" x14ac:dyDescent="0.3">
      <c r="A5" s="41" t="s">
        <v>381</v>
      </c>
      <c r="B5" s="42" t="s">
        <v>382</v>
      </c>
      <c r="C5" s="45" t="s">
        <v>383</v>
      </c>
      <c r="D5" s="42">
        <v>1200000</v>
      </c>
      <c r="E5" s="44">
        <v>43109</v>
      </c>
      <c r="F5" s="43">
        <v>700000</v>
      </c>
    </row>
    <row r="6" spans="1:9" ht="15.75" thickBot="1" x14ac:dyDescent="0.3">
      <c r="A6" s="36" t="s">
        <v>624</v>
      </c>
      <c r="B6" s="37" t="s">
        <v>625</v>
      </c>
      <c r="C6" s="40" t="s">
        <v>626</v>
      </c>
      <c r="D6" s="37">
        <v>950000</v>
      </c>
      <c r="E6" s="39">
        <v>43109</v>
      </c>
      <c r="F6" s="38">
        <v>950000</v>
      </c>
    </row>
    <row r="7" spans="1:9" ht="15.75" thickBot="1" x14ac:dyDescent="0.3">
      <c r="A7" s="36" t="s">
        <v>110</v>
      </c>
      <c r="B7" s="37" t="s">
        <v>163</v>
      </c>
      <c r="C7" s="40">
        <v>42874</v>
      </c>
      <c r="D7" s="37">
        <v>1050000</v>
      </c>
      <c r="E7" s="39">
        <v>43109</v>
      </c>
      <c r="F7" s="38">
        <v>950000</v>
      </c>
    </row>
    <row r="8" spans="1:9" ht="15.75" thickBot="1" x14ac:dyDescent="0.3">
      <c r="A8" s="36" t="s">
        <v>115</v>
      </c>
      <c r="B8" s="37" t="s">
        <v>154</v>
      </c>
      <c r="C8" s="40">
        <v>42890</v>
      </c>
      <c r="D8" s="37">
        <v>749000</v>
      </c>
      <c r="E8" s="39">
        <v>43109</v>
      </c>
      <c r="F8" s="38">
        <v>720000</v>
      </c>
    </row>
    <row r="9" spans="1:9" ht="15.75" thickBot="1" x14ac:dyDescent="0.3">
      <c r="A9" s="36" t="s">
        <v>497</v>
      </c>
      <c r="B9" s="37" t="s">
        <v>498</v>
      </c>
      <c r="C9" s="40" t="s">
        <v>492</v>
      </c>
      <c r="D9" s="37">
        <v>770000</v>
      </c>
      <c r="E9" s="39">
        <v>43070</v>
      </c>
      <c r="F9" s="38">
        <v>620000</v>
      </c>
    </row>
    <row r="10" spans="1:9" ht="15.75" thickBot="1" x14ac:dyDescent="0.3">
      <c r="A10" s="41" t="s">
        <v>589</v>
      </c>
      <c r="B10" s="42" t="s">
        <v>590</v>
      </c>
      <c r="C10" s="45">
        <v>43038</v>
      </c>
      <c r="D10" s="42">
        <v>450000</v>
      </c>
      <c r="E10" s="44">
        <v>43054</v>
      </c>
      <c r="F10" s="43">
        <v>400000</v>
      </c>
    </row>
    <row r="11" spans="1:9" ht="15.75" thickBot="1" x14ac:dyDescent="0.3">
      <c r="A11" s="36" t="s">
        <v>294</v>
      </c>
      <c r="B11" s="37" t="s">
        <v>295</v>
      </c>
      <c r="C11" s="40" t="s">
        <v>284</v>
      </c>
      <c r="D11" s="37">
        <v>900000</v>
      </c>
      <c r="E11" s="39">
        <v>43033</v>
      </c>
      <c r="F11" s="38">
        <v>650000</v>
      </c>
    </row>
    <row r="12" spans="1:9" ht="15.75" thickBot="1" x14ac:dyDescent="0.3">
      <c r="A12" s="36" t="s">
        <v>108</v>
      </c>
      <c r="B12" s="37" t="s">
        <v>156</v>
      </c>
      <c r="C12" s="40">
        <v>42876</v>
      </c>
      <c r="D12" s="37">
        <v>1250000</v>
      </c>
      <c r="E12" s="39">
        <v>43031</v>
      </c>
      <c r="F12" s="38">
        <v>1150000</v>
      </c>
    </row>
    <row r="13" spans="1:9" ht="15.75" thickBot="1" x14ac:dyDescent="0.3">
      <c r="A13" s="36" t="s">
        <v>552</v>
      </c>
      <c r="B13" s="37" t="s">
        <v>553</v>
      </c>
      <c r="C13" s="40">
        <v>43025</v>
      </c>
      <c r="D13" s="37">
        <v>650000</v>
      </c>
      <c r="E13" s="39">
        <v>43031</v>
      </c>
      <c r="F13" s="38">
        <v>700000</v>
      </c>
    </row>
    <row r="14" spans="1:9" ht="15.75" thickBot="1" x14ac:dyDescent="0.3">
      <c r="A14" s="41" t="s">
        <v>217</v>
      </c>
      <c r="B14" s="42" t="s">
        <v>218</v>
      </c>
      <c r="C14" s="45">
        <v>42908</v>
      </c>
      <c r="D14" s="42">
        <v>1</v>
      </c>
      <c r="E14" s="44">
        <v>43024</v>
      </c>
      <c r="F14" s="43">
        <v>1100000</v>
      </c>
    </row>
    <row r="15" spans="1:9" ht="15.75" thickBot="1" x14ac:dyDescent="0.3">
      <c r="A15" s="41" t="s">
        <v>478</v>
      </c>
      <c r="B15" s="42" t="s">
        <v>479</v>
      </c>
      <c r="C15" s="45" t="s">
        <v>460</v>
      </c>
      <c r="D15" s="42">
        <v>2100000</v>
      </c>
      <c r="E15" s="44">
        <v>43018</v>
      </c>
      <c r="F15" s="43">
        <v>1600000</v>
      </c>
    </row>
    <row r="16" spans="1:9" ht="15.75" thickBot="1" x14ac:dyDescent="0.3">
      <c r="A16" s="41" t="s">
        <v>476</v>
      </c>
      <c r="B16" s="42" t="s">
        <v>477</v>
      </c>
      <c r="C16" s="45" t="s">
        <v>463</v>
      </c>
      <c r="D16" s="42">
        <v>2100000</v>
      </c>
      <c r="E16" s="44">
        <v>43018</v>
      </c>
      <c r="F16" s="43">
        <v>1600000</v>
      </c>
    </row>
    <row r="17" spans="1:6" ht="15.75" thickBot="1" x14ac:dyDescent="0.3">
      <c r="A17" s="36" t="s">
        <v>321</v>
      </c>
      <c r="B17" s="37" t="s">
        <v>322</v>
      </c>
      <c r="C17" s="40">
        <v>42955</v>
      </c>
      <c r="D17" s="37">
        <v>1400000</v>
      </c>
      <c r="E17" s="39">
        <v>42975</v>
      </c>
      <c r="F17" s="38">
        <v>1300000</v>
      </c>
    </row>
    <row r="18" spans="1:6" ht="15.75" thickBot="1" x14ac:dyDescent="0.3">
      <c r="A18" s="41" t="s">
        <v>304</v>
      </c>
      <c r="B18" s="42" t="s">
        <v>305</v>
      </c>
      <c r="C18" s="45" t="s">
        <v>289</v>
      </c>
      <c r="D18" s="42" t="s">
        <v>104</v>
      </c>
      <c r="E18" s="44">
        <v>42972</v>
      </c>
      <c r="F18" s="43">
        <v>700000</v>
      </c>
    </row>
    <row r="19" spans="1:6" ht="15.75" thickBot="1" x14ac:dyDescent="0.3">
      <c r="A19" s="41" t="s">
        <v>241</v>
      </c>
      <c r="B19" s="42" t="s">
        <v>242</v>
      </c>
      <c r="C19" s="45">
        <v>42925</v>
      </c>
      <c r="D19" s="42">
        <v>1050000</v>
      </c>
      <c r="E19" s="44">
        <v>42956</v>
      </c>
      <c r="F19" s="43">
        <v>980000</v>
      </c>
    </row>
    <row r="20" spans="1:6" ht="15.75" thickBot="1" x14ac:dyDescent="0.3">
      <c r="A20" s="41" t="s">
        <v>113</v>
      </c>
      <c r="B20" s="7" t="s">
        <v>293</v>
      </c>
      <c r="C20" s="45" t="s">
        <v>91</v>
      </c>
      <c r="D20" s="42">
        <v>1300000</v>
      </c>
      <c r="E20" s="44">
        <v>42954</v>
      </c>
      <c r="F20" s="43">
        <v>1050000</v>
      </c>
    </row>
    <row r="21" spans="1:6" ht="15.75" thickBot="1" x14ac:dyDescent="0.3">
      <c r="A21" s="10" t="s">
        <v>112</v>
      </c>
      <c r="B21" s="97" t="s">
        <v>152</v>
      </c>
      <c r="C21" s="32" t="s">
        <v>83</v>
      </c>
      <c r="D21" s="11">
        <v>870000</v>
      </c>
      <c r="E21" s="11" t="s">
        <v>147</v>
      </c>
      <c r="F21" s="12">
        <v>840000</v>
      </c>
    </row>
    <row r="32" spans="1:6" x14ac:dyDescent="0.25">
      <c r="E32" s="7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90"/>
  <sheetViews>
    <sheetView topLeftCell="A58" zoomScaleNormal="100" workbookViewId="0">
      <selection activeCell="L92" sqref="L92"/>
    </sheetView>
  </sheetViews>
  <sheetFormatPr defaultRowHeight="15" x14ac:dyDescent="0.25"/>
  <cols>
    <col min="1" max="1" width="5" bestFit="1" customWidth="1"/>
    <col min="2" max="2" width="6" bestFit="1" customWidth="1"/>
    <col min="3" max="3" width="10.85546875" style="46" bestFit="1" customWidth="1"/>
    <col min="4" max="4" width="8.85546875" bestFit="1" customWidth="1"/>
    <col min="5" max="5" width="4" customWidth="1"/>
    <col min="6" max="6" width="10.140625" bestFit="1" customWidth="1"/>
    <col min="7" max="7" width="9.140625" bestFit="1" customWidth="1"/>
    <col min="8" max="8" width="10.140625" bestFit="1" customWidth="1"/>
    <col min="9" max="9" width="10.85546875" bestFit="1" customWidth="1"/>
    <col min="11" max="11" width="10.140625" bestFit="1" customWidth="1"/>
    <col min="13" max="13" width="9.140625" style="6"/>
    <col min="14" max="14" width="10.140625" style="6" bestFit="1" customWidth="1"/>
    <col min="16" max="16" width="11" bestFit="1" customWidth="1"/>
    <col min="18" max="18" width="14.7109375" bestFit="1" customWidth="1"/>
    <col min="19" max="19" width="11" style="7" customWidth="1"/>
    <col min="20" max="20" width="10" bestFit="1" customWidth="1"/>
  </cols>
  <sheetData>
    <row r="1" spans="1:22" ht="15.75" thickBot="1" x14ac:dyDescent="0.3">
      <c r="A1" s="431" t="s">
        <v>257</v>
      </c>
      <c r="B1" s="432"/>
      <c r="C1" s="432"/>
      <c r="D1" s="432"/>
      <c r="E1" s="432"/>
      <c r="F1" s="432"/>
      <c r="G1" s="432"/>
      <c r="H1" s="432"/>
      <c r="I1" s="432"/>
      <c r="J1" s="432"/>
      <c r="K1" s="433"/>
      <c r="O1" s="95" t="s">
        <v>250</v>
      </c>
      <c r="P1" s="95" t="s">
        <v>282</v>
      </c>
      <c r="Q1" s="426" t="s">
        <v>306</v>
      </c>
      <c r="R1" s="427"/>
      <c r="S1" s="107"/>
      <c r="T1" s="54" t="s">
        <v>283</v>
      </c>
      <c r="U1" s="108"/>
      <c r="V1" s="54"/>
    </row>
    <row r="2" spans="1:22" ht="15.75" thickBot="1" x14ac:dyDescent="0.3">
      <c r="A2" s="57" t="s">
        <v>211</v>
      </c>
      <c r="B2" s="125" t="s">
        <v>249</v>
      </c>
      <c r="C2" s="61" t="s">
        <v>251</v>
      </c>
      <c r="E2" s="76"/>
      <c r="F2" s="76"/>
      <c r="G2" s="76"/>
      <c r="H2" s="76"/>
      <c r="I2" s="76"/>
      <c r="J2" s="76"/>
      <c r="K2" s="77"/>
      <c r="M2" s="55" t="s">
        <v>249</v>
      </c>
      <c r="N2" s="56" t="s">
        <v>314</v>
      </c>
      <c r="O2" s="88">
        <v>0</v>
      </c>
      <c r="P2" s="88">
        <v>1E-8</v>
      </c>
      <c r="Q2" s="100" t="s">
        <v>211</v>
      </c>
      <c r="R2" s="96" t="s">
        <v>251</v>
      </c>
      <c r="S2" s="88" t="s">
        <v>307</v>
      </c>
      <c r="T2" s="49">
        <v>9.9999999999999995E-8</v>
      </c>
      <c r="U2" s="89" t="s">
        <v>320</v>
      </c>
      <c r="V2" s="51" t="s">
        <v>314</v>
      </c>
    </row>
    <row r="3" spans="1:22" ht="15.75" thickBot="1" x14ac:dyDescent="0.3">
      <c r="A3" s="57">
        <v>2104</v>
      </c>
      <c r="B3" s="125">
        <f>C3/A3</f>
        <v>0.21863117870722434</v>
      </c>
      <c r="C3" s="61">
        <v>460</v>
      </c>
      <c r="E3" s="76"/>
      <c r="F3" s="428" t="s">
        <v>250</v>
      </c>
      <c r="G3" s="429"/>
      <c r="H3" s="430"/>
      <c r="I3" s="76"/>
      <c r="J3" s="76"/>
      <c r="K3" s="77"/>
      <c r="M3" s="55">
        <v>-1</v>
      </c>
      <c r="N3" s="53">
        <f>(1/6)*(($A$3*M3-$C$3)^2+($A$4*M3-$C$4)^2+($A$5*M3-$C$5)^2)</f>
        <v>2118133.5</v>
      </c>
      <c r="O3" s="55" t="s">
        <v>255</v>
      </c>
      <c r="P3" s="50">
        <f>(N4-N3)/(M4-M3)</f>
        <v>-3521530.0330895088</v>
      </c>
      <c r="Q3" s="106">
        <v>-1.5</v>
      </c>
      <c r="R3" s="118">
        <f>P3*Q3+P4</f>
        <v>3878898.5165447542</v>
      </c>
      <c r="S3" s="130">
        <f>(1/3)*(($A$3*M11-$C$3)*$A$3+($A$4*M11-$C$4)*$A$4+($A$5*M11-$C$5)*$A$5)</f>
        <v>2335155.333333333</v>
      </c>
      <c r="T3" s="122">
        <f>M11-T2*S3</f>
        <v>0.7664844666666667</v>
      </c>
      <c r="U3" s="76">
        <f>1-T3</f>
        <v>0.2335155333333333</v>
      </c>
      <c r="V3" s="120">
        <f>(1/6)*(($A$3*T3-$C$3)^2+($A$4*T3-$C$4)^2+($A$5*T3-$C$5)^2)</f>
        <v>466304.3272824008</v>
      </c>
    </row>
    <row r="4" spans="1:22" ht="15.75" thickBot="1" x14ac:dyDescent="0.3">
      <c r="A4" s="57">
        <v>1416</v>
      </c>
      <c r="B4" s="125">
        <f>C4/A4</f>
        <v>0.16384180790960451</v>
      </c>
      <c r="C4" s="61">
        <v>232</v>
      </c>
      <c r="E4" s="54" t="s">
        <v>249</v>
      </c>
      <c r="F4" s="88">
        <v>-100</v>
      </c>
      <c r="G4" s="89">
        <v>0</v>
      </c>
      <c r="H4" s="90">
        <v>100</v>
      </c>
      <c r="I4" s="76"/>
      <c r="J4" s="76"/>
      <c r="K4" s="77"/>
      <c r="M4" s="58">
        <f>M3+P2</f>
        <v>-0.99999998999999995</v>
      </c>
      <c r="N4" s="48">
        <f t="shared" ref="N4:N12" si="0">(1/(2*3))*(($A$3*M4-$C$3)^2+($A$4*M4-$C$4)^2+($A$5*M4-$C$5)^2)</f>
        <v>2118133.4647846995</v>
      </c>
      <c r="O4" s="58" t="s">
        <v>256</v>
      </c>
      <c r="P4" s="48">
        <f>N4-P3*M4</f>
        <v>-1403396.5330895088</v>
      </c>
      <c r="Q4" s="104">
        <v>-0.5</v>
      </c>
      <c r="R4" s="119">
        <f>P3*Q4+P4</f>
        <v>357368.48345524562</v>
      </c>
      <c r="S4" s="92">
        <f t="shared" ref="S4:S32" si="1">(1/3)*(($A$3*T3-$C$3)*$A$3+($A$4*T3-$C$4)*$A$4+($A$5*T3-$C$5)*$A$5)</f>
        <v>1651341.8337439112</v>
      </c>
      <c r="T4" s="122">
        <f t="shared" ref="T4:T32" si="2">T3-$T$2*S4</f>
        <v>0.60135028329227558</v>
      </c>
      <c r="U4" s="76">
        <f>T3-T4</f>
        <v>0.16513418337439112</v>
      </c>
      <c r="V4" s="120">
        <f t="shared" ref="V4:V32" si="3">(1/6)*(($A$3*T4-$C$3)^2+($A$4*T4-$C$4)^2+($A$5*T4-$C$5)^2)</f>
        <v>233538.26726635976</v>
      </c>
    </row>
    <row r="5" spans="1:22" ht="15.75" thickBot="1" x14ac:dyDescent="0.3">
      <c r="A5" s="57">
        <v>1534</v>
      </c>
      <c r="B5" s="125">
        <f>C5/A5</f>
        <v>0.20534550195567144</v>
      </c>
      <c r="C5" s="61">
        <v>315</v>
      </c>
      <c r="E5" s="51">
        <v>-1</v>
      </c>
      <c r="F5" s="91">
        <f>(1/(2*3))*((F$4+$A$3*$E5-$C$3)^2+(F$4+$A$4*$E5-$C$4)^2+(F$4+$A$5*$E5-$C$5)^2)</f>
        <v>2325166.833333333</v>
      </c>
      <c r="G5" s="53">
        <f>(1/(2*3))*((G$4+$A$3*$E5-$C$3)^2+(G$4+$A$4*$E5-$C$4)^2+(G$4+$A$5*$E5-$C$5)^2)</f>
        <v>2118133.5</v>
      </c>
      <c r="H5" s="52">
        <f>(1/(2*3))*((H$4+$A$3*$E5-$C$3)^2+(H$4+$A$4*$E5-$C$4)^2+(H$4+$A$5*$E5-$C$5)^2)</f>
        <v>1921100.1666666665</v>
      </c>
      <c r="I5" s="76"/>
      <c r="J5" s="76"/>
      <c r="K5" s="77"/>
      <c r="M5" s="55">
        <v>-0.5</v>
      </c>
      <c r="N5" s="52">
        <f t="shared" si="0"/>
        <v>723411.33333333326</v>
      </c>
      <c r="O5" s="61" t="s">
        <v>255</v>
      </c>
      <c r="P5" s="50">
        <f>(N6-N5)/(M6-M5)</f>
        <v>-2057358.6469169315</v>
      </c>
      <c r="Q5" s="100">
        <f>M5-0.5</f>
        <v>-1</v>
      </c>
      <c r="R5" s="118">
        <f>P5*Q5+P6</f>
        <v>1752090.656791799</v>
      </c>
      <c r="S5" s="92">
        <f t="shared" si="1"/>
        <v>1167772.3588435245</v>
      </c>
      <c r="T5" s="122">
        <f t="shared" si="2"/>
        <v>0.48457304740792312</v>
      </c>
      <c r="U5" s="76">
        <f t="shared" ref="U5:U32" si="4">T4-T5</f>
        <v>0.11677723588435246</v>
      </c>
      <c r="V5" s="120">
        <f t="shared" si="3"/>
        <v>117135.83052754219</v>
      </c>
    </row>
    <row r="6" spans="1:22" ht="15.75" thickBot="1" x14ac:dyDescent="0.3">
      <c r="A6" s="57"/>
      <c r="B6" s="127">
        <f>AVERAGE(B3:B5)</f>
        <v>0.19593949619083342</v>
      </c>
      <c r="C6" s="126"/>
      <c r="D6" s="76"/>
      <c r="E6" s="51">
        <v>0</v>
      </c>
      <c r="F6" s="92">
        <f>(1/(2*3))*((F$4+$A$3*$E6-$C$3)^2+(F$4+$A$4*$E6-$C$4)^2+(F$4+$A$5*$E6-$C$5)^2)</f>
        <v>99341.5</v>
      </c>
      <c r="G6" s="50">
        <f>(1/(2*3))*(G$4+($A$3*$E6-$C$3)^2+(G$4+$A$4*$E6-$C$4)^2+(G$4+$A$5*$E6-$C$5)^2)</f>
        <v>60774.833333333328</v>
      </c>
      <c r="H6" s="93">
        <f>(1/(2*3))*((H$4+$A$3*$E6-$C$3)^2+(H$4+$A$4*$E6-$C$4)^2+(H$4+$A$5*$E6-$C$5)^2)</f>
        <v>32208.166666666664</v>
      </c>
      <c r="I6" s="76"/>
      <c r="J6" s="76"/>
      <c r="K6" s="77"/>
      <c r="M6" s="58">
        <f>M5+P2</f>
        <v>-0.49999999000000001</v>
      </c>
      <c r="N6" s="47">
        <f t="shared" si="0"/>
        <v>723411.3127597468</v>
      </c>
      <c r="O6" s="62" t="s">
        <v>256</v>
      </c>
      <c r="P6" s="48">
        <f>N6-P5*M6</f>
        <v>-305267.99012513249</v>
      </c>
      <c r="Q6" s="104">
        <f>M5+0.5</f>
        <v>0</v>
      </c>
      <c r="R6" s="119">
        <f>P5*Q6+P6</f>
        <v>-305267.99012513249</v>
      </c>
      <c r="S6" s="92">
        <f t="shared" si="1"/>
        <v>825808.59650797735</v>
      </c>
      <c r="T6" s="122">
        <f t="shared" si="2"/>
        <v>0.40199218775712542</v>
      </c>
      <c r="U6" s="76">
        <f t="shared" si="4"/>
        <v>8.25808596507977E-2</v>
      </c>
      <c r="V6" s="120">
        <f t="shared" si="3"/>
        <v>58924.907174710424</v>
      </c>
    </row>
    <row r="7" spans="1:22" ht="15.75" thickBot="1" x14ac:dyDescent="0.3">
      <c r="A7" s="78"/>
      <c r="B7" s="76"/>
      <c r="C7" s="75"/>
      <c r="D7" s="76"/>
      <c r="E7" s="49">
        <v>1</v>
      </c>
      <c r="F7" s="94">
        <f>(1/(2*3))*((F$4+$A$3*$E7-$C$3)^2+(F$4+$A$4*$E7-$C$4)^2+(F$4+$A$5*$E7-$C$5)^2)</f>
        <v>801858.83333333326</v>
      </c>
      <c r="G7" s="48">
        <f>(1/(2*3))*((G$4+$A$3*$E7-$C$3)^2+(G$4+$A$4*$E7-$C$4)^2+(G$4+$A$5*$E7-$C$5)^2)</f>
        <v>931758.83333333326</v>
      </c>
      <c r="H7" s="47">
        <f>(1/(2*3))*((H$4+$A$3*$E7-$C$3)^2+(H$4+$A$4*$E7-$C$4)^2+(H$4+$A$5*$E7-$C$5)^2)</f>
        <v>1071658.8333333333</v>
      </c>
      <c r="I7" s="76"/>
      <c r="J7" s="76"/>
      <c r="K7" s="77"/>
      <c r="M7" s="55">
        <v>0</v>
      </c>
      <c r="N7" s="52">
        <f t="shared" si="0"/>
        <v>60774.833333333328</v>
      </c>
      <c r="O7" s="60" t="s">
        <v>255</v>
      </c>
      <c r="P7" s="53">
        <f>(N8-N7)/(M8-M7)</f>
        <v>-593187.31800885871</v>
      </c>
      <c r="Q7" s="106">
        <f>M7-0.5</f>
        <v>-0.5</v>
      </c>
      <c r="R7" s="118">
        <f>P7*Q7+P8</f>
        <v>357368.49233776267</v>
      </c>
      <c r="S7" s="92">
        <f t="shared" si="1"/>
        <v>583983.54174253461</v>
      </c>
      <c r="T7" s="122">
        <f t="shared" si="2"/>
        <v>0.34359383358287199</v>
      </c>
      <c r="U7" s="76">
        <f t="shared" si="4"/>
        <v>5.8398354174253431E-2</v>
      </c>
      <c r="V7" s="120">
        <f t="shared" si="3"/>
        <v>29814.592197435864</v>
      </c>
    </row>
    <row r="8" spans="1:22" ht="15.75" thickBot="1" x14ac:dyDescent="0.3">
      <c r="A8" s="78"/>
      <c r="B8" s="76"/>
      <c r="C8" s="75"/>
      <c r="D8" s="76"/>
      <c r="E8" s="76"/>
      <c r="F8" s="76"/>
      <c r="G8" s="76"/>
      <c r="H8" s="76"/>
      <c r="I8" s="76"/>
      <c r="J8" s="76"/>
      <c r="K8" s="77"/>
      <c r="M8" s="58">
        <f>M7+P2</f>
        <v>1E-8</v>
      </c>
      <c r="N8" s="47">
        <f t="shared" si="0"/>
        <v>60774.827401460148</v>
      </c>
      <c r="O8" s="62" t="s">
        <v>256</v>
      </c>
      <c r="P8" s="48">
        <f>N8-P7*M8</f>
        <v>60774.833333333328</v>
      </c>
      <c r="Q8" s="104">
        <f>M7+0.5</f>
        <v>0.5</v>
      </c>
      <c r="R8" s="119">
        <f>P7*Q8+P8</f>
        <v>-235818.82567109604</v>
      </c>
      <c r="S8" s="92">
        <f t="shared" si="1"/>
        <v>412973.14955095696</v>
      </c>
      <c r="T8" s="122">
        <f t="shared" si="2"/>
        <v>0.30229651862777629</v>
      </c>
      <c r="U8" s="76">
        <f t="shared" si="4"/>
        <v>4.1297314955095699E-2</v>
      </c>
      <c r="V8" s="120">
        <f t="shared" si="3"/>
        <v>15257.007653728151</v>
      </c>
    </row>
    <row r="9" spans="1:22" x14ac:dyDescent="0.25">
      <c r="A9" s="78"/>
      <c r="B9" s="76"/>
      <c r="C9" s="75"/>
      <c r="D9" s="76"/>
      <c r="E9" s="76"/>
      <c r="F9" s="76"/>
      <c r="G9" s="76"/>
      <c r="H9" s="76"/>
      <c r="I9" s="76"/>
      <c r="J9" s="76"/>
      <c r="K9" s="77"/>
      <c r="M9" s="55">
        <v>0.1</v>
      </c>
      <c r="N9" s="52">
        <f t="shared" si="0"/>
        <v>16097.813333333332</v>
      </c>
      <c r="O9" s="60" t="s">
        <v>255</v>
      </c>
      <c r="P9" s="53">
        <f>(N10-N9)/(M10-M9)</f>
        <v>-300353.05223811942</v>
      </c>
      <c r="Q9" s="106">
        <f>M9-0.5</f>
        <v>-0.4</v>
      </c>
      <c r="R9" s="118">
        <f>P9*Q9+P10</f>
        <v>166274.33945239303</v>
      </c>
      <c r="S9" s="92">
        <f t="shared" si="1"/>
        <v>292040.46014917875</v>
      </c>
      <c r="T9" s="122">
        <f t="shared" si="2"/>
        <v>0.27309247261285841</v>
      </c>
      <c r="U9" s="76">
        <f t="shared" si="4"/>
        <v>2.9204046014917884E-2</v>
      </c>
      <c r="V9" s="120">
        <f t="shared" si="3"/>
        <v>7977.0016519848368</v>
      </c>
    </row>
    <row r="10" spans="1:22" ht="15.75" thickBot="1" x14ac:dyDescent="0.3">
      <c r="A10" s="78"/>
      <c r="B10" s="76"/>
      <c r="C10" s="75"/>
      <c r="D10" s="76"/>
      <c r="E10" s="76"/>
      <c r="F10" s="76"/>
      <c r="G10" s="76"/>
      <c r="H10" s="76"/>
      <c r="I10" s="76"/>
      <c r="J10" s="76"/>
      <c r="K10" s="77"/>
      <c r="M10" s="58">
        <f>M9+P2</f>
        <v>0.10000001</v>
      </c>
      <c r="N10" s="47">
        <f t="shared" si="0"/>
        <v>16097.810329802811</v>
      </c>
      <c r="O10" s="62" t="s">
        <v>256</v>
      </c>
      <c r="P10" s="48">
        <f>N10-P9*M10</f>
        <v>46133.118557145273</v>
      </c>
      <c r="Q10" s="104">
        <f>M9+0.5</f>
        <v>0.6</v>
      </c>
      <c r="R10" s="119">
        <f>P9*Q10+P10</f>
        <v>-134078.71278572638</v>
      </c>
      <c r="S10" s="92">
        <f t="shared" si="1"/>
        <v>206521.0061643981</v>
      </c>
      <c r="T10" s="122">
        <f t="shared" si="2"/>
        <v>0.25244037199641861</v>
      </c>
      <c r="U10" s="76">
        <f t="shared" si="4"/>
        <v>2.0652100616439795E-2</v>
      </c>
      <c r="V10" s="120">
        <f t="shared" si="3"/>
        <v>4336.3916849744455</v>
      </c>
    </row>
    <row r="11" spans="1:22" ht="15.75" thickBot="1" x14ac:dyDescent="0.3">
      <c r="A11" s="78"/>
      <c r="B11" s="76"/>
      <c r="C11" s="75"/>
      <c r="D11" s="76"/>
      <c r="E11" s="76"/>
      <c r="F11" s="76"/>
      <c r="G11" s="76"/>
      <c r="H11" s="76"/>
      <c r="I11" s="76"/>
      <c r="J11" s="76"/>
      <c r="K11" s="77"/>
      <c r="M11" s="55">
        <v>1</v>
      </c>
      <c r="N11" s="52">
        <f t="shared" si="0"/>
        <v>931758.83333333326</v>
      </c>
      <c r="O11" s="60" t="s">
        <v>255</v>
      </c>
      <c r="P11" s="130">
        <f>(N12-N11)/(M12-M11)</f>
        <v>2335155.3387365965</v>
      </c>
      <c r="Q11" s="106">
        <v>0.5</v>
      </c>
      <c r="R11" s="118">
        <f>P11*Q11+P12</f>
        <v>-235818.83603496524</v>
      </c>
      <c r="S11" s="92">
        <f t="shared" si="1"/>
        <v>146044.57877298442</v>
      </c>
      <c r="T11" s="122">
        <f>T10-$T$2*S11</f>
        <v>0.23783591411912017</v>
      </c>
      <c r="U11" s="76">
        <f t="shared" si="4"/>
        <v>1.4604457877298443E-2</v>
      </c>
      <c r="V11" s="120">
        <f t="shared" si="3"/>
        <v>2515.7831677944464</v>
      </c>
    </row>
    <row r="12" spans="1:22" ht="15.75" thickBot="1" x14ac:dyDescent="0.3">
      <c r="A12" s="78"/>
      <c r="B12" s="76"/>
      <c r="C12" s="75"/>
      <c r="D12" s="76"/>
      <c r="E12" s="76"/>
      <c r="F12" s="76"/>
      <c r="G12" s="76"/>
      <c r="H12" s="76"/>
      <c r="I12" s="76"/>
      <c r="J12" s="76"/>
      <c r="K12" s="77"/>
      <c r="M12" s="58">
        <f>M11+P2</f>
        <v>1.0000000099999999</v>
      </c>
      <c r="N12" s="47">
        <f t="shared" si="0"/>
        <v>931758.8566848865</v>
      </c>
      <c r="O12" s="62" t="s">
        <v>256</v>
      </c>
      <c r="P12" s="48">
        <f>N12-P11*M12</f>
        <v>-1403396.5054032635</v>
      </c>
      <c r="Q12" s="104">
        <v>1.5</v>
      </c>
      <c r="R12" s="119">
        <f>P11*Q12+P12</f>
        <v>2099336.5027016313</v>
      </c>
      <c r="S12" s="92">
        <f t="shared" si="1"/>
        <v>103277.72164735531</v>
      </c>
      <c r="T12" s="122">
        <f t="shared" si="2"/>
        <v>0.22750814195438462</v>
      </c>
      <c r="U12" s="76">
        <f t="shared" si="4"/>
        <v>1.0327772164735544E-2</v>
      </c>
      <c r="V12" s="120">
        <f t="shared" si="3"/>
        <v>1605.3271170601042</v>
      </c>
    </row>
    <row r="13" spans="1:22" x14ac:dyDescent="0.25">
      <c r="A13" s="78"/>
      <c r="B13" s="76"/>
      <c r="C13" s="75"/>
      <c r="D13" s="76"/>
      <c r="E13" s="76"/>
      <c r="F13" s="76"/>
      <c r="G13" s="76"/>
      <c r="H13" s="76"/>
      <c r="I13" s="76"/>
      <c r="J13" s="76"/>
      <c r="K13" s="77"/>
      <c r="M13" s="61"/>
      <c r="N13" s="61"/>
      <c r="O13" s="61"/>
      <c r="P13" s="61"/>
      <c r="Q13" s="61"/>
      <c r="S13" s="92">
        <f t="shared" si="1"/>
        <v>73034.465765747882</v>
      </c>
      <c r="T13" s="122">
        <f t="shared" si="2"/>
        <v>0.22020469537780984</v>
      </c>
      <c r="U13" s="76">
        <f t="shared" si="4"/>
        <v>7.3034465765747791E-3</v>
      </c>
      <c r="V13" s="120">
        <f t="shared" si="3"/>
        <v>1150.0231829651852</v>
      </c>
    </row>
    <row r="14" spans="1:22" x14ac:dyDescent="0.25">
      <c r="A14" s="78"/>
      <c r="B14" s="76"/>
      <c r="C14" s="75"/>
      <c r="D14" s="76"/>
      <c r="E14" s="76"/>
      <c r="F14" s="76"/>
      <c r="G14" s="76"/>
      <c r="H14" s="76"/>
      <c r="I14" s="76"/>
      <c r="J14" s="76"/>
      <c r="K14" s="77"/>
      <c r="M14" s="61"/>
      <c r="N14" s="61"/>
      <c r="S14" s="92">
        <f t="shared" si="1"/>
        <v>51647.471541843326</v>
      </c>
      <c r="T14" s="122">
        <f t="shared" si="2"/>
        <v>0.21503994822362552</v>
      </c>
      <c r="U14" s="76">
        <f t="shared" si="4"/>
        <v>5.1647471541843293E-3</v>
      </c>
      <c r="V14" s="120">
        <f t="shared" si="3"/>
        <v>922.33325522500604</v>
      </c>
    </row>
    <row r="15" spans="1:22" x14ac:dyDescent="0.25">
      <c r="A15" s="78"/>
      <c r="B15" s="76"/>
      <c r="C15" s="75"/>
      <c r="D15" s="76"/>
      <c r="E15" s="76"/>
      <c r="F15" s="76"/>
      <c r="G15" s="76"/>
      <c r="H15" s="76"/>
      <c r="I15" s="76"/>
      <c r="J15" s="76"/>
      <c r="K15" s="77"/>
      <c r="S15" s="92">
        <f t="shared" si="1"/>
        <v>36523.322087700151</v>
      </c>
      <c r="T15" s="122">
        <f t="shared" si="2"/>
        <v>0.21138761601485551</v>
      </c>
      <c r="U15" s="76">
        <f t="shared" si="4"/>
        <v>3.6523322087700094E-3</v>
      </c>
      <c r="V15" s="120">
        <f t="shared" si="3"/>
        <v>808.46930784360643</v>
      </c>
    </row>
    <row r="16" spans="1:22" x14ac:dyDescent="0.25">
      <c r="A16" s="78"/>
      <c r="B16" s="76"/>
      <c r="C16" s="75"/>
      <c r="D16" s="76"/>
      <c r="E16" s="76"/>
      <c r="F16" s="76"/>
      <c r="G16" s="76"/>
      <c r="H16" s="76"/>
      <c r="I16" s="76"/>
      <c r="J16" s="76"/>
      <c r="K16" s="77"/>
      <c r="S16" s="92">
        <f t="shared" si="1"/>
        <v>25828.041847918012</v>
      </c>
      <c r="T16" s="122">
        <f t="shared" si="2"/>
        <v>0.20880481183006372</v>
      </c>
      <c r="U16" s="76">
        <f t="shared" si="4"/>
        <v>2.5828041847917871E-3</v>
      </c>
      <c r="V16" s="120">
        <f t="shared" si="3"/>
        <v>751.5278408145133</v>
      </c>
    </row>
    <row r="17" spans="1:22" x14ac:dyDescent="0.25">
      <c r="A17" s="78"/>
      <c r="B17" s="76"/>
      <c r="C17" s="75"/>
      <c r="D17" s="76"/>
      <c r="E17" s="76"/>
      <c r="F17" s="76"/>
      <c r="G17" s="76"/>
      <c r="H17" s="76"/>
      <c r="I17" s="76"/>
      <c r="J17" s="76"/>
      <c r="K17" s="77"/>
      <c r="S17" s="92">
        <f t="shared" si="1"/>
        <v>18264.706153946965</v>
      </c>
      <c r="T17" s="122">
        <f t="shared" si="2"/>
        <v>0.20697834121466901</v>
      </c>
      <c r="U17" s="76">
        <f t="shared" si="4"/>
        <v>1.8264706153947041E-3</v>
      </c>
      <c r="V17" s="120">
        <f t="shared" si="3"/>
        <v>723.05235983926855</v>
      </c>
    </row>
    <row r="18" spans="1:22" x14ac:dyDescent="0.25">
      <c r="A18" s="78"/>
      <c r="B18" s="76"/>
      <c r="C18" s="75"/>
      <c r="D18" s="76"/>
      <c r="E18" s="76"/>
      <c r="F18" s="76"/>
      <c r="G18" s="76"/>
      <c r="H18" s="76"/>
      <c r="I18" s="76"/>
      <c r="J18" s="76"/>
      <c r="K18" s="77"/>
      <c r="S18" s="92">
        <f t="shared" si="1"/>
        <v>12916.17432147376</v>
      </c>
      <c r="T18" s="122">
        <f t="shared" si="2"/>
        <v>0.20568672378252165</v>
      </c>
      <c r="U18" s="76">
        <f t="shared" si="4"/>
        <v>1.2916174321473683E-3</v>
      </c>
      <c r="V18" s="120">
        <f t="shared" si="3"/>
        <v>708.81224522548064</v>
      </c>
    </row>
    <row r="19" spans="1:22" x14ac:dyDescent="0.25">
      <c r="A19" s="78"/>
      <c r="B19" s="76"/>
      <c r="C19" s="75"/>
      <c r="D19" s="76"/>
      <c r="E19" s="76"/>
      <c r="F19" s="76"/>
      <c r="G19" s="76"/>
      <c r="H19" s="76"/>
      <c r="I19" s="76"/>
      <c r="J19" s="76"/>
      <c r="K19" s="77"/>
      <c r="S19" s="92">
        <f t="shared" si="1"/>
        <v>9133.8758859061927</v>
      </c>
      <c r="T19" s="122">
        <f t="shared" si="2"/>
        <v>0.20477333619393104</v>
      </c>
      <c r="U19" s="76">
        <f t="shared" si="4"/>
        <v>9.1338758859060842E-4</v>
      </c>
      <c r="V19" s="120">
        <f t="shared" si="3"/>
        <v>701.6910006575614</v>
      </c>
    </row>
    <row r="20" spans="1:22" x14ac:dyDescent="0.25">
      <c r="A20" s="78"/>
      <c r="B20" s="76"/>
      <c r="C20" s="75"/>
      <c r="D20" s="76"/>
      <c r="E20" s="76"/>
      <c r="F20" s="76"/>
      <c r="G20" s="76"/>
      <c r="H20" s="76"/>
      <c r="I20" s="76"/>
      <c r="J20" s="76"/>
      <c r="K20" s="77"/>
      <c r="S20" s="92">
        <f t="shared" si="1"/>
        <v>6459.1640390325192</v>
      </c>
      <c r="T20" s="122">
        <f t="shared" si="2"/>
        <v>0.2041274197900278</v>
      </c>
      <c r="U20" s="76">
        <f t="shared" si="4"/>
        <v>6.4591640390324057E-4</v>
      </c>
      <c r="V20" s="120">
        <f t="shared" si="3"/>
        <v>698.1297846441031</v>
      </c>
    </row>
    <row r="21" spans="1:22" x14ac:dyDescent="0.25">
      <c r="A21" s="78"/>
      <c r="B21" s="76"/>
      <c r="C21" s="75"/>
      <c r="D21" s="76"/>
      <c r="E21" s="76"/>
      <c r="F21" s="76"/>
      <c r="G21" s="76"/>
      <c r="H21" s="76"/>
      <c r="I21" s="76"/>
      <c r="J21" s="76"/>
      <c r="K21" s="77"/>
      <c r="S21" s="92">
        <f t="shared" si="1"/>
        <v>4567.6994743827454</v>
      </c>
      <c r="T21" s="122">
        <f t="shared" si="2"/>
        <v>0.20367064984258954</v>
      </c>
      <c r="U21" s="76">
        <f t="shared" si="4"/>
        <v>4.5676994743826249E-4</v>
      </c>
      <c r="V21" s="120">
        <f t="shared" si="3"/>
        <v>696.34887972312185</v>
      </c>
    </row>
    <row r="22" spans="1:22" ht="15.75" thickBot="1" x14ac:dyDescent="0.3">
      <c r="A22" s="79"/>
      <c r="B22" s="80"/>
      <c r="C22" s="81"/>
      <c r="D22" s="80"/>
      <c r="E22" s="80"/>
      <c r="F22" s="80"/>
      <c r="G22" s="80"/>
      <c r="H22" s="80"/>
      <c r="I22" s="80"/>
      <c r="J22" s="80"/>
      <c r="K22" s="82"/>
      <c r="S22" s="92">
        <f t="shared" si="1"/>
        <v>3230.1205484482261</v>
      </c>
      <c r="T22" s="122">
        <f t="shared" si="2"/>
        <v>0.2033476377877447</v>
      </c>
      <c r="U22" s="76">
        <f t="shared" si="4"/>
        <v>3.2301205484483453E-4</v>
      </c>
      <c r="V22" s="120">
        <f t="shared" si="3"/>
        <v>695.4582787807509</v>
      </c>
    </row>
    <row r="23" spans="1:22" ht="15.75" thickBot="1" x14ac:dyDescent="0.3">
      <c r="A23" s="431" t="s">
        <v>258</v>
      </c>
      <c r="B23" s="432"/>
      <c r="C23" s="432"/>
      <c r="D23" s="432"/>
      <c r="E23" s="432"/>
      <c r="F23" s="432"/>
      <c r="G23" s="432"/>
      <c r="H23" s="432"/>
      <c r="I23" s="432"/>
      <c r="J23" s="432"/>
      <c r="K23" s="433"/>
      <c r="S23" s="92">
        <f t="shared" si="1"/>
        <v>2284.2305663984143</v>
      </c>
      <c r="T23" s="122">
        <f t="shared" si="2"/>
        <v>0.20311921473110486</v>
      </c>
      <c r="U23" s="76">
        <f t="shared" si="4"/>
        <v>2.2842305663983709E-4</v>
      </c>
      <c r="V23" s="120">
        <f t="shared" si="3"/>
        <v>695.01290405624491</v>
      </c>
    </row>
    <row r="24" spans="1:22" x14ac:dyDescent="0.25">
      <c r="A24" s="63">
        <f>C3</f>
        <v>460</v>
      </c>
      <c r="B24" s="64" t="s">
        <v>252</v>
      </c>
      <c r="C24" s="64" t="s">
        <v>254</v>
      </c>
      <c r="D24" s="60">
        <f>A3</f>
        <v>2104</v>
      </c>
      <c r="E24" s="65" t="s">
        <v>253</v>
      </c>
      <c r="F24" s="76"/>
      <c r="G24" s="59" t="s">
        <v>211</v>
      </c>
      <c r="H24" s="59" t="s">
        <v>251</v>
      </c>
      <c r="I24" s="76"/>
      <c r="J24" s="76"/>
      <c r="K24" s="77"/>
      <c r="S24" s="92">
        <f t="shared" si="1"/>
        <v>1615.3295835895699</v>
      </c>
      <c r="T24" s="122">
        <f t="shared" si="2"/>
        <v>0.2029576817727459</v>
      </c>
      <c r="U24" s="76">
        <f t="shared" si="4"/>
        <v>1.6153295835896753E-4</v>
      </c>
      <c r="V24" s="120">
        <f t="shared" si="3"/>
        <v>694.79017956114205</v>
      </c>
    </row>
    <row r="25" spans="1:22" ht="15.75" thickBot="1" x14ac:dyDescent="0.3">
      <c r="A25" s="66">
        <f>C4</f>
        <v>232</v>
      </c>
      <c r="B25" s="67" t="s">
        <v>252</v>
      </c>
      <c r="C25" s="67" t="s">
        <v>254</v>
      </c>
      <c r="D25" s="62">
        <f>A4</f>
        <v>1416</v>
      </c>
      <c r="E25" s="68" t="s">
        <v>253</v>
      </c>
      <c r="F25" s="76"/>
      <c r="G25" s="61">
        <v>-1000</v>
      </c>
      <c r="H25" s="61">
        <f>$B$27*G25+$D$27</f>
        <v>-568.65116279069753</v>
      </c>
      <c r="I25" s="76"/>
      <c r="J25" s="76"/>
      <c r="K25" s="77"/>
      <c r="S25" s="92">
        <f t="shared" si="1"/>
        <v>1142.3057295541057</v>
      </c>
      <c r="T25" s="122">
        <f t="shared" si="2"/>
        <v>0.2028434511997905</v>
      </c>
      <c r="U25" s="76">
        <f t="shared" si="4"/>
        <v>1.1423057295539829E-4</v>
      </c>
      <c r="V25" s="120">
        <f t="shared" si="3"/>
        <v>694.67879874406844</v>
      </c>
    </row>
    <row r="26" spans="1:22" ht="15.75" thickBot="1" x14ac:dyDescent="0.3">
      <c r="A26" s="69">
        <f>A24-A25</f>
        <v>228</v>
      </c>
      <c r="B26" s="70" t="s">
        <v>252</v>
      </c>
      <c r="C26" s="70" t="s">
        <v>254</v>
      </c>
      <c r="D26" s="70">
        <f>D24-D25</f>
        <v>688</v>
      </c>
      <c r="E26" s="71"/>
      <c r="F26" s="76"/>
      <c r="G26" s="61">
        <v>0</v>
      </c>
      <c r="H26" s="61">
        <f>$B$27*G26+$D$27</f>
        <v>-237.25581395348831</v>
      </c>
      <c r="I26" s="76"/>
      <c r="J26" s="76"/>
      <c r="K26" s="77"/>
      <c r="S26" s="92">
        <f t="shared" si="1"/>
        <v>807.79946893101192</v>
      </c>
      <c r="T26" s="122">
        <f t="shared" si="2"/>
        <v>0.2027626712528974</v>
      </c>
      <c r="U26" s="76">
        <f t="shared" si="4"/>
        <v>8.0779946893094756E-5</v>
      </c>
      <c r="V26" s="120">
        <f t="shared" si="3"/>
        <v>694.62309904922313</v>
      </c>
    </row>
    <row r="27" spans="1:22" ht="15.75" thickBot="1" x14ac:dyDescent="0.3">
      <c r="A27" s="58" t="s">
        <v>255</v>
      </c>
      <c r="B27" s="73">
        <f>A26/D26</f>
        <v>0.33139534883720928</v>
      </c>
      <c r="C27" s="72" t="s">
        <v>256</v>
      </c>
      <c r="D27" s="74">
        <f>A24-$B$27*D24</f>
        <v>-237.25581395348831</v>
      </c>
      <c r="E27" s="84"/>
      <c r="F27" s="76"/>
      <c r="G27" s="61">
        <v>1000</v>
      </c>
      <c r="H27" s="61">
        <f t="shared" ref="H27:H29" si="5">$B$27*G27+$D$27</f>
        <v>94.139534883720955</v>
      </c>
      <c r="I27" s="76"/>
      <c r="J27" s="76"/>
      <c r="K27" s="77"/>
      <c r="S27" s="92">
        <f t="shared" si="1"/>
        <v>571.24810383291629</v>
      </c>
      <c r="T27" s="122">
        <f t="shared" si="2"/>
        <v>0.20270554644251412</v>
      </c>
      <c r="U27" s="76">
        <f t="shared" si="4"/>
        <v>5.7124810383279989E-5</v>
      </c>
      <c r="V27" s="120">
        <f t="shared" si="3"/>
        <v>694.59524455787141</v>
      </c>
    </row>
    <row r="28" spans="1:22" ht="15.75" thickBot="1" x14ac:dyDescent="0.3">
      <c r="A28" s="85"/>
      <c r="B28" s="86"/>
      <c r="C28" s="55" t="s">
        <v>256</v>
      </c>
      <c r="D28" s="83">
        <f>A25-$B$27*D25</f>
        <v>-237.25581395348831</v>
      </c>
      <c r="E28" s="84"/>
      <c r="F28" s="76"/>
      <c r="G28" s="61">
        <v>2000</v>
      </c>
      <c r="H28" s="61">
        <f t="shared" si="5"/>
        <v>425.53488372093022</v>
      </c>
      <c r="I28" s="76"/>
      <c r="J28" s="76"/>
      <c r="K28" s="77"/>
      <c r="S28" s="92">
        <f t="shared" si="1"/>
        <v>403.96708426230873</v>
      </c>
      <c r="T28" s="122">
        <f t="shared" si="2"/>
        <v>0.20266514973408789</v>
      </c>
      <c r="U28" s="76">
        <f t="shared" si="4"/>
        <v>4.0396708426232442E-5</v>
      </c>
      <c r="V28" s="120">
        <f t="shared" si="3"/>
        <v>694.58131498984449</v>
      </c>
    </row>
    <row r="29" spans="1:22" ht="15.75" thickBot="1" x14ac:dyDescent="0.3">
      <c r="A29" s="434" t="s">
        <v>259</v>
      </c>
      <c r="B29" s="435"/>
      <c r="C29" s="435"/>
      <c r="D29" s="435"/>
      <c r="E29" s="436"/>
      <c r="F29" s="80"/>
      <c r="G29" s="62">
        <v>3000</v>
      </c>
      <c r="H29" s="62">
        <f t="shared" si="5"/>
        <v>756.93023255813955</v>
      </c>
      <c r="I29" s="80"/>
      <c r="J29" s="80"/>
      <c r="K29" s="82"/>
      <c r="S29" s="92">
        <f t="shared" si="1"/>
        <v>285.67167938488694</v>
      </c>
      <c r="T29" s="122">
        <f t="shared" si="2"/>
        <v>0.20263658256614941</v>
      </c>
      <c r="U29" s="76">
        <f t="shared" si="4"/>
        <v>2.8567167938475801E-5</v>
      </c>
      <c r="V29" s="120">
        <f t="shared" si="3"/>
        <v>694.574349044462</v>
      </c>
    </row>
    <row r="30" spans="1:22" x14ac:dyDescent="0.25">
      <c r="A30" s="443" t="s">
        <v>255</v>
      </c>
      <c r="B30" s="451" t="s">
        <v>260</v>
      </c>
      <c r="C30" s="452"/>
      <c r="D30" s="443" t="s">
        <v>262</v>
      </c>
      <c r="E30" s="444"/>
      <c r="F30" s="443" t="s">
        <v>263</v>
      </c>
      <c r="G30" s="447"/>
      <c r="H30" s="444"/>
      <c r="I30" s="443" t="s">
        <v>265</v>
      </c>
      <c r="J30" s="99" t="s">
        <v>260</v>
      </c>
      <c r="K30" s="449" t="s">
        <v>264</v>
      </c>
      <c r="S30" s="92">
        <f t="shared" si="1"/>
        <v>202.01722264481788</v>
      </c>
      <c r="T30" s="122">
        <f t="shared" si="2"/>
        <v>0.20261638084388495</v>
      </c>
      <c r="U30" s="76">
        <f t="shared" si="4"/>
        <v>2.0201722264467925E-5</v>
      </c>
      <c r="V30" s="120">
        <f t="shared" si="3"/>
        <v>694.57086549098813</v>
      </c>
    </row>
    <row r="31" spans="1:22" ht="15.75" thickBot="1" x14ac:dyDescent="0.3">
      <c r="A31" s="445"/>
      <c r="B31" s="437" t="s">
        <v>261</v>
      </c>
      <c r="C31" s="438"/>
      <c r="D31" s="445"/>
      <c r="E31" s="446"/>
      <c r="F31" s="445"/>
      <c r="G31" s="448"/>
      <c r="H31" s="446"/>
      <c r="I31" s="445"/>
      <c r="J31" s="87" t="s">
        <v>261</v>
      </c>
      <c r="K31" s="450"/>
      <c r="S31" s="92">
        <f t="shared" si="1"/>
        <v>142.85965739764166</v>
      </c>
      <c r="T31" s="122">
        <f t="shared" si="2"/>
        <v>0.20260209487814518</v>
      </c>
      <c r="U31" s="76">
        <f t="shared" si="4"/>
        <v>1.4285965739768702E-5</v>
      </c>
      <c r="V31" s="120">
        <f t="shared" si="3"/>
        <v>694.56912342381315</v>
      </c>
    </row>
    <row r="32" spans="1:22" ht="15.75" thickBot="1" x14ac:dyDescent="0.3">
      <c r="A32" s="109"/>
      <c r="B32" s="61"/>
      <c r="C32" s="61"/>
      <c r="D32" s="109"/>
      <c r="E32" s="109"/>
      <c r="F32" s="109"/>
      <c r="G32" s="109"/>
      <c r="H32" s="109"/>
      <c r="I32" s="109"/>
      <c r="J32" s="61"/>
      <c r="K32" s="110"/>
      <c r="S32" s="94">
        <f t="shared" si="1"/>
        <v>101.025454387314</v>
      </c>
      <c r="T32" s="123">
        <f t="shared" si="2"/>
        <v>0.20259199233270644</v>
      </c>
      <c r="U32" s="80">
        <f t="shared" si="4"/>
        <v>1.010254543873379E-5</v>
      </c>
      <c r="V32" s="121">
        <f t="shared" si="3"/>
        <v>694.56825224498084</v>
      </c>
    </row>
    <row r="33" spans="1:22" ht="15.75" thickBot="1" x14ac:dyDescent="0.3">
      <c r="A33" s="16"/>
      <c r="B33" s="16"/>
      <c r="C33" s="113"/>
      <c r="D33" s="16"/>
      <c r="E33" s="16"/>
      <c r="F33" s="16"/>
      <c r="G33" s="16"/>
      <c r="H33" s="16"/>
      <c r="I33" s="16"/>
      <c r="J33" s="16"/>
      <c r="K33" s="16"/>
      <c r="L33" s="16"/>
      <c r="M33" s="15"/>
      <c r="N33" s="15"/>
      <c r="O33" s="16"/>
      <c r="P33" s="16"/>
      <c r="Q33" s="16"/>
      <c r="R33" s="16"/>
      <c r="S33" s="114"/>
      <c r="T33" s="16"/>
      <c r="U33" s="16"/>
      <c r="V33" s="16"/>
    </row>
    <row r="34" spans="1:22" ht="15.75" thickBot="1" x14ac:dyDescent="0.3">
      <c r="H34" s="98"/>
      <c r="I34" s="54" t="s">
        <v>282</v>
      </c>
      <c r="J34" s="426" t="s">
        <v>306</v>
      </c>
      <c r="K34" s="439"/>
    </row>
    <row r="35" spans="1:22" ht="15.75" thickBot="1" x14ac:dyDescent="0.3">
      <c r="F35" s="55" t="s">
        <v>211</v>
      </c>
      <c r="G35" s="56" t="s">
        <v>251</v>
      </c>
      <c r="H35" s="88"/>
      <c r="I35" s="49">
        <v>1.0000000000000001E-5</v>
      </c>
      <c r="J35" s="100" t="s">
        <v>211</v>
      </c>
      <c r="K35" s="101" t="s">
        <v>251</v>
      </c>
    </row>
    <row r="36" spans="1:22" x14ac:dyDescent="0.25">
      <c r="B36" t="s">
        <v>308</v>
      </c>
      <c r="F36" s="55">
        <v>-1</v>
      </c>
      <c r="G36" s="111">
        <f t="shared" ref="G36:G45" si="6">F36^2</f>
        <v>1</v>
      </c>
      <c r="H36" s="55" t="s">
        <v>255</v>
      </c>
      <c r="I36" s="111">
        <f>(G37-G36)/(F37-F36)</f>
        <v>-1.9999899999991726</v>
      </c>
      <c r="J36" s="102">
        <v>-1.5</v>
      </c>
      <c r="K36" s="103">
        <f>I36*J36+I37</f>
        <v>1.9999949999995863</v>
      </c>
    </row>
    <row r="37" spans="1:22" ht="15.75" thickBot="1" x14ac:dyDescent="0.3">
      <c r="B37" t="s">
        <v>309</v>
      </c>
      <c r="F37" s="58">
        <f>F36+I35</f>
        <v>-0.99999000000000005</v>
      </c>
      <c r="G37" s="112">
        <f t="shared" si="6"/>
        <v>0.9999800001000001</v>
      </c>
      <c r="H37" s="58" t="s">
        <v>256</v>
      </c>
      <c r="I37" s="47">
        <f>G37-I36*F37</f>
        <v>-0.9999899999991726</v>
      </c>
      <c r="J37" s="104">
        <v>-0.5</v>
      </c>
      <c r="K37" s="105">
        <f>I36*J37+I37</f>
        <v>5.000000413701855E-6</v>
      </c>
    </row>
    <row r="38" spans="1:22" x14ac:dyDescent="0.25">
      <c r="F38" s="57">
        <v>-0.5</v>
      </c>
      <c r="G38" s="111">
        <f t="shared" si="6"/>
        <v>0.25</v>
      </c>
      <c r="H38" s="55" t="s">
        <v>255</v>
      </c>
      <c r="I38" s="111">
        <f>(G39-G38)/(F39-F38)</f>
        <v>-0.9999899999991726</v>
      </c>
    </row>
    <row r="39" spans="1:22" ht="15.75" thickBot="1" x14ac:dyDescent="0.3">
      <c r="F39" s="58">
        <f>F38+I35</f>
        <v>-0.49998999999999999</v>
      </c>
      <c r="G39" s="112">
        <f t="shared" si="6"/>
        <v>0.2499900001</v>
      </c>
      <c r="H39" s="58" t="s">
        <v>256</v>
      </c>
      <c r="I39" s="47">
        <f>G39-I38*F39</f>
        <v>-0.2499949999995863</v>
      </c>
    </row>
    <row r="40" spans="1:22" x14ac:dyDescent="0.25">
      <c r="F40" s="55">
        <v>0</v>
      </c>
      <c r="G40" s="111">
        <f t="shared" si="6"/>
        <v>0</v>
      </c>
    </row>
    <row r="41" spans="1:22" ht="15.75" thickBot="1" x14ac:dyDescent="0.3">
      <c r="F41" s="58">
        <f>F40+I35</f>
        <v>1.0000000000000001E-5</v>
      </c>
      <c r="G41" s="112">
        <f t="shared" si="6"/>
        <v>1.0000000000000002E-10</v>
      </c>
    </row>
    <row r="42" spans="1:22" x14ac:dyDescent="0.25">
      <c r="F42" s="55">
        <v>0.5</v>
      </c>
      <c r="G42" s="111">
        <f t="shared" si="6"/>
        <v>0.25</v>
      </c>
    </row>
    <row r="43" spans="1:22" ht="15.75" thickBot="1" x14ac:dyDescent="0.3">
      <c r="F43" s="58">
        <f>F42+I35</f>
        <v>0.50000999999999995</v>
      </c>
      <c r="G43" s="112">
        <f t="shared" si="6"/>
        <v>0.25001000009999996</v>
      </c>
    </row>
    <row r="44" spans="1:22" x14ac:dyDescent="0.25">
      <c r="F44" s="55">
        <v>1</v>
      </c>
      <c r="G44" s="111">
        <f t="shared" si="6"/>
        <v>1</v>
      </c>
    </row>
    <row r="45" spans="1:22" ht="15.75" thickBot="1" x14ac:dyDescent="0.3">
      <c r="F45" s="58">
        <f>F44+I35</f>
        <v>1.0000100000000001</v>
      </c>
      <c r="G45" s="112">
        <f t="shared" si="6"/>
        <v>1.0000200001000001</v>
      </c>
    </row>
    <row r="46" spans="1:22" ht="15.75" thickBot="1" x14ac:dyDescent="0.3">
      <c r="A46" s="16"/>
      <c r="B46" s="16"/>
      <c r="C46" s="113"/>
      <c r="D46" s="16"/>
      <c r="E46" s="16"/>
      <c r="F46" s="16"/>
      <c r="G46" s="16"/>
      <c r="H46" s="16"/>
      <c r="I46" s="16"/>
      <c r="J46" s="16"/>
      <c r="K46" s="16"/>
      <c r="L46" s="16"/>
      <c r="M46" s="15"/>
      <c r="N46" s="15"/>
      <c r="O46" s="16"/>
      <c r="P46" s="16"/>
      <c r="Q46" s="16"/>
      <c r="R46" s="16"/>
      <c r="S46" s="114"/>
      <c r="T46" s="16"/>
      <c r="U46" s="16"/>
      <c r="V46" s="16"/>
    </row>
    <row r="47" spans="1:22" ht="15.75" thickBot="1" x14ac:dyDescent="0.3">
      <c r="H47" s="107"/>
      <c r="I47" s="54" t="s">
        <v>282</v>
      </c>
      <c r="J47" s="426" t="s">
        <v>306</v>
      </c>
      <c r="K47" s="439"/>
    </row>
    <row r="48" spans="1:22" ht="15.75" thickBot="1" x14ac:dyDescent="0.3">
      <c r="F48" s="55" t="s">
        <v>211</v>
      </c>
      <c r="G48" s="56" t="s">
        <v>251</v>
      </c>
      <c r="H48" s="88"/>
      <c r="I48" s="49">
        <v>1.0000000000000001E-5</v>
      </c>
      <c r="J48" s="100" t="s">
        <v>211</v>
      </c>
      <c r="K48" s="101" t="s">
        <v>251</v>
      </c>
    </row>
    <row r="49" spans="1:22" x14ac:dyDescent="0.25">
      <c r="B49" t="s">
        <v>311</v>
      </c>
      <c r="F49" s="55">
        <v>-1</v>
      </c>
      <c r="G49" s="111">
        <f t="shared" ref="G49:G58" si="7">(F49+1)^2</f>
        <v>0</v>
      </c>
      <c r="H49" s="55" t="s">
        <v>255</v>
      </c>
      <c r="I49" s="111">
        <f>(G50-G49)/(F50-F49)</f>
        <v>9.9999999999544897E-6</v>
      </c>
      <c r="J49" s="106">
        <v>-1.5</v>
      </c>
      <c r="K49" s="103">
        <f>I49*J49+I50</f>
        <v>-4.9999999999772449E-6</v>
      </c>
    </row>
    <row r="50" spans="1:22" ht="15.75" thickBot="1" x14ac:dyDescent="0.3">
      <c r="B50" t="s">
        <v>313</v>
      </c>
      <c r="F50" s="58">
        <f>F49+I48</f>
        <v>-0.99999000000000005</v>
      </c>
      <c r="G50" s="112">
        <f t="shared" si="7"/>
        <v>9.9999999999089795E-11</v>
      </c>
      <c r="H50" s="58" t="s">
        <v>256</v>
      </c>
      <c r="I50" s="47">
        <f>G50-I49*F50</f>
        <v>9.9999999999544897E-6</v>
      </c>
      <c r="J50" s="104">
        <v>-0.5</v>
      </c>
      <c r="K50" s="105">
        <f>I49*J50+I50</f>
        <v>4.9999999999772449E-6</v>
      </c>
    </row>
    <row r="51" spans="1:22" x14ac:dyDescent="0.25">
      <c r="F51" s="57">
        <v>-0.5</v>
      </c>
      <c r="G51" s="111">
        <f t="shared" si="7"/>
        <v>0.25</v>
      </c>
      <c r="H51" s="55" t="s">
        <v>255</v>
      </c>
      <c r="I51" s="111">
        <f>(G52-G51)/(F52-F51)</f>
        <v>1.0000100000063785</v>
      </c>
    </row>
    <row r="52" spans="1:22" ht="15.75" thickBot="1" x14ac:dyDescent="0.3">
      <c r="F52" s="58">
        <f>F51+I48</f>
        <v>-0.49998999999999999</v>
      </c>
      <c r="G52" s="112">
        <f t="shared" si="7"/>
        <v>0.25001000010000007</v>
      </c>
      <c r="H52" s="58" t="s">
        <v>256</v>
      </c>
      <c r="I52" s="47">
        <f>G52-I51*F52</f>
        <v>0.75000500000318926</v>
      </c>
    </row>
    <row r="53" spans="1:22" x14ac:dyDescent="0.25">
      <c r="F53" s="55">
        <v>0</v>
      </c>
      <c r="G53" s="111">
        <f t="shared" si="7"/>
        <v>1</v>
      </c>
      <c r="H53" s="55" t="s">
        <v>255</v>
      </c>
      <c r="I53" s="111">
        <f>(G54-G53)/(F54-F53)</f>
        <v>2.0000100000139298</v>
      </c>
    </row>
    <row r="54" spans="1:22" ht="15.75" thickBot="1" x14ac:dyDescent="0.3">
      <c r="F54" s="58">
        <f>F53+I48</f>
        <v>1.0000000000000001E-5</v>
      </c>
      <c r="G54" s="112">
        <f t="shared" si="7"/>
        <v>1.0000200001000001</v>
      </c>
      <c r="H54" s="58" t="s">
        <v>256</v>
      </c>
      <c r="I54" s="47">
        <f>G54-I53*F54</f>
        <v>1</v>
      </c>
    </row>
    <row r="55" spans="1:22" x14ac:dyDescent="0.25">
      <c r="F55" s="55">
        <v>0.5</v>
      </c>
      <c r="G55" s="111">
        <f t="shared" si="7"/>
        <v>2.25</v>
      </c>
    </row>
    <row r="56" spans="1:22" ht="15.75" thickBot="1" x14ac:dyDescent="0.3">
      <c r="F56" s="58">
        <f>F55+I48</f>
        <v>0.50000999999999995</v>
      </c>
      <c r="G56" s="112">
        <f t="shared" si="7"/>
        <v>2.2500300001000002</v>
      </c>
    </row>
    <row r="57" spans="1:22" x14ac:dyDescent="0.25">
      <c r="F57" s="55">
        <v>1</v>
      </c>
      <c r="G57" s="111">
        <f t="shared" si="7"/>
        <v>4</v>
      </c>
    </row>
    <row r="58" spans="1:22" ht="15.75" thickBot="1" x14ac:dyDescent="0.3">
      <c r="F58" s="58">
        <f>F57+I48</f>
        <v>1.0000100000000001</v>
      </c>
      <c r="G58" s="112">
        <f t="shared" si="7"/>
        <v>4.0000400001000003</v>
      </c>
    </row>
    <row r="59" spans="1:22" ht="15.75" thickBot="1" x14ac:dyDescent="0.3">
      <c r="A59" s="16"/>
      <c r="B59" s="16"/>
      <c r="C59" s="113"/>
      <c r="D59" s="16"/>
      <c r="E59" s="16"/>
      <c r="F59" s="16"/>
      <c r="G59" s="16"/>
      <c r="H59" s="16"/>
      <c r="I59" s="16"/>
      <c r="J59" s="16"/>
      <c r="K59" s="16"/>
      <c r="L59" s="16"/>
      <c r="M59" s="15"/>
      <c r="N59" s="15"/>
      <c r="O59" s="16"/>
      <c r="P59" s="16"/>
      <c r="Q59" s="16"/>
      <c r="R59" s="16"/>
      <c r="S59" s="114"/>
      <c r="T59" s="16"/>
      <c r="U59" s="16"/>
      <c r="V59" s="16"/>
    </row>
    <row r="60" spans="1:22" ht="15.75" thickBot="1" x14ac:dyDescent="0.3">
      <c r="A60" s="440" t="s">
        <v>316</v>
      </c>
      <c r="B60" s="441"/>
      <c r="C60" s="441"/>
      <c r="D60" s="441"/>
      <c r="E60" s="441"/>
      <c r="F60" s="441"/>
      <c r="G60" s="442"/>
      <c r="H60" s="107"/>
      <c r="I60" s="54" t="s">
        <v>282</v>
      </c>
      <c r="J60" s="426" t="s">
        <v>306</v>
      </c>
      <c r="K60" s="439"/>
    </row>
    <row r="61" spans="1:22" ht="15.75" thickBot="1" x14ac:dyDescent="0.3">
      <c r="F61" s="57" t="s">
        <v>211</v>
      </c>
      <c r="G61" s="115" t="s">
        <v>251</v>
      </c>
      <c r="H61" s="88"/>
      <c r="I61" s="49">
        <v>1.0000000000000001E-5</v>
      </c>
      <c r="J61" s="100" t="s">
        <v>211</v>
      </c>
      <c r="K61" s="101" t="s">
        <v>251</v>
      </c>
    </row>
    <row r="62" spans="1:22" x14ac:dyDescent="0.25">
      <c r="A62" t="s">
        <v>312</v>
      </c>
      <c r="F62" s="55">
        <v>-1</v>
      </c>
      <c r="G62" s="111">
        <f t="shared" ref="G62:G71" si="8">(3*F62+1)^2</f>
        <v>4</v>
      </c>
      <c r="H62" s="55" t="s">
        <v>255</v>
      </c>
      <c r="I62" s="111">
        <f>(G63-G62)/(F63-F62)</f>
        <v>-11.999909999948144</v>
      </c>
      <c r="J62" s="106">
        <v>-1.5</v>
      </c>
      <c r="K62" s="103">
        <f>I62*J62+I63</f>
        <v>9.9999549999740722</v>
      </c>
    </row>
    <row r="63" spans="1:22" ht="15.75" thickBot="1" x14ac:dyDescent="0.3">
      <c r="A63" t="s">
        <v>317</v>
      </c>
      <c r="F63" s="58">
        <f>F62+I61</f>
        <v>-0.99999000000000005</v>
      </c>
      <c r="G63" s="112">
        <f t="shared" si="8"/>
        <v>3.9998800009000011</v>
      </c>
      <c r="H63" s="58" t="s">
        <v>256</v>
      </c>
      <c r="I63" s="47">
        <f>G63-I62*F63</f>
        <v>-7.9999099999481444</v>
      </c>
      <c r="J63" s="104">
        <v>-0.5</v>
      </c>
      <c r="K63" s="105">
        <f>I62*J63+I63</f>
        <v>-1.9999549999740722</v>
      </c>
    </row>
    <row r="64" spans="1:22" x14ac:dyDescent="0.25">
      <c r="F64" s="57">
        <v>-0.5</v>
      </c>
      <c r="G64" s="111">
        <f t="shared" si="8"/>
        <v>0.25</v>
      </c>
      <c r="H64" s="55" t="s">
        <v>255</v>
      </c>
      <c r="I64" s="111">
        <f>(G65-G64)/(F65-F64)</f>
        <v>-2.9999099999953289</v>
      </c>
    </row>
    <row r="65" spans="1:22" ht="15.75" thickBot="1" x14ac:dyDescent="0.3">
      <c r="F65" s="58">
        <f>F64+I61</f>
        <v>-0.49998999999999999</v>
      </c>
      <c r="G65" s="112">
        <f t="shared" si="8"/>
        <v>0.24997000090000002</v>
      </c>
      <c r="H65" s="58" t="s">
        <v>256</v>
      </c>
      <c r="I65" s="47">
        <f>G65-I64*F65</f>
        <v>-1.2499549999976645</v>
      </c>
    </row>
    <row r="66" spans="1:22" x14ac:dyDescent="0.25">
      <c r="F66" s="55">
        <v>0</v>
      </c>
      <c r="G66" s="111">
        <f t="shared" si="8"/>
        <v>1</v>
      </c>
      <c r="H66" s="55" t="s">
        <v>255</v>
      </c>
      <c r="I66" s="111">
        <f>(G67-G66)/(F67-F66)</f>
        <v>6.000090000002344</v>
      </c>
    </row>
    <row r="67" spans="1:22" ht="15.75" thickBot="1" x14ac:dyDescent="0.3">
      <c r="F67" s="58">
        <f>F66+I61</f>
        <v>1.0000000000000001E-5</v>
      </c>
      <c r="G67" s="112">
        <f t="shared" si="8"/>
        <v>1.0000600009</v>
      </c>
      <c r="H67" s="58" t="s">
        <v>256</v>
      </c>
      <c r="I67" s="47">
        <f>G67-I66*F67</f>
        <v>1</v>
      </c>
    </row>
    <row r="68" spans="1:22" x14ac:dyDescent="0.25">
      <c r="F68" s="55">
        <v>0.5</v>
      </c>
      <c r="G68" s="111">
        <f t="shared" si="8"/>
        <v>6.25</v>
      </c>
      <c r="H68" s="55" t="s">
        <v>255</v>
      </c>
      <c r="I68" s="111">
        <f>(G69-G68)/(F69-F68)</f>
        <v>15.000089999951935</v>
      </c>
    </row>
    <row r="69" spans="1:22" ht="15.75" thickBot="1" x14ac:dyDescent="0.3">
      <c r="F69" s="58">
        <f>F68+I61</f>
        <v>0.50000999999999995</v>
      </c>
      <c r="G69" s="112">
        <f t="shared" si="8"/>
        <v>6.2501500008999988</v>
      </c>
      <c r="H69" s="58" t="s">
        <v>256</v>
      </c>
      <c r="I69" s="47">
        <f>G69-I68*F69</f>
        <v>-1.2500449999759677</v>
      </c>
    </row>
    <row r="70" spans="1:22" x14ac:dyDescent="0.25">
      <c r="F70" s="55">
        <v>1</v>
      </c>
      <c r="G70" s="111">
        <f t="shared" si="8"/>
        <v>16</v>
      </c>
      <c r="H70" s="55" t="s">
        <v>255</v>
      </c>
      <c r="I70" s="111">
        <f>(G71-G70)/(F71-F70)</f>
        <v>24.000090000185082</v>
      </c>
    </row>
    <row r="71" spans="1:22" ht="15.75" thickBot="1" x14ac:dyDescent="0.3">
      <c r="F71" s="58">
        <f>F70+I61</f>
        <v>1.0000100000000001</v>
      </c>
      <c r="G71" s="112">
        <f t="shared" si="8"/>
        <v>16.000240000900003</v>
      </c>
      <c r="H71" s="58" t="s">
        <v>256</v>
      </c>
      <c r="I71" s="47">
        <f>G71-I70*F71</f>
        <v>-8.0000900001850823</v>
      </c>
    </row>
    <row r="72" spans="1:22" ht="15.75" thickBot="1" x14ac:dyDescent="0.3">
      <c r="A72" s="16"/>
      <c r="B72" s="16"/>
      <c r="C72" s="113"/>
      <c r="D72" s="16"/>
      <c r="E72" s="16"/>
      <c r="F72" s="16"/>
      <c r="G72" s="16"/>
      <c r="H72" s="16"/>
      <c r="I72" s="16"/>
      <c r="J72" s="16"/>
      <c r="K72" s="16"/>
      <c r="L72" s="16"/>
      <c r="M72" s="15"/>
      <c r="N72" s="15"/>
      <c r="O72" s="16"/>
      <c r="P72" s="16"/>
      <c r="Q72" s="16"/>
      <c r="R72" s="16"/>
      <c r="S72" s="114"/>
      <c r="T72" s="16"/>
      <c r="U72" s="16"/>
      <c r="V72" s="16"/>
    </row>
    <row r="73" spans="1:22" ht="15.75" thickBot="1" x14ac:dyDescent="0.3">
      <c r="H73" s="107"/>
      <c r="I73" s="54" t="s">
        <v>282</v>
      </c>
      <c r="J73" s="426" t="s">
        <v>306</v>
      </c>
      <c r="K73" s="439"/>
    </row>
    <row r="74" spans="1:22" ht="15.75" thickBot="1" x14ac:dyDescent="0.3">
      <c r="F74" s="55" t="s">
        <v>211</v>
      </c>
      <c r="G74" s="56" t="s">
        <v>251</v>
      </c>
      <c r="H74" s="88"/>
      <c r="I74" s="49">
        <v>1E-8</v>
      </c>
      <c r="J74" s="100" t="s">
        <v>211</v>
      </c>
      <c r="K74" s="101" t="s">
        <v>251</v>
      </c>
    </row>
    <row r="75" spans="1:22" x14ac:dyDescent="0.25">
      <c r="A75" t="s">
        <v>315</v>
      </c>
      <c r="F75" s="55">
        <v>-1</v>
      </c>
      <c r="G75" s="52">
        <f t="shared" ref="G75:G84" si="9">(2104*F75-460)^2</f>
        <v>6574096</v>
      </c>
      <c r="H75" s="55" t="s">
        <v>255</v>
      </c>
      <c r="I75" s="52">
        <f>(G76-G75)/(F76-F75)</f>
        <v>-10789312.088665076</v>
      </c>
      <c r="J75" s="106">
        <v>-1.5</v>
      </c>
      <c r="K75" s="103">
        <f>I75*J75+I76</f>
        <v>11968752.044332538</v>
      </c>
    </row>
    <row r="76" spans="1:22" ht="15.75" thickBot="1" x14ac:dyDescent="0.3">
      <c r="A76" t="s">
        <v>318</v>
      </c>
      <c r="F76" s="58">
        <f>F75+I74</f>
        <v>-0.99999998999999995</v>
      </c>
      <c r="G76" s="47">
        <f t="shared" si="9"/>
        <v>6574095.8921068786</v>
      </c>
      <c r="H76" s="58" t="s">
        <v>256</v>
      </c>
      <c r="I76" s="47">
        <f>G76-I75*F76</f>
        <v>-4215216.0886650765</v>
      </c>
      <c r="J76" s="104">
        <v>-0.5</v>
      </c>
      <c r="K76" s="105">
        <f>I75*J76+I76</f>
        <v>1179439.9556674613</v>
      </c>
    </row>
    <row r="77" spans="1:22" x14ac:dyDescent="0.25">
      <c r="A77" s="116" t="s">
        <v>319</v>
      </c>
      <c r="F77" s="57">
        <v>-0.5</v>
      </c>
      <c r="G77" s="52">
        <f t="shared" si="9"/>
        <v>2286144</v>
      </c>
      <c r="H77" s="55" t="s">
        <v>255</v>
      </c>
      <c r="I77" s="52">
        <f>(G78-G77)/(F78-F77)</f>
        <v>-6362495.993818989</v>
      </c>
    </row>
    <row r="78" spans="1:22" ht="15.75" thickBot="1" x14ac:dyDescent="0.3">
      <c r="C78" s="21">
        <v>8853632</v>
      </c>
      <c r="D78" s="21">
        <v>1935680</v>
      </c>
      <c r="F78" s="58">
        <f>F77+I74</f>
        <v>-0.49999999000000001</v>
      </c>
      <c r="G78" s="47">
        <f t="shared" si="9"/>
        <v>2286143.9363750401</v>
      </c>
      <c r="H78" s="58" t="s">
        <v>256</v>
      </c>
      <c r="I78" s="47">
        <f>G78-I77*F78</f>
        <v>-895103.99690949451</v>
      </c>
    </row>
    <row r="79" spans="1:22" x14ac:dyDescent="0.25">
      <c r="B79">
        <v>-1</v>
      </c>
      <c r="C79" s="117">
        <f>$C$78*B79-D78</f>
        <v>-10789312</v>
      </c>
      <c r="D79" s="117"/>
      <c r="F79" s="55">
        <v>0</v>
      </c>
      <c r="G79" s="52">
        <f t="shared" si="9"/>
        <v>211600</v>
      </c>
      <c r="H79" s="55" t="s">
        <v>255</v>
      </c>
      <c r="I79" s="52">
        <f>(G80-G79)/(F80-F79)</f>
        <v>-1935679.9544766545</v>
      </c>
    </row>
    <row r="80" spans="1:22" ht="15.75" thickBot="1" x14ac:dyDescent="0.3">
      <c r="F80" s="58">
        <f>F79+I74</f>
        <v>1E-8</v>
      </c>
      <c r="G80" s="47">
        <f t="shared" si="9"/>
        <v>211599.98064320046</v>
      </c>
      <c r="H80" s="58" t="s">
        <v>256</v>
      </c>
      <c r="I80" s="47">
        <f>G80-I79*F80</f>
        <v>211600</v>
      </c>
    </row>
    <row r="81" spans="3:11" x14ac:dyDescent="0.25">
      <c r="F81" s="55">
        <v>0.5</v>
      </c>
      <c r="G81" s="52">
        <f t="shared" si="9"/>
        <v>350464</v>
      </c>
      <c r="H81" s="55" t="s">
        <v>255</v>
      </c>
      <c r="I81" s="52">
        <f>(G82-G81)/(F82-F81)</f>
        <v>2491136.0398955531</v>
      </c>
      <c r="K81">
        <f>1644*2104</f>
        <v>3458976</v>
      </c>
    </row>
    <row r="82" spans="3:11" ht="15.75" thickBot="1" x14ac:dyDescent="0.3">
      <c r="F82" s="58">
        <f>F81+I74</f>
        <v>0.50000001000000005</v>
      </c>
      <c r="G82" s="47">
        <f t="shared" si="9"/>
        <v>350464.02491136052</v>
      </c>
      <c r="H82" s="58" t="s">
        <v>256</v>
      </c>
      <c r="I82" s="47">
        <f>G82-I81*F82</f>
        <v>-895104.01994777657</v>
      </c>
    </row>
    <row r="83" spans="3:11" x14ac:dyDescent="0.25">
      <c r="F83" s="55">
        <v>1</v>
      </c>
      <c r="G83" s="52">
        <f t="shared" si="9"/>
        <v>2702736</v>
      </c>
      <c r="H83" s="55" t="s">
        <v>255</v>
      </c>
      <c r="I83" s="52">
        <f>(G84-G83)/(F84-F83)</f>
        <v>6917952.0431384705</v>
      </c>
    </row>
    <row r="84" spans="3:11" ht="15.75" thickBot="1" x14ac:dyDescent="0.3">
      <c r="F84" s="58">
        <f>F83+I74</f>
        <v>1.0000000099999999</v>
      </c>
      <c r="G84" s="47">
        <f t="shared" si="9"/>
        <v>2702736.06917952</v>
      </c>
      <c r="H84" s="58" t="s">
        <v>256</v>
      </c>
      <c r="I84" s="47">
        <f>G84-I83*F84</f>
        <v>-4215216.0431384705</v>
      </c>
    </row>
    <row r="90" spans="3:11" x14ac:dyDescent="0.25">
      <c r="C90" s="117"/>
    </row>
  </sheetData>
  <mergeCells count="17">
    <mergeCell ref="B31:C31"/>
    <mergeCell ref="J47:K47"/>
    <mergeCell ref="J60:K60"/>
    <mergeCell ref="J73:K73"/>
    <mergeCell ref="A60:G60"/>
    <mergeCell ref="J34:K34"/>
    <mergeCell ref="D30:E31"/>
    <mergeCell ref="A30:A31"/>
    <mergeCell ref="F30:H31"/>
    <mergeCell ref="K30:K31"/>
    <mergeCell ref="I30:I31"/>
    <mergeCell ref="B30:C30"/>
    <mergeCell ref="Q1:R1"/>
    <mergeCell ref="F3:H3"/>
    <mergeCell ref="A1:K1"/>
    <mergeCell ref="A23:K23"/>
    <mergeCell ref="A29:E29"/>
  </mergeCells>
  <pageMargins left="0.7" right="0.7" top="0.75" bottom="0.75" header="0.3" footer="0.3"/>
  <pageSetup scale="7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K206"/>
  <sheetViews>
    <sheetView topLeftCell="A67" zoomScale="85" zoomScaleNormal="85" workbookViewId="0">
      <selection activeCell="N134" sqref="N134"/>
    </sheetView>
  </sheetViews>
  <sheetFormatPr defaultRowHeight="15" x14ac:dyDescent="0.25"/>
  <cols>
    <col min="1" max="1" width="10.42578125" bestFit="1" customWidth="1"/>
    <col min="2" max="2" width="13.42578125" bestFit="1" customWidth="1"/>
    <col min="3" max="4" width="11.28515625" bestFit="1" customWidth="1"/>
    <col min="5" max="6" width="12.7109375" bestFit="1" customWidth="1"/>
    <col min="7" max="7" width="9.5703125" bestFit="1" customWidth="1"/>
    <col min="8" max="8" width="10.42578125" bestFit="1" customWidth="1"/>
    <col min="9" max="9" width="12.28515625" bestFit="1" customWidth="1"/>
    <col min="10" max="10" width="11.140625" customWidth="1"/>
    <col min="11" max="11" width="12.28515625" bestFit="1" customWidth="1"/>
    <col min="12" max="12" width="13.5703125" bestFit="1" customWidth="1"/>
    <col min="13" max="13" width="10.42578125" bestFit="1" customWidth="1"/>
    <col min="14" max="14" width="12.5703125" bestFit="1" customWidth="1"/>
    <col min="15" max="15" width="10.28515625" bestFit="1" customWidth="1"/>
    <col min="16" max="16" width="12.42578125" style="6" bestFit="1" customWidth="1"/>
    <col min="17" max="17" width="11.7109375" style="6" bestFit="1" customWidth="1"/>
    <col min="18" max="18" width="9.7109375" bestFit="1" customWidth="1"/>
  </cols>
  <sheetData>
    <row r="1" spans="1:16" ht="15.75" thickBot="1" x14ac:dyDescent="0.3">
      <c r="A1" s="461" t="s">
        <v>390</v>
      </c>
      <c r="B1" s="462"/>
      <c r="C1" s="462"/>
      <c r="D1" s="462"/>
      <c r="E1" s="462"/>
      <c r="F1" s="462"/>
      <c r="G1" s="462"/>
      <c r="H1" s="462"/>
      <c r="I1" s="462"/>
      <c r="J1" s="462"/>
      <c r="K1" s="463"/>
      <c r="P1"/>
    </row>
    <row r="2" spans="1:16" ht="15.75" thickBot="1" x14ac:dyDescent="0.3">
      <c r="A2" s="474" t="s">
        <v>347</v>
      </c>
      <c r="B2" s="475"/>
      <c r="C2" s="476" t="s">
        <v>386</v>
      </c>
      <c r="D2" s="477"/>
      <c r="E2" s="477"/>
      <c r="F2" s="477"/>
      <c r="G2" s="478"/>
      <c r="H2" s="479" t="s">
        <v>387</v>
      </c>
      <c r="I2" s="480"/>
      <c r="J2" s="476" t="s">
        <v>389</v>
      </c>
      <c r="K2" s="478"/>
    </row>
    <row r="3" spans="1:16" ht="15.75" thickBot="1" x14ac:dyDescent="0.3">
      <c r="A3" s="202" t="s">
        <v>327</v>
      </c>
      <c r="B3" s="203" t="s">
        <v>251</v>
      </c>
      <c r="C3" s="155">
        <f>B4</f>
        <v>17.59</v>
      </c>
      <c r="D3" s="206" t="s">
        <v>252</v>
      </c>
      <c r="E3" s="206" t="s">
        <v>385</v>
      </c>
      <c r="F3" s="206">
        <f>A4</f>
        <v>6.11</v>
      </c>
      <c r="G3" s="209" t="s">
        <v>384</v>
      </c>
      <c r="H3" s="155" t="s">
        <v>388</v>
      </c>
      <c r="I3" s="211">
        <f>C3-F3*$G$5</f>
        <v>-71.531724137931008</v>
      </c>
      <c r="J3" s="202" t="s">
        <v>211</v>
      </c>
      <c r="K3" s="137" t="s">
        <v>251</v>
      </c>
    </row>
    <row r="4" spans="1:16" ht="15.75" thickBot="1" x14ac:dyDescent="0.3">
      <c r="A4" s="290">
        <v>6.11</v>
      </c>
      <c r="B4" s="291">
        <v>17.59</v>
      </c>
      <c r="C4" s="157">
        <f>B5</f>
        <v>9.1300000000000008</v>
      </c>
      <c r="D4" s="207" t="s">
        <v>252</v>
      </c>
      <c r="E4" s="207" t="s">
        <v>385</v>
      </c>
      <c r="F4" s="207">
        <f>A5</f>
        <v>5.53</v>
      </c>
      <c r="G4" s="210" t="s">
        <v>384</v>
      </c>
      <c r="H4" s="157" t="s">
        <v>388</v>
      </c>
      <c r="I4" s="212">
        <f>C4-F4*$G$5</f>
        <v>-71.531724137931022</v>
      </c>
      <c r="J4" s="100">
        <v>0</v>
      </c>
      <c r="K4" s="213">
        <f>$G$5*J4+$I$3</f>
        <v>-71.531724137931008</v>
      </c>
    </row>
    <row r="5" spans="1:16" ht="15.75" thickBot="1" x14ac:dyDescent="0.3">
      <c r="A5" s="292">
        <v>5.53</v>
      </c>
      <c r="B5" s="293">
        <v>9.1300000000000008</v>
      </c>
      <c r="C5" s="157">
        <f>C3-C4</f>
        <v>8.4599999999999991</v>
      </c>
      <c r="D5" s="207" t="s">
        <v>252</v>
      </c>
      <c r="E5" s="207" t="s">
        <v>385</v>
      </c>
      <c r="F5" s="207">
        <f>F3-F4</f>
        <v>0.58000000000000007</v>
      </c>
      <c r="G5" s="208">
        <f>C5/F5</f>
        <v>14.586206896551721</v>
      </c>
      <c r="J5" s="104">
        <v>10</v>
      </c>
      <c r="K5" s="214">
        <f>$G$5*J5+$I$3</f>
        <v>74.330344827586202</v>
      </c>
    </row>
    <row r="6" spans="1:16" x14ac:dyDescent="0.25">
      <c r="A6" s="76"/>
    </row>
    <row r="7" spans="1:16" x14ac:dyDescent="0.25">
      <c r="A7" s="76"/>
    </row>
    <row r="8" spans="1:16" x14ac:dyDescent="0.25">
      <c r="A8" s="76"/>
    </row>
    <row r="9" spans="1:16" x14ac:dyDescent="0.25">
      <c r="A9" s="76"/>
    </row>
    <row r="10" spans="1:16" x14ac:dyDescent="0.25">
      <c r="A10" s="76"/>
    </row>
    <row r="11" spans="1:16" x14ac:dyDescent="0.25">
      <c r="A11" s="76"/>
      <c r="C11" s="76"/>
      <c r="D11" s="76"/>
      <c r="E11" s="76"/>
    </row>
    <row r="12" spans="1:16" ht="15.75" thickBot="1" x14ac:dyDescent="0.3">
      <c r="A12" s="76"/>
      <c r="B12" s="76"/>
      <c r="C12" s="76"/>
      <c r="D12" s="76"/>
      <c r="E12" s="76"/>
    </row>
    <row r="13" spans="1:16" ht="15.75" thickBot="1" x14ac:dyDescent="0.3">
      <c r="A13" s="76"/>
      <c r="F13" s="160" t="s">
        <v>371</v>
      </c>
      <c r="G13" s="161" t="s">
        <v>406</v>
      </c>
      <c r="H13" s="238">
        <f>G5</f>
        <v>14.586206896551721</v>
      </c>
      <c r="I13" s="238" t="s">
        <v>407</v>
      </c>
      <c r="J13" s="238">
        <f>I3</f>
        <v>-71.531724137931008</v>
      </c>
      <c r="K13" s="200"/>
      <c r="L13" s="201"/>
      <c r="M13" s="6"/>
      <c r="N13" s="6"/>
      <c r="O13" s="6"/>
    </row>
    <row r="14" spans="1:16" ht="15.75" thickBot="1" x14ac:dyDescent="0.3"/>
    <row r="15" spans="1:16" ht="15.75" thickBot="1" x14ac:dyDescent="0.3">
      <c r="A15" s="461" t="s">
        <v>398</v>
      </c>
      <c r="B15" s="462"/>
      <c r="C15" s="462"/>
      <c r="D15" s="462"/>
      <c r="E15" s="462"/>
      <c r="F15" s="462"/>
      <c r="G15" s="462"/>
      <c r="H15" s="462"/>
      <c r="I15" s="462"/>
      <c r="J15" s="462"/>
      <c r="K15" s="462"/>
      <c r="L15" s="463"/>
      <c r="M15" s="6"/>
      <c r="N15" s="6"/>
      <c r="O15" s="6"/>
    </row>
    <row r="16" spans="1:16" ht="15.75" thickBot="1" x14ac:dyDescent="0.3">
      <c r="A16" s="464" t="s">
        <v>347</v>
      </c>
      <c r="B16" s="465"/>
      <c r="C16" s="466" t="s">
        <v>348</v>
      </c>
      <c r="D16" s="466"/>
      <c r="E16" s="466"/>
      <c r="F16" s="136" t="s">
        <v>346</v>
      </c>
      <c r="G16" s="137" t="s">
        <v>391</v>
      </c>
      <c r="H16" s="137" t="s">
        <v>393</v>
      </c>
      <c r="J16" s="137" t="s">
        <v>395</v>
      </c>
      <c r="K16" s="137" t="s">
        <v>400</v>
      </c>
      <c r="L16" s="137" t="s">
        <v>396</v>
      </c>
      <c r="M16" s="6"/>
      <c r="N16" s="6"/>
      <c r="O16" s="6"/>
    </row>
    <row r="17" spans="1:15" ht="15.75" thickBot="1" x14ac:dyDescent="0.3">
      <c r="A17" s="197" t="s">
        <v>327</v>
      </c>
      <c r="B17" s="198" t="s">
        <v>251</v>
      </c>
      <c r="C17" s="96" t="s">
        <v>376</v>
      </c>
      <c r="D17" s="135">
        <v>0.01</v>
      </c>
      <c r="E17" s="165" t="s">
        <v>344</v>
      </c>
      <c r="F17" s="136" t="s">
        <v>249</v>
      </c>
      <c r="G17" s="138" t="s">
        <v>392</v>
      </c>
      <c r="H17" s="138" t="s">
        <v>339</v>
      </c>
      <c r="J17" s="164" t="s">
        <v>394</v>
      </c>
      <c r="L17" s="138" t="s">
        <v>340</v>
      </c>
      <c r="M17" s="6"/>
    </row>
    <row r="18" spans="1:15" ht="15.75" thickBot="1" x14ac:dyDescent="0.3">
      <c r="A18" s="290">
        <v>6.11</v>
      </c>
      <c r="B18" s="291">
        <v>17.59</v>
      </c>
      <c r="C18" s="96" t="s">
        <v>345</v>
      </c>
      <c r="D18" s="135">
        <v>1.0000000000000001E-5</v>
      </c>
      <c r="E18" s="165" t="s">
        <v>350</v>
      </c>
      <c r="F18" s="244">
        <v>1.5</v>
      </c>
      <c r="G18" s="164">
        <f>A18*F18</f>
        <v>9.1650000000000009</v>
      </c>
      <c r="H18" s="216">
        <f>G18-B18</f>
        <v>-8.4249999999999989</v>
      </c>
      <c r="J18" s="294">
        <f>H18^2</f>
        <v>70.980624999999975</v>
      </c>
      <c r="L18" s="294">
        <f>A18*H18</f>
        <v>-51.476749999999996</v>
      </c>
      <c r="M18" s="6"/>
    </row>
    <row r="19" spans="1:15" ht="15.75" thickBot="1" x14ac:dyDescent="0.3">
      <c r="A19" s="100">
        <v>5.53</v>
      </c>
      <c r="B19" s="101">
        <v>9.1300000000000008</v>
      </c>
      <c r="C19" s="163" t="s">
        <v>349</v>
      </c>
      <c r="D19" s="141">
        <v>0.5</v>
      </c>
      <c r="E19" s="166" t="s">
        <v>401</v>
      </c>
      <c r="F19" s="221">
        <f>F18</f>
        <v>1.5</v>
      </c>
      <c r="G19" s="139">
        <f>A19*F19</f>
        <v>8.2949999999999999</v>
      </c>
      <c r="H19" s="213">
        <f>G19-B19</f>
        <v>-0.83500000000000085</v>
      </c>
      <c r="J19" s="295">
        <f>H19^2</f>
        <v>0.69722500000000143</v>
      </c>
      <c r="L19" s="294">
        <f>A19*H19</f>
        <v>-4.6175500000000049</v>
      </c>
      <c r="M19" s="6"/>
    </row>
    <row r="20" spans="1:15" ht="15.75" thickBot="1" x14ac:dyDescent="0.3">
      <c r="A20" s="292">
        <v>8.52</v>
      </c>
      <c r="B20" s="293">
        <v>13.66</v>
      </c>
      <c r="F20" s="222">
        <f>F18</f>
        <v>1.5</v>
      </c>
      <c r="G20" s="140">
        <f>A20*F20</f>
        <v>12.78</v>
      </c>
      <c r="H20" s="214">
        <f>G20-B20</f>
        <v>-0.88000000000000078</v>
      </c>
      <c r="J20" s="295">
        <f>H20^2</f>
        <v>0.77440000000000142</v>
      </c>
      <c r="L20" s="294">
        <f>A20*H20</f>
        <v>-7.4976000000000065</v>
      </c>
      <c r="M20" s="6"/>
    </row>
    <row r="21" spans="1:15" ht="15.75" thickBot="1" x14ac:dyDescent="0.3">
      <c r="A21" s="6"/>
      <c r="B21" s="6"/>
      <c r="C21" s="76"/>
      <c r="D21" s="76"/>
      <c r="E21" s="76"/>
      <c r="H21" s="6"/>
      <c r="I21" s="147" t="s">
        <v>399</v>
      </c>
      <c r="J21" s="321">
        <f>SUM(J18:J20)*(1/6)</f>
        <v>12.075374999999996</v>
      </c>
      <c r="K21" s="226" t="s">
        <v>403</v>
      </c>
      <c r="L21" s="322">
        <f>SUM(L18:L20)*(1/3)</f>
        <v>-21.197300000000002</v>
      </c>
      <c r="M21" s="6"/>
    </row>
    <row r="22" spans="1:15" ht="15.75" thickBot="1" x14ac:dyDescent="0.3">
      <c r="A22" s="76"/>
      <c r="B22" s="76"/>
      <c r="C22" s="76"/>
      <c r="D22" s="76"/>
      <c r="E22" s="76"/>
      <c r="F22" s="76"/>
      <c r="G22" s="76"/>
      <c r="H22" s="76"/>
      <c r="M22" s="6"/>
    </row>
    <row r="23" spans="1:15" ht="15.75" thickBot="1" x14ac:dyDescent="0.3">
      <c r="A23" s="223" t="s">
        <v>397</v>
      </c>
      <c r="B23" s="224"/>
      <c r="C23" s="224"/>
      <c r="D23" s="224"/>
      <c r="E23" s="224"/>
      <c r="F23" s="225"/>
      <c r="G23" s="76"/>
      <c r="H23" s="223" t="s">
        <v>405</v>
      </c>
      <c r="I23" s="224"/>
      <c r="J23" s="224"/>
      <c r="K23" s="225"/>
      <c r="M23" s="6"/>
      <c r="N23" s="6"/>
    </row>
    <row r="24" spans="1:15" ht="15.75" thickBot="1" x14ac:dyDescent="0.3">
      <c r="A24" s="168" t="s">
        <v>249</v>
      </c>
      <c r="B24" s="164" t="s">
        <v>328</v>
      </c>
      <c r="C24" s="76"/>
      <c r="D24" s="76"/>
      <c r="E24" s="76"/>
      <c r="F24" s="77"/>
      <c r="G24" s="76"/>
      <c r="H24" s="78"/>
      <c r="I24" s="76"/>
      <c r="J24" s="140" t="s">
        <v>211</v>
      </c>
      <c r="K24" s="140" t="s">
        <v>251</v>
      </c>
      <c r="M24" s="6"/>
      <c r="N24" s="6"/>
    </row>
    <row r="25" spans="1:15" ht="15.75" thickBot="1" x14ac:dyDescent="0.3">
      <c r="A25" s="230">
        <f>A30*2</f>
        <v>3</v>
      </c>
      <c r="B25" s="217">
        <f>(1/6)*(($A$18*A25-$B$18)^2+($A$19*A25-$B$19)^2+($A$20*A25-$B$20)^2)</f>
        <v>32.968199999999989</v>
      </c>
      <c r="C25" s="76"/>
      <c r="D25" s="76"/>
      <c r="E25" s="76"/>
      <c r="F25" s="77"/>
      <c r="G25" s="76"/>
      <c r="H25" s="154" t="s">
        <v>365</v>
      </c>
      <c r="I25" s="228">
        <f>(B31-B30)/$D$18</f>
        <v>-21.197065827571748</v>
      </c>
      <c r="J25" s="142">
        <f>A30+D19</f>
        <v>2</v>
      </c>
      <c r="K25" s="216">
        <f>I25*J25+I26</f>
        <v>1.4768420862141198</v>
      </c>
      <c r="M25" s="6"/>
      <c r="N25" s="6"/>
    </row>
    <row r="26" spans="1:15" ht="15.75" thickBot="1" x14ac:dyDescent="0.3">
      <c r="A26" s="231">
        <f>A30*1.8</f>
        <v>2.7</v>
      </c>
      <c r="B26" s="218">
        <f t="shared" ref="B26:B36" si="0">(1/6)*(($A$18*A26-$B$18)^2+($A$19*A26-$B$19)^2+($A$20*A26-$B$20)^2)</f>
        <v>20.359431000000001</v>
      </c>
      <c r="C26" s="76"/>
      <c r="D26" s="76"/>
      <c r="E26" s="76"/>
      <c r="F26" s="77"/>
      <c r="G26" s="76"/>
      <c r="H26" s="128" t="s">
        <v>366</v>
      </c>
      <c r="I26" s="229">
        <f>B30-I25*A30</f>
        <v>43.870973741357616</v>
      </c>
      <c r="J26" s="153">
        <f>A30-D19</f>
        <v>1</v>
      </c>
      <c r="K26" s="214">
        <f>I25*J26+I26</f>
        <v>22.673907913785868</v>
      </c>
      <c r="M26" s="6"/>
      <c r="N26" s="6"/>
    </row>
    <row r="27" spans="1:15" ht="15.75" thickBot="1" x14ac:dyDescent="0.3">
      <c r="A27" s="231">
        <f>A30*1.6</f>
        <v>2.4000000000000004</v>
      </c>
      <c r="B27" s="218">
        <f t="shared" si="0"/>
        <v>11.965763999999997</v>
      </c>
      <c r="C27" s="76"/>
      <c r="D27" s="76"/>
      <c r="E27" s="76"/>
      <c r="F27" s="77"/>
      <c r="G27" s="76"/>
      <c r="H27" s="76"/>
      <c r="I27" s="76"/>
      <c r="J27" s="76"/>
      <c r="K27" s="76"/>
      <c r="L27" s="76"/>
      <c r="M27" s="6"/>
      <c r="N27" s="6"/>
      <c r="O27" s="6"/>
    </row>
    <row r="28" spans="1:15" ht="15.75" thickBot="1" x14ac:dyDescent="0.3">
      <c r="A28" s="231">
        <f>A30*1.4</f>
        <v>2.0999999999999996</v>
      </c>
      <c r="B28" s="218">
        <f t="shared" si="0"/>
        <v>7.7871989999999949</v>
      </c>
      <c r="C28" s="76"/>
      <c r="D28" s="76"/>
      <c r="E28" s="76"/>
      <c r="F28" s="77"/>
      <c r="G28" s="76"/>
      <c r="H28" s="458" t="s">
        <v>402</v>
      </c>
      <c r="I28" s="459"/>
      <c r="J28" s="459"/>
      <c r="K28" s="459"/>
      <c r="L28" s="460"/>
      <c r="M28" s="6"/>
      <c r="N28" s="6"/>
      <c r="O28" s="6"/>
    </row>
    <row r="29" spans="1:15" ht="15.75" thickBot="1" x14ac:dyDescent="0.3">
      <c r="A29" s="231">
        <f>A30*1.2</f>
        <v>1.7999999999999998</v>
      </c>
      <c r="B29" s="218">
        <f t="shared" si="0"/>
        <v>7.8237360000000002</v>
      </c>
      <c r="C29" s="76"/>
      <c r="D29" s="76"/>
      <c r="E29" s="76"/>
      <c r="F29" s="77"/>
      <c r="G29" s="76"/>
      <c r="H29" s="138" t="s">
        <v>341</v>
      </c>
      <c r="I29" s="138" t="s">
        <v>404</v>
      </c>
      <c r="J29" s="138" t="s">
        <v>342</v>
      </c>
      <c r="K29" s="138" t="s">
        <v>320</v>
      </c>
      <c r="L29" s="164" t="s">
        <v>328</v>
      </c>
      <c r="M29" s="6"/>
      <c r="N29" s="6"/>
      <c r="O29" s="6"/>
    </row>
    <row r="30" spans="1:15" ht="15.75" thickBot="1" x14ac:dyDescent="0.3">
      <c r="A30" s="232">
        <f>F18</f>
        <v>1.5</v>
      </c>
      <c r="B30" s="227">
        <f>(1/6)*(($A$18*A30-$B$18)^2+($A$19*A30-$B$19)^2+($A$20*A30-$B$20)^2)</f>
        <v>12.075374999999996</v>
      </c>
      <c r="C30" s="76"/>
      <c r="D30" s="76"/>
      <c r="E30" s="76"/>
      <c r="F30" s="77"/>
      <c r="G30" s="76"/>
      <c r="H30" s="236">
        <f>F18</f>
        <v>1.5</v>
      </c>
      <c r="I30" s="130">
        <f t="shared" ref="I30:I47" si="1">(1/3)*(($A$18*H30-$B$18)*$A$18+($A$19*H30-$B$19)*$A$19+($A$20*H30-$B$20)*$A$20)</f>
        <v>-21.197300000000002</v>
      </c>
      <c r="J30" s="145">
        <f t="shared" ref="J30:J47" si="2">H30-I30*$D$17</f>
        <v>1.711973</v>
      </c>
      <c r="K30" s="174">
        <f t="shared" ref="K30:K47" si="3">H30-J30</f>
        <v>-0.21197299999999997</v>
      </c>
      <c r="L30" s="216">
        <f t="shared" ref="L30:L42" si="4">(1/6)*(($A$18*H30-$B$18)^2+($A$19*H30-$B$19)^2+($A$20*H30-$B$20)^2)</f>
        <v>12.075374999999996</v>
      </c>
      <c r="M30" s="6"/>
      <c r="N30" s="6"/>
      <c r="O30" s="6"/>
    </row>
    <row r="31" spans="1:15" ht="15.75" thickBot="1" x14ac:dyDescent="0.3">
      <c r="A31" s="233">
        <f>A30+D18</f>
        <v>1.5000100000000001</v>
      </c>
      <c r="B31" s="220">
        <f>(1/6)*(($A$18*A31-$B$18)^2+($A$19*A31-$B$19)^2+($A$20*A31-$B$20)^2)</f>
        <v>12.07516302934172</v>
      </c>
      <c r="C31" s="76"/>
      <c r="D31" s="76"/>
      <c r="E31" s="76"/>
      <c r="F31" s="77"/>
      <c r="G31" s="76"/>
      <c r="H31" s="142">
        <f t="shared" ref="H31:H46" si="5">J30</f>
        <v>1.711973</v>
      </c>
      <c r="I31" s="235">
        <f t="shared" si="1"/>
        <v>-11.269657597266669</v>
      </c>
      <c r="J31" s="146">
        <f t="shared" si="2"/>
        <v>1.8246695759726665</v>
      </c>
      <c r="K31" s="175">
        <f t="shared" si="3"/>
        <v>-0.11269657597266658</v>
      </c>
      <c r="L31" s="213">
        <f t="shared" si="4"/>
        <v>8.6343157986172923</v>
      </c>
      <c r="M31" s="6"/>
      <c r="N31" s="6"/>
      <c r="O31" s="6"/>
    </row>
    <row r="32" spans="1:15" x14ac:dyDescent="0.25">
      <c r="A32" s="231">
        <f>A30*0.8</f>
        <v>1.2000000000000002</v>
      </c>
      <c r="B32" s="218">
        <f t="shared" si="0"/>
        <v>20.542115999999993</v>
      </c>
      <c r="C32" s="76"/>
      <c r="D32" s="76"/>
      <c r="E32" s="76"/>
      <c r="F32" s="77"/>
      <c r="G32" s="76"/>
      <c r="H32" s="143">
        <f t="shared" si="5"/>
        <v>1.8246695759726665</v>
      </c>
      <c r="I32" s="235">
        <f t="shared" si="1"/>
        <v>-5.9915735664273502</v>
      </c>
      <c r="J32" s="146">
        <f t="shared" si="2"/>
        <v>1.88458531163694</v>
      </c>
      <c r="K32" s="175">
        <f t="shared" si="3"/>
        <v>-5.991573566427344E-2</v>
      </c>
      <c r="L32" s="213">
        <f t="shared" si="4"/>
        <v>7.6616749740067913</v>
      </c>
      <c r="M32" s="6"/>
      <c r="N32" s="6"/>
      <c r="O32" s="6"/>
    </row>
    <row r="33" spans="1:15" x14ac:dyDescent="0.25">
      <c r="A33" s="231">
        <f>A30*0.6</f>
        <v>0.89999999999999991</v>
      </c>
      <c r="B33" s="218">
        <f t="shared" si="0"/>
        <v>33.223959000000008</v>
      </c>
      <c r="C33" s="76"/>
      <c r="D33" s="76"/>
      <c r="E33" s="76"/>
      <c r="F33" s="77"/>
      <c r="G33" s="76"/>
      <c r="H33" s="143">
        <f t="shared" si="5"/>
        <v>1.88458531163694</v>
      </c>
      <c r="I33" s="235">
        <f t="shared" si="1"/>
        <v>-3.1854520416501266</v>
      </c>
      <c r="J33" s="146">
        <f t="shared" si="2"/>
        <v>1.9164398320534413</v>
      </c>
      <c r="K33" s="175">
        <f t="shared" si="3"/>
        <v>-3.1854520416501275E-2</v>
      </c>
      <c r="L33" s="213">
        <f t="shared" si="4"/>
        <v>7.3867508537478708</v>
      </c>
      <c r="M33" s="6"/>
      <c r="N33" s="6"/>
      <c r="O33" s="6"/>
    </row>
    <row r="34" spans="1:15" x14ac:dyDescent="0.25">
      <c r="A34" s="231">
        <f>A30*0.4</f>
        <v>0.60000000000000009</v>
      </c>
      <c r="B34" s="218">
        <f t="shared" si="0"/>
        <v>50.120903999999996</v>
      </c>
      <c r="C34" s="76"/>
      <c r="D34" s="76"/>
      <c r="E34" s="76"/>
      <c r="F34" s="77"/>
      <c r="G34" s="76"/>
      <c r="H34" s="143">
        <f t="shared" si="5"/>
        <v>1.9164398320534413</v>
      </c>
      <c r="I34" s="235">
        <f t="shared" si="1"/>
        <v>-1.6935625670208445</v>
      </c>
      <c r="J34" s="146">
        <f t="shared" si="2"/>
        <v>1.9333754577236497</v>
      </c>
      <c r="K34" s="175">
        <f t="shared" si="3"/>
        <v>-1.6935625670208454E-2</v>
      </c>
      <c r="L34" s="213">
        <f t="shared" si="4"/>
        <v>7.3090415185157163</v>
      </c>
      <c r="M34" s="6"/>
      <c r="N34" s="6"/>
      <c r="O34" s="6"/>
    </row>
    <row r="35" spans="1:15" x14ac:dyDescent="0.25">
      <c r="A35" s="231">
        <f>A30*0.2</f>
        <v>0.30000000000000004</v>
      </c>
      <c r="B35" s="218">
        <f t="shared" si="0"/>
        <v>71.232950999999986</v>
      </c>
      <c r="C35" s="76"/>
      <c r="D35" s="76"/>
      <c r="E35" s="76"/>
      <c r="F35" s="77"/>
      <c r="G35" s="76"/>
      <c r="H35" s="143">
        <f t="shared" si="5"/>
        <v>1.9333754577236497</v>
      </c>
      <c r="I35" s="235">
        <f t="shared" si="1"/>
        <v>-0.90039157109031831</v>
      </c>
      <c r="J35" s="146">
        <f t="shared" si="2"/>
        <v>1.9423793734345529</v>
      </c>
      <c r="K35" s="175">
        <f t="shared" si="3"/>
        <v>-9.0039157109031986E-3</v>
      </c>
      <c r="L35" s="213">
        <f t="shared" si="4"/>
        <v>7.2870764003713449</v>
      </c>
      <c r="M35" s="6"/>
      <c r="N35" s="6"/>
      <c r="O35" s="6"/>
    </row>
    <row r="36" spans="1:15" ht="15.75" thickBot="1" x14ac:dyDescent="0.3">
      <c r="A36" s="234">
        <f>A30*0.1</f>
        <v>0.15000000000000002</v>
      </c>
      <c r="B36" s="219">
        <f t="shared" si="0"/>
        <v>83.36963775000001</v>
      </c>
      <c r="C36" s="80"/>
      <c r="D36" s="80"/>
      <c r="E36" s="80"/>
      <c r="F36" s="82"/>
      <c r="G36" s="76"/>
      <c r="H36" s="143">
        <f t="shared" si="5"/>
        <v>1.9423793734345529</v>
      </c>
      <c r="I36" s="235">
        <f t="shared" si="1"/>
        <v>-0.47869798085855325</v>
      </c>
      <c r="J36" s="146">
        <f t="shared" si="2"/>
        <v>1.9471663532431385</v>
      </c>
      <c r="K36" s="175">
        <f t="shared" si="3"/>
        <v>-4.7869798085855564E-3</v>
      </c>
      <c r="L36" s="213">
        <f t="shared" si="4"/>
        <v>7.2808677973295755</v>
      </c>
      <c r="M36" s="6"/>
      <c r="N36" s="6"/>
      <c r="O36" s="6"/>
    </row>
    <row r="37" spans="1:15" ht="15.75" thickBot="1" x14ac:dyDescent="0.3">
      <c r="C37" s="76"/>
      <c r="D37" s="76"/>
      <c r="E37" s="76"/>
      <c r="F37" s="76"/>
      <c r="G37" s="76"/>
      <c r="H37" s="143">
        <f t="shared" si="5"/>
        <v>1.9471663532431385</v>
      </c>
      <c r="I37" s="235">
        <f t="shared" si="1"/>
        <v>-0.25450233457934007</v>
      </c>
      <c r="J37" s="146">
        <f t="shared" si="2"/>
        <v>1.9497113765889318</v>
      </c>
      <c r="K37" s="175">
        <f t="shared" si="3"/>
        <v>-2.545023345793318E-3</v>
      </c>
      <c r="L37" s="213">
        <f t="shared" si="4"/>
        <v>7.2791128897767523</v>
      </c>
      <c r="M37" s="6"/>
      <c r="N37" s="6"/>
      <c r="O37" s="6"/>
    </row>
    <row r="38" spans="1:15" ht="15.75" thickBot="1" x14ac:dyDescent="0.3">
      <c r="A38" s="147" t="s">
        <v>369</v>
      </c>
      <c r="B38" s="456" t="s">
        <v>411</v>
      </c>
      <c r="C38" s="456"/>
      <c r="D38" s="456"/>
      <c r="E38" s="456"/>
      <c r="F38" s="457"/>
      <c r="G38" s="76"/>
      <c r="H38" s="143">
        <f t="shared" si="5"/>
        <v>1.9497113765889318</v>
      </c>
      <c r="I38" s="235">
        <f t="shared" si="1"/>
        <v>-0.13530752352490319</v>
      </c>
      <c r="J38" s="146">
        <f t="shared" si="2"/>
        <v>1.9510644518241809</v>
      </c>
      <c r="K38" s="175">
        <f t="shared" si="3"/>
        <v>-1.3530752352490794E-3</v>
      </c>
      <c r="L38" s="213">
        <f t="shared" si="4"/>
        <v>7.278616852182104</v>
      </c>
      <c r="M38" s="6"/>
      <c r="N38" s="6"/>
      <c r="O38" s="6"/>
    </row>
    <row r="39" spans="1:15" ht="15.75" thickBot="1" x14ac:dyDescent="0.3">
      <c r="A39" s="138" t="s">
        <v>211</v>
      </c>
      <c r="B39" s="164" t="s">
        <v>251</v>
      </c>
      <c r="C39" s="76"/>
      <c r="D39" s="76"/>
      <c r="E39" s="76"/>
      <c r="F39" s="77"/>
      <c r="G39" s="61"/>
      <c r="H39" s="143">
        <f t="shared" si="5"/>
        <v>1.9510644518241809</v>
      </c>
      <c r="I39" s="235">
        <f t="shared" si="1"/>
        <v>-7.1936966522127221E-2</v>
      </c>
      <c r="J39" s="146">
        <f t="shared" si="2"/>
        <v>1.9517838214894021</v>
      </c>
      <c r="K39" s="175">
        <f t="shared" si="3"/>
        <v>-7.1936966522123669E-4</v>
      </c>
      <c r="L39" s="213">
        <f t="shared" si="4"/>
        <v>7.2784766434885455</v>
      </c>
      <c r="M39" s="6"/>
      <c r="N39" s="6"/>
      <c r="O39" s="6"/>
    </row>
    <row r="40" spans="1:15" x14ac:dyDescent="0.25">
      <c r="A40" s="155">
        <v>0</v>
      </c>
      <c r="B40" s="142">
        <f>$H$47*A40</f>
        <v>0</v>
      </c>
      <c r="C40" s="76"/>
      <c r="D40" s="76"/>
      <c r="E40" s="76"/>
      <c r="F40" s="77"/>
      <c r="G40" s="76"/>
      <c r="H40" s="143">
        <f t="shared" si="5"/>
        <v>1.9517838214894021</v>
      </c>
      <c r="I40" s="235">
        <f t="shared" si="1"/>
        <v>-3.824567191531969E-2</v>
      </c>
      <c r="J40" s="146">
        <f t="shared" si="2"/>
        <v>1.9521662782085554</v>
      </c>
      <c r="K40" s="175">
        <f t="shared" si="3"/>
        <v>-3.8245671915326795E-4</v>
      </c>
      <c r="L40" s="213">
        <f t="shared" si="4"/>
        <v>7.2784370124646793</v>
      </c>
      <c r="M40" s="6"/>
      <c r="N40" s="6"/>
      <c r="O40" s="6"/>
    </row>
    <row r="41" spans="1:15" ht="15.75" thickBot="1" x14ac:dyDescent="0.3">
      <c r="A41" s="157">
        <v>10</v>
      </c>
      <c r="B41" s="144">
        <f>$H$47*A41</f>
        <v>19.525819937273042</v>
      </c>
      <c r="C41" s="76"/>
      <c r="D41" s="76"/>
      <c r="E41" s="76"/>
      <c r="F41" s="77"/>
      <c r="G41" s="76"/>
      <c r="H41" s="143">
        <f t="shared" si="5"/>
        <v>1.9521662782085554</v>
      </c>
      <c r="I41" s="235">
        <f t="shared" si="1"/>
        <v>-2.0333515450685031E-2</v>
      </c>
      <c r="J41" s="146">
        <f t="shared" si="2"/>
        <v>1.9523696133630621</v>
      </c>
      <c r="K41" s="175">
        <f t="shared" si="3"/>
        <v>-2.0333515450676742E-4</v>
      </c>
      <c r="L41" s="213">
        <f t="shared" si="4"/>
        <v>7.2784258104627746</v>
      </c>
      <c r="M41" s="6"/>
      <c r="N41" s="6"/>
      <c r="O41" s="6"/>
    </row>
    <row r="42" spans="1:15" x14ac:dyDescent="0.25">
      <c r="A42" s="156"/>
      <c r="B42" s="143"/>
      <c r="C42" s="76"/>
      <c r="D42" s="76"/>
      <c r="E42" s="76"/>
      <c r="F42" s="77"/>
      <c r="G42" s="76"/>
      <c r="H42" s="143">
        <f t="shared" si="5"/>
        <v>1.9523696133630621</v>
      </c>
      <c r="I42" s="235">
        <f t="shared" si="1"/>
        <v>-1.0810421934782728E-2</v>
      </c>
      <c r="J42" s="146">
        <f t="shared" si="2"/>
        <v>1.95247771758241</v>
      </c>
      <c r="K42" s="175">
        <f t="shared" si="3"/>
        <v>-1.0810421934781544E-4</v>
      </c>
      <c r="L42" s="213">
        <f t="shared" si="4"/>
        <v>7.2784226441341149</v>
      </c>
      <c r="M42" s="6"/>
      <c r="N42" s="6"/>
      <c r="O42" s="6"/>
    </row>
    <row r="43" spans="1:15" x14ac:dyDescent="0.25">
      <c r="A43" s="156"/>
      <c r="B43" s="143"/>
      <c r="C43" s="76"/>
      <c r="D43" s="76"/>
      <c r="E43" s="76"/>
      <c r="F43" s="77"/>
      <c r="G43" s="76"/>
      <c r="H43" s="143">
        <f t="shared" si="5"/>
        <v>1.95247771758241</v>
      </c>
      <c r="I43" s="235">
        <f t="shared" si="1"/>
        <v>-5.747418477213273E-3</v>
      </c>
      <c r="J43" s="146">
        <f t="shared" si="2"/>
        <v>1.952535191767182</v>
      </c>
      <c r="K43" s="175">
        <f t="shared" si="3"/>
        <v>-5.7474184772088321E-5</v>
      </c>
      <c r="L43" s="218">
        <f>(1/3)*(($A$18*K43-$B$18)*$A$18+($A$19*K43-$B$19)*$A$19+($A$20*K43-$B$20)*$A$20)</f>
        <v>-91.451691772790895</v>
      </c>
      <c r="M43" s="6"/>
      <c r="N43" s="6"/>
      <c r="O43" s="6"/>
    </row>
    <row r="44" spans="1:15" x14ac:dyDescent="0.25">
      <c r="A44" s="156"/>
      <c r="B44" s="143"/>
      <c r="C44" s="76"/>
      <c r="D44" s="76"/>
      <c r="E44" s="76"/>
      <c r="F44" s="77"/>
      <c r="G44" s="76"/>
      <c r="H44" s="143">
        <f t="shared" si="5"/>
        <v>1.952535191767182</v>
      </c>
      <c r="I44" s="235">
        <f t="shared" si="1"/>
        <v>-3.0556456863119288E-3</v>
      </c>
      <c r="J44" s="146">
        <f t="shared" si="2"/>
        <v>1.9525657482240453</v>
      </c>
      <c r="K44" s="175">
        <f t="shared" si="3"/>
        <v>-3.0556456863228831E-5</v>
      </c>
      <c r="L44" s="218">
        <f>(1/3)*(($A$18*K44-$B$18)*$A$18+($A$19*K44-$B$19)*$A$19+($A$20*K44-$B$20)*$A$20)</f>
        <v>-91.450431095360415</v>
      </c>
      <c r="M44" s="6"/>
      <c r="N44" s="6"/>
      <c r="O44" s="6"/>
    </row>
    <row r="45" spans="1:15" x14ac:dyDescent="0.25">
      <c r="A45" s="156"/>
      <c r="B45" s="143"/>
      <c r="C45" s="76"/>
      <c r="D45" s="76"/>
      <c r="E45" s="76"/>
      <c r="F45" s="77"/>
      <c r="G45" s="76"/>
      <c r="H45" s="143">
        <f t="shared" si="5"/>
        <v>1.9525657482240453</v>
      </c>
      <c r="I45" s="235">
        <f t="shared" si="1"/>
        <v>-1.624550325897663E-3</v>
      </c>
      <c r="J45" s="146">
        <f t="shared" si="2"/>
        <v>1.9525819937273043</v>
      </c>
      <c r="K45" s="175">
        <f t="shared" si="3"/>
        <v>-1.624550325907137E-5</v>
      </c>
      <c r="L45" s="218">
        <f>(1/3)*(($A$18*K45-$B$18)*$A$18+($A$19*K45-$B$19)*$A$19+($A$20*K45-$B$20)*$A$20)</f>
        <v>-91.449760849480867</v>
      </c>
      <c r="M45" s="6"/>
      <c r="N45" s="6"/>
      <c r="O45" s="6"/>
    </row>
    <row r="46" spans="1:15" ht="15.75" thickBot="1" x14ac:dyDescent="0.3">
      <c r="A46" s="156"/>
      <c r="B46" s="143"/>
      <c r="C46" s="76"/>
      <c r="D46" s="76"/>
      <c r="E46" s="76"/>
      <c r="F46" s="77"/>
      <c r="G46" s="76"/>
      <c r="H46" s="144">
        <f t="shared" si="5"/>
        <v>1.9525819937273043</v>
      </c>
      <c r="I46" s="235">
        <f t="shared" si="1"/>
        <v>-8.6370084502836631E-4</v>
      </c>
      <c r="J46" s="146">
        <f t="shared" si="2"/>
        <v>1.9525906307357546</v>
      </c>
      <c r="K46" s="175">
        <f t="shared" si="3"/>
        <v>-8.6370084502185307E-6</v>
      </c>
      <c r="L46" s="218">
        <f>(1/3)*(($A$18*K46-$B$18)*$A$18+($A$19*K46-$B$19)*$A$19+($A$20*K46-$B$20)*$A$20)</f>
        <v>-91.449404509684342</v>
      </c>
      <c r="M46" s="6"/>
      <c r="N46" s="6"/>
      <c r="O46" s="6"/>
    </row>
    <row r="47" spans="1:15" ht="15.75" thickBot="1" x14ac:dyDescent="0.3">
      <c r="A47" s="156"/>
      <c r="B47" s="143"/>
      <c r="C47" s="76"/>
      <c r="D47" s="76"/>
      <c r="E47" s="76"/>
      <c r="F47" s="77"/>
      <c r="G47" s="76"/>
      <c r="H47" s="237">
        <f>J45</f>
        <v>1.9525819937273043</v>
      </c>
      <c r="I47" s="219">
        <f t="shared" si="1"/>
        <v>-8.6370084502836631E-4</v>
      </c>
      <c r="J47" s="153">
        <f t="shared" si="2"/>
        <v>1.9525906307357546</v>
      </c>
      <c r="K47" s="176">
        <f t="shared" si="3"/>
        <v>-8.6370084502185307E-6</v>
      </c>
      <c r="L47" s="219">
        <f>(1/3)*(($A$18*K47-$B$18)*$A$18+($A$19*K47-$B$19)*$A$19+($A$20*K47-$B$20)*$A$20)</f>
        <v>-91.449404509684342</v>
      </c>
    </row>
    <row r="48" spans="1:15" ht="15.75" thickBot="1" x14ac:dyDescent="0.3">
      <c r="A48" s="157"/>
      <c r="B48" s="144"/>
      <c r="C48" s="80"/>
      <c r="D48" s="80"/>
      <c r="E48" s="80"/>
      <c r="F48" s="82"/>
      <c r="G48" s="76"/>
    </row>
    <row r="49" spans="1:17" ht="15.75" thickBot="1" x14ac:dyDescent="0.3">
      <c r="A49" s="160" t="s">
        <v>371</v>
      </c>
      <c r="B49" s="161" t="s">
        <v>372</v>
      </c>
      <c r="C49" s="162">
        <f>H47</f>
        <v>1.9525819937273043</v>
      </c>
      <c r="D49" s="472" t="s">
        <v>373</v>
      </c>
      <c r="E49" s="472"/>
      <c r="F49" s="472"/>
      <c r="G49" s="472"/>
      <c r="H49" s="472"/>
      <c r="I49" s="472"/>
      <c r="J49" s="472"/>
      <c r="K49" s="472"/>
      <c r="L49" s="473"/>
      <c r="M49" s="6"/>
      <c r="N49" s="6"/>
    </row>
    <row r="56" spans="1:17" ht="15.75" thickBot="1" x14ac:dyDescent="0.3"/>
    <row r="57" spans="1:17" ht="15.75" thickBot="1" x14ac:dyDescent="0.3">
      <c r="A57" s="461" t="s">
        <v>408</v>
      </c>
      <c r="B57" s="462"/>
      <c r="C57" s="462"/>
      <c r="D57" s="462"/>
      <c r="E57" s="462"/>
      <c r="F57" s="462"/>
      <c r="G57" s="462"/>
      <c r="H57" s="462"/>
      <c r="I57" s="462"/>
      <c r="J57" s="462"/>
      <c r="K57" s="462"/>
      <c r="L57" s="462"/>
      <c r="M57" s="462"/>
      <c r="N57" s="463"/>
    </row>
    <row r="58" spans="1:17" ht="15.75" thickBot="1" x14ac:dyDescent="0.3">
      <c r="A58" s="464" t="s">
        <v>347</v>
      </c>
      <c r="B58" s="466"/>
      <c r="C58" s="465"/>
      <c r="D58" s="426" t="s">
        <v>348</v>
      </c>
      <c r="E58" s="427"/>
      <c r="F58" s="439"/>
      <c r="G58" s="470" t="s">
        <v>346</v>
      </c>
      <c r="H58" s="471"/>
      <c r="I58" s="137" t="s">
        <v>391</v>
      </c>
      <c r="J58" s="137" t="s">
        <v>393</v>
      </c>
      <c r="L58" s="137" t="s">
        <v>395</v>
      </c>
      <c r="M58" s="137" t="s">
        <v>410</v>
      </c>
      <c r="N58" s="137" t="s">
        <v>396</v>
      </c>
    </row>
    <row r="59" spans="1:17" ht="15.75" thickBot="1" x14ac:dyDescent="0.3">
      <c r="A59" s="197" t="s">
        <v>374</v>
      </c>
      <c r="B59" s="199" t="s">
        <v>327</v>
      </c>
      <c r="C59" s="199" t="s">
        <v>251</v>
      </c>
      <c r="D59" s="204" t="s">
        <v>416</v>
      </c>
      <c r="E59" s="134">
        <v>0.01</v>
      </c>
      <c r="F59" s="239" t="s">
        <v>344</v>
      </c>
      <c r="G59" s="205" t="s">
        <v>250</v>
      </c>
      <c r="H59" s="136" t="s">
        <v>249</v>
      </c>
      <c r="I59" s="164" t="s">
        <v>409</v>
      </c>
      <c r="J59" s="164" t="s">
        <v>339</v>
      </c>
      <c r="L59" s="164" t="s">
        <v>394</v>
      </c>
      <c r="N59" s="164" t="s">
        <v>340</v>
      </c>
    </row>
    <row r="60" spans="1:17" ht="15.75" thickBot="1" x14ac:dyDescent="0.3">
      <c r="A60" s="197">
        <v>1</v>
      </c>
      <c r="B60" s="199">
        <v>6.11</v>
      </c>
      <c r="C60" s="199">
        <v>17.59</v>
      </c>
      <c r="D60" s="100" t="s">
        <v>417</v>
      </c>
      <c r="E60" s="135">
        <v>0.01</v>
      </c>
      <c r="F60" s="165" t="s">
        <v>344</v>
      </c>
      <c r="G60" s="286">
        <v>9.4600000000000009</v>
      </c>
      <c r="H60" s="245">
        <v>0.59499999999999997</v>
      </c>
      <c r="I60" s="240">
        <f>G60+H60*B60</f>
        <v>13.095450000000001</v>
      </c>
      <c r="J60" s="164">
        <f>I60-C60</f>
        <v>-4.4945499999999985</v>
      </c>
      <c r="L60" s="294">
        <f>J60^2</f>
        <v>20.200979702499986</v>
      </c>
      <c r="N60" s="294">
        <f>B60*J60</f>
        <v>-27.461700499999992</v>
      </c>
      <c r="P60" s="6">
        <f>1645+1185+1220</f>
        <v>4050</v>
      </c>
    </row>
    <row r="61" spans="1:17" x14ac:dyDescent="0.25">
      <c r="A61" s="100">
        <v>1</v>
      </c>
      <c r="B61" s="96">
        <v>5.53</v>
      </c>
      <c r="C61" s="96">
        <v>9.1300000000000008</v>
      </c>
      <c r="D61" s="100" t="s">
        <v>345</v>
      </c>
      <c r="E61" s="135">
        <v>1.0000000000000001E-5</v>
      </c>
      <c r="F61" s="165" t="s">
        <v>350</v>
      </c>
      <c r="G61" s="287">
        <f>G60</f>
        <v>9.4600000000000009</v>
      </c>
      <c r="H61" s="246">
        <f>H60</f>
        <v>0.59499999999999997</v>
      </c>
      <c r="I61" s="241">
        <f t="shared" ref="I61:I62" si="6">G61+H61*B61</f>
        <v>12.750350000000001</v>
      </c>
      <c r="J61" s="139">
        <f t="shared" ref="J61:J62" si="7">I61-C61</f>
        <v>3.6203500000000002</v>
      </c>
      <c r="L61" s="295">
        <f t="shared" ref="L61:L62" si="8">J61^2</f>
        <v>13.106934122500002</v>
      </c>
      <c r="N61" s="295">
        <f>B61*J61</f>
        <v>20.020535500000001</v>
      </c>
    </row>
    <row r="62" spans="1:17" ht="15.75" thickBot="1" x14ac:dyDescent="0.3">
      <c r="A62" s="104">
        <v>1</v>
      </c>
      <c r="B62" s="163">
        <v>8.52</v>
      </c>
      <c r="C62" s="163">
        <v>13.66</v>
      </c>
      <c r="D62" s="215" t="s">
        <v>349</v>
      </c>
      <c r="E62" s="141">
        <v>0.05</v>
      </c>
      <c r="F62" s="166" t="s">
        <v>401</v>
      </c>
      <c r="G62" s="288">
        <f>G60</f>
        <v>9.4600000000000009</v>
      </c>
      <c r="H62" s="233">
        <f>H60</f>
        <v>0.59499999999999997</v>
      </c>
      <c r="I62" s="242">
        <f t="shared" si="6"/>
        <v>14.529400000000001</v>
      </c>
      <c r="J62" s="140">
        <f t="shared" si="7"/>
        <v>0.86940000000000062</v>
      </c>
      <c r="L62" s="296">
        <f t="shared" si="8"/>
        <v>0.75585636000000112</v>
      </c>
      <c r="N62" s="296">
        <f t="shared" ref="N62" si="9">B62*J62</f>
        <v>7.4072880000000048</v>
      </c>
    </row>
    <row r="63" spans="1:17" ht="15.75" thickBot="1" x14ac:dyDescent="0.3">
      <c r="I63" s="158" t="s">
        <v>415</v>
      </c>
      <c r="J63" s="298">
        <f>SUM(J60:J62)*(1/3)</f>
        <v>-1.5999999999992316E-3</v>
      </c>
      <c r="K63" s="147" t="s">
        <v>399</v>
      </c>
      <c r="L63" s="297">
        <f>SUM(L60:L62)*(1/6)</f>
        <v>5.6772950308333314</v>
      </c>
      <c r="M63" s="158" t="s">
        <v>414</v>
      </c>
      <c r="N63" s="299">
        <f>SUM(N60:N62)*(1/3)</f>
        <v>-1.1292333333328722E-2</v>
      </c>
      <c r="Q63" s="76"/>
    </row>
    <row r="64" spans="1:17" ht="15.75" thickBot="1" x14ac:dyDescent="0.3">
      <c r="A64" s="467" t="s">
        <v>397</v>
      </c>
      <c r="B64" s="468"/>
      <c r="C64" s="468"/>
      <c r="D64" s="468"/>
      <c r="E64" s="468"/>
      <c r="F64" s="469"/>
      <c r="H64" t="s">
        <v>249</v>
      </c>
    </row>
    <row r="65" spans="1:37" ht="15.75" thickBot="1" x14ac:dyDescent="0.3">
      <c r="B65" s="168" t="s">
        <v>250</v>
      </c>
      <c r="C65" s="253">
        <f>$J$65*1.7</f>
        <v>16.082000000000001</v>
      </c>
      <c r="D65" s="253">
        <f>$J$65*1.5</f>
        <v>14.190000000000001</v>
      </c>
      <c r="E65" s="253">
        <f>J65*1.5</f>
        <v>14.190000000000001</v>
      </c>
      <c r="F65" s="253">
        <f>J65*1.4</f>
        <v>13.244</v>
      </c>
      <c r="G65" s="253">
        <f>J65*1.3</f>
        <v>12.298000000000002</v>
      </c>
      <c r="H65" s="253">
        <f>J65*1.2</f>
        <v>11.352</v>
      </c>
      <c r="I65" s="253">
        <f>J65*1.1</f>
        <v>10.406000000000002</v>
      </c>
      <c r="J65" s="254">
        <f>G60</f>
        <v>9.4600000000000009</v>
      </c>
      <c r="K65" s="255">
        <f>J65+E61</f>
        <v>9.4600100000000005</v>
      </c>
      <c r="L65" s="253">
        <f>J65*0.95</f>
        <v>8.9870000000000001</v>
      </c>
      <c r="M65" s="253">
        <f>J65*0.9</f>
        <v>8.5140000000000011</v>
      </c>
      <c r="N65" s="253">
        <f>J65*0.85</f>
        <v>8.0410000000000004</v>
      </c>
      <c r="O65" s="253">
        <f>J65*0.8</f>
        <v>7.5680000000000014</v>
      </c>
      <c r="P65" s="253">
        <f>J65*0.75</f>
        <v>7.0950000000000006</v>
      </c>
      <c r="Q65" s="253">
        <f>$J$65*0.7</f>
        <v>6.6219999999999999</v>
      </c>
      <c r="R65" s="256">
        <f>$J$65*0.65</f>
        <v>6.1490000000000009</v>
      </c>
    </row>
    <row r="66" spans="1:37" x14ac:dyDescent="0.25">
      <c r="A66" s="169"/>
      <c r="B66" s="180">
        <f>$B$71*1.3</f>
        <v>0.81217500000000009</v>
      </c>
      <c r="C66" s="300">
        <f>(1/6)*(($B$60*$B66+C$65-$C$60)^2+($B$61*$B66+C$65-$C$61)^2+($B$62*$B66+C$65-$C$62)^2)</f>
        <v>38.358415526799433</v>
      </c>
      <c r="D66" s="301">
        <f t="shared" ref="C66:R79" si="10">(1/6)*(($B$60*$B66+D$65-$C$60)^2+($B$61*$B66+D$65-$C$61)^2+($B$62*$B66+D$65-$C$62)^2)</f>
        <v>24.861235654799447</v>
      </c>
      <c r="E66" s="301">
        <f t="shared" si="10"/>
        <v>24.861235654799447</v>
      </c>
      <c r="F66" s="301">
        <f t="shared" si="10"/>
        <v>19.455019718799427</v>
      </c>
      <c r="G66" s="301">
        <f t="shared" si="10"/>
        <v>14.943719782799441</v>
      </c>
      <c r="H66" s="301">
        <f t="shared" si="10"/>
        <v>11.327335846799437</v>
      </c>
      <c r="I66" s="301">
        <f t="shared" si="10"/>
        <v>8.6058679107994429</v>
      </c>
      <c r="J66" s="301">
        <f t="shared" si="10"/>
        <v>6.7793159747994354</v>
      </c>
      <c r="K66" s="301">
        <f t="shared" si="10"/>
        <v>6.7793305530094372</v>
      </c>
      <c r="L66" s="301">
        <f t="shared" si="10"/>
        <v>6.2016335067994373</v>
      </c>
      <c r="M66" s="301">
        <f t="shared" si="10"/>
        <v>5.847680038799437</v>
      </c>
      <c r="N66" s="301">
        <f t="shared" si="10"/>
        <v>5.7174555707994346</v>
      </c>
      <c r="O66" s="301">
        <f t="shared" si="10"/>
        <v>5.8109601027994344</v>
      </c>
      <c r="P66" s="301">
        <f t="shared" si="10"/>
        <v>6.1281936347994357</v>
      </c>
      <c r="Q66" s="301">
        <f t="shared" si="10"/>
        <v>6.6691561667994339</v>
      </c>
      <c r="R66" s="302">
        <f t="shared" si="10"/>
        <v>7.4338476987994326</v>
      </c>
    </row>
    <row r="67" spans="1:37" x14ac:dyDescent="0.25">
      <c r="A67" s="170"/>
      <c r="B67" s="180">
        <f>$B$71*1.25</f>
        <v>0.78093750000000006</v>
      </c>
      <c r="C67" s="303">
        <f>(1/6)*(($B$60*$B67+C$65-$C$60)^2+($B$61*$B67+C$65-$C$61)^2+($B$62*$B67+C$65-$C$62)^2)</f>
        <v>36.673829407802735</v>
      </c>
      <c r="D67" s="304">
        <f t="shared" si="10"/>
        <v>23.573810607802741</v>
      </c>
      <c r="E67" s="304">
        <f t="shared" si="10"/>
        <v>23.573810607802741</v>
      </c>
      <c r="F67" s="304">
        <f t="shared" si="10"/>
        <v>18.36617520780273</v>
      </c>
      <c r="G67" s="304">
        <f t="shared" si="10"/>
        <v>14.053455807802742</v>
      </c>
      <c r="H67" s="304">
        <f t="shared" si="10"/>
        <v>10.635652407802734</v>
      </c>
      <c r="I67" s="304">
        <f t="shared" si="10"/>
        <v>8.1127650078027393</v>
      </c>
      <c r="J67" s="304">
        <f t="shared" si="10"/>
        <v>6.4847936078027359</v>
      </c>
      <c r="K67" s="304">
        <f t="shared" si="10"/>
        <v>6.4848060868527337</v>
      </c>
      <c r="L67" s="304">
        <f t="shared" si="10"/>
        <v>6.0064014078027315</v>
      </c>
      <c r="M67" s="304">
        <f t="shared" si="10"/>
        <v>5.7517382078027319</v>
      </c>
      <c r="N67" s="304">
        <f t="shared" si="10"/>
        <v>5.7208040078027338</v>
      </c>
      <c r="O67" s="304">
        <f t="shared" si="10"/>
        <v>5.9135988078027335</v>
      </c>
      <c r="P67" s="304">
        <f t="shared" si="10"/>
        <v>6.3301226078027293</v>
      </c>
      <c r="Q67" s="304">
        <f t="shared" si="10"/>
        <v>6.9703754078027345</v>
      </c>
      <c r="R67" s="305">
        <f t="shared" si="10"/>
        <v>7.834357207802733</v>
      </c>
    </row>
    <row r="68" spans="1:37" x14ac:dyDescent="0.25">
      <c r="A68" s="170"/>
      <c r="B68" s="180">
        <f>$B$72*1.2</f>
        <v>0.71399999999999997</v>
      </c>
      <c r="C68" s="303">
        <f>(1/6)*(($B$60*$B68+C$65-$C$60)^2+($B$61*$B68+C$65-$C$61)^2+($B$62*$B68+C$65-$C$62)^2)</f>
        <v>33.217890444399991</v>
      </c>
      <c r="D68" s="304">
        <f t="shared" si="10"/>
        <v>20.968931084399998</v>
      </c>
      <c r="E68" s="304">
        <f t="shared" si="10"/>
        <v>20.968931084399998</v>
      </c>
      <c r="F68" s="304">
        <f t="shared" si="10"/>
        <v>16.18682540439999</v>
      </c>
      <c r="G68" s="304">
        <f t="shared" si="10"/>
        <v>12.299635724399998</v>
      </c>
      <c r="H68" s="304">
        <f t="shared" si="10"/>
        <v>9.3073620443999978</v>
      </c>
      <c r="I68" s="304">
        <f t="shared" si="10"/>
        <v>7.2100043644000014</v>
      </c>
      <c r="J68" s="304">
        <f t="shared" si="10"/>
        <v>6.0075626843999999</v>
      </c>
      <c r="K68" s="304">
        <f t="shared" si="10"/>
        <v>6.0075706652500003</v>
      </c>
      <c r="L68" s="304">
        <f t="shared" si="10"/>
        <v>5.7419353443999981</v>
      </c>
      <c r="M68" s="304">
        <f t="shared" si="10"/>
        <v>5.7000370043999968</v>
      </c>
      <c r="N68" s="304">
        <f t="shared" si="10"/>
        <v>5.8818676643999996</v>
      </c>
      <c r="O68" s="304">
        <f t="shared" si="10"/>
        <v>6.2874273244000003</v>
      </c>
      <c r="P68" s="304">
        <f t="shared" si="10"/>
        <v>6.9167159843999961</v>
      </c>
      <c r="Q68" s="304">
        <f t="shared" si="10"/>
        <v>7.7697336444000022</v>
      </c>
      <c r="R68" s="305">
        <f t="shared" si="10"/>
        <v>8.8464803044</v>
      </c>
    </row>
    <row r="69" spans="1:37" x14ac:dyDescent="0.25">
      <c r="A69" s="170"/>
      <c r="B69" s="180">
        <f>$B$72*1.15</f>
        <v>0.68424999999999991</v>
      </c>
      <c r="C69" s="303">
        <f t="shared" si="10"/>
        <v>31.749276145777081</v>
      </c>
      <c r="D69" s="304">
        <f t="shared" si="10"/>
        <v>19.878565425777083</v>
      </c>
      <c r="E69" s="304">
        <f t="shared" si="10"/>
        <v>19.878565425777083</v>
      </c>
      <c r="F69" s="304">
        <f t="shared" si="10"/>
        <v>15.285584065777076</v>
      </c>
      <c r="G69" s="304">
        <f t="shared" si="10"/>
        <v>11.587518705777082</v>
      </c>
      <c r="H69" s="304">
        <f t="shared" si="10"/>
        <v>8.7843693457770797</v>
      </c>
      <c r="I69" s="304">
        <f t="shared" si="10"/>
        <v>6.8761359857770827</v>
      </c>
      <c r="J69" s="304">
        <f t="shared" si="10"/>
        <v>5.8628186257770816</v>
      </c>
      <c r="K69" s="304">
        <f t="shared" si="10"/>
        <v>5.8628246074270809</v>
      </c>
      <c r="L69" s="304">
        <f t="shared" si="10"/>
        <v>5.6917534457770822</v>
      </c>
      <c r="M69" s="304">
        <f t="shared" si="10"/>
        <v>5.7444172657770816</v>
      </c>
      <c r="N69" s="304">
        <f t="shared" si="10"/>
        <v>6.0208100857770805</v>
      </c>
      <c r="O69" s="304">
        <f t="shared" si="10"/>
        <v>6.52093190577708</v>
      </c>
      <c r="P69" s="304">
        <f t="shared" si="10"/>
        <v>7.24478272577708</v>
      </c>
      <c r="Q69" s="304">
        <f t="shared" si="10"/>
        <v>8.1923625457770832</v>
      </c>
      <c r="R69" s="305">
        <f t="shared" si="10"/>
        <v>9.3636713657770798</v>
      </c>
    </row>
    <row r="70" spans="1:37" x14ac:dyDescent="0.25">
      <c r="A70" s="170"/>
      <c r="B70" s="180">
        <f>$B$72*1.1</f>
        <v>0.65449999999999997</v>
      </c>
      <c r="C70" s="303">
        <f t="shared" si="10"/>
        <v>30.322113277308336</v>
      </c>
      <c r="D70" s="304">
        <f t="shared" si="10"/>
        <v>18.829651197308337</v>
      </c>
      <c r="E70" s="304">
        <f t="shared" si="10"/>
        <v>18.829651197308337</v>
      </c>
      <c r="F70" s="304">
        <f t="shared" si="10"/>
        <v>14.425794157308331</v>
      </c>
      <c r="G70" s="304">
        <f t="shared" si="10"/>
        <v>10.916853117308332</v>
      </c>
      <c r="H70" s="304">
        <f t="shared" si="10"/>
        <v>8.3028280773083285</v>
      </c>
      <c r="I70" s="304">
        <f t="shared" si="10"/>
        <v>6.5837190373083319</v>
      </c>
      <c r="J70" s="304">
        <f t="shared" si="10"/>
        <v>5.7595259973083301</v>
      </c>
      <c r="K70" s="304">
        <f t="shared" si="10"/>
        <v>5.7595299797583301</v>
      </c>
      <c r="L70" s="304">
        <f t="shared" si="10"/>
        <v>5.6830229773083332</v>
      </c>
      <c r="M70" s="304">
        <f t="shared" si="10"/>
        <v>5.8302489573083323</v>
      </c>
      <c r="N70" s="304">
        <f t="shared" si="10"/>
        <v>6.2012039373083292</v>
      </c>
      <c r="O70" s="304">
        <f t="shared" si="10"/>
        <v>6.7958879173083293</v>
      </c>
      <c r="P70" s="304">
        <f t="shared" si="10"/>
        <v>7.6143008973083335</v>
      </c>
      <c r="Q70" s="304">
        <f t="shared" si="10"/>
        <v>8.6564428773083328</v>
      </c>
      <c r="R70" s="305">
        <f t="shared" si="10"/>
        <v>9.9223138573083283</v>
      </c>
    </row>
    <row r="71" spans="1:37" ht="15.75" thickBot="1" x14ac:dyDescent="0.3">
      <c r="A71" s="171" t="s">
        <v>249</v>
      </c>
      <c r="B71" s="180">
        <f>$B$72*1.05</f>
        <v>0.62475000000000003</v>
      </c>
      <c r="C71" s="303">
        <f t="shared" si="10"/>
        <v>28.936401838993749</v>
      </c>
      <c r="D71" s="304">
        <f t="shared" si="10"/>
        <v>17.822188398993749</v>
      </c>
      <c r="E71" s="304">
        <f t="shared" si="10"/>
        <v>17.822188398993749</v>
      </c>
      <c r="F71" s="304">
        <f t="shared" si="10"/>
        <v>13.607455678993745</v>
      </c>
      <c r="G71" s="304">
        <f t="shared" si="10"/>
        <v>10.287638958993757</v>
      </c>
      <c r="H71" s="304">
        <f t="shared" si="10"/>
        <v>7.8627382389937477</v>
      </c>
      <c r="I71" s="304">
        <f t="shared" si="10"/>
        <v>6.3327535189937514</v>
      </c>
      <c r="J71" s="304">
        <f t="shared" si="10"/>
        <v>5.69768479899375</v>
      </c>
      <c r="K71" s="304">
        <f t="shared" si="10"/>
        <v>5.6976867822437507</v>
      </c>
      <c r="L71" s="304">
        <f t="shared" si="10"/>
        <v>5.7157439389937501</v>
      </c>
      <c r="M71" s="304">
        <f t="shared" si="10"/>
        <v>5.9575320789937489</v>
      </c>
      <c r="N71" s="304">
        <f t="shared" si="10"/>
        <v>6.42304921899375</v>
      </c>
      <c r="O71" s="304">
        <f t="shared" si="10"/>
        <v>7.1122953589937481</v>
      </c>
      <c r="P71" s="304">
        <f t="shared" si="10"/>
        <v>8.0252704989937484</v>
      </c>
      <c r="Q71" s="304">
        <f t="shared" si="10"/>
        <v>9.1619746389937511</v>
      </c>
      <c r="R71" s="305">
        <f t="shared" si="10"/>
        <v>10.522407778993747</v>
      </c>
    </row>
    <row r="72" spans="1:37" ht="15.75" thickBot="1" x14ac:dyDescent="0.3">
      <c r="A72" s="170"/>
      <c r="B72" s="232">
        <f>H60</f>
        <v>0.59499999999999997</v>
      </c>
      <c r="C72" s="303">
        <f t="shared" si="10"/>
        <v>27.592141830833334</v>
      </c>
      <c r="D72" s="304">
        <f t="shared" si="10"/>
        <v>16.856177030833337</v>
      </c>
      <c r="E72" s="304">
        <f t="shared" si="10"/>
        <v>16.856177030833337</v>
      </c>
      <c r="F72" s="304">
        <f t="shared" si="10"/>
        <v>12.830568630833334</v>
      </c>
      <c r="G72" s="304">
        <f t="shared" si="10"/>
        <v>9.6998762308333379</v>
      </c>
      <c r="H72" s="304">
        <f t="shared" si="10"/>
        <v>7.4640998308333302</v>
      </c>
      <c r="I72" s="304">
        <f t="shared" si="10"/>
        <v>6.1232394308333342</v>
      </c>
      <c r="J72" s="306">
        <f t="shared" si="10"/>
        <v>5.6772950308333314</v>
      </c>
      <c r="K72" s="307">
        <f t="shared" si="10"/>
        <v>5.677295014883331</v>
      </c>
      <c r="L72" s="304">
        <f t="shared" si="10"/>
        <v>5.7899163308333303</v>
      </c>
      <c r="M72" s="304">
        <f t="shared" si="10"/>
        <v>6.1262666308333298</v>
      </c>
      <c r="N72" s="304">
        <f t="shared" si="10"/>
        <v>6.6863459308333306</v>
      </c>
      <c r="O72" s="304">
        <f t="shared" si="10"/>
        <v>7.4701542308333284</v>
      </c>
      <c r="P72" s="304">
        <f t="shared" si="10"/>
        <v>8.4776915308333294</v>
      </c>
      <c r="Q72" s="304">
        <f t="shared" si="10"/>
        <v>9.7089578308333309</v>
      </c>
      <c r="R72" s="305">
        <f t="shared" si="10"/>
        <v>11.163953130833328</v>
      </c>
    </row>
    <row r="73" spans="1:37" ht="15.75" thickBot="1" x14ac:dyDescent="0.3">
      <c r="A73" s="170"/>
      <c r="B73" s="233">
        <f>B72+E61</f>
        <v>0.59500999999999993</v>
      </c>
      <c r="C73" s="303">
        <f t="shared" si="10"/>
        <v>27.59258671865172</v>
      </c>
      <c r="D73" s="304">
        <f t="shared" si="10"/>
        <v>16.856494776251726</v>
      </c>
      <c r="E73" s="304">
        <f t="shared" si="10"/>
        <v>16.856494776251726</v>
      </c>
      <c r="F73" s="304">
        <f t="shared" si="10"/>
        <v>12.830822805051719</v>
      </c>
      <c r="G73" s="304">
        <f t="shared" si="10"/>
        <v>9.7000668338517251</v>
      </c>
      <c r="H73" s="304">
        <f t="shared" si="10"/>
        <v>7.4642268626517216</v>
      </c>
      <c r="I73" s="304">
        <f t="shared" si="10"/>
        <v>6.1233028914517238</v>
      </c>
      <c r="J73" s="308">
        <f t="shared" si="10"/>
        <v>5.6772949202517227</v>
      </c>
      <c r="K73" s="309">
        <f t="shared" si="10"/>
        <v>5.6772949049737225</v>
      </c>
      <c r="L73" s="304">
        <f t="shared" si="10"/>
        <v>5.7898844346517215</v>
      </c>
      <c r="M73" s="304">
        <f t="shared" si="10"/>
        <v>6.12620294905172</v>
      </c>
      <c r="N73" s="304">
        <f t="shared" si="10"/>
        <v>6.6862504634517244</v>
      </c>
      <c r="O73" s="304">
        <f t="shared" si="10"/>
        <v>7.4700269778517221</v>
      </c>
      <c r="P73" s="304">
        <f t="shared" si="10"/>
        <v>8.4775324922517203</v>
      </c>
      <c r="Q73" s="304">
        <f t="shared" si="10"/>
        <v>9.7087670066517262</v>
      </c>
      <c r="R73" s="305">
        <f t="shared" si="10"/>
        <v>11.163730521051722</v>
      </c>
    </row>
    <row r="74" spans="1:37" x14ac:dyDescent="0.25">
      <c r="A74" s="170"/>
      <c r="B74" s="180">
        <f>$B$72*0.95</f>
        <v>0.56524999999999992</v>
      </c>
      <c r="C74" s="303">
        <f t="shared" si="10"/>
        <v>26.289333252827081</v>
      </c>
      <c r="D74" s="304">
        <f t="shared" si="10"/>
        <v>15.931617092827077</v>
      </c>
      <c r="E74" s="304">
        <f t="shared" si="10"/>
        <v>15.931617092827077</v>
      </c>
      <c r="F74" s="304">
        <f t="shared" si="10"/>
        <v>12.09513301282708</v>
      </c>
      <c r="G74" s="304">
        <f t="shared" si="10"/>
        <v>9.1535649328270825</v>
      </c>
      <c r="H74" s="304">
        <f t="shared" si="10"/>
        <v>7.1069128528270795</v>
      </c>
      <c r="I74" s="304">
        <f t="shared" si="10"/>
        <v>5.9551767728270821</v>
      </c>
      <c r="J74" s="304">
        <f t="shared" si="10"/>
        <v>5.6983566928270815</v>
      </c>
      <c r="K74" s="304">
        <f t="shared" si="10"/>
        <v>5.6983546776770817</v>
      </c>
      <c r="L74" s="304">
        <f t="shared" si="10"/>
        <v>5.9055401528270828</v>
      </c>
      <c r="M74" s="304">
        <f t="shared" si="10"/>
        <v>6.3364526128270819</v>
      </c>
      <c r="N74" s="304">
        <f t="shared" si="10"/>
        <v>6.9910940728270825</v>
      </c>
      <c r="O74" s="304">
        <f t="shared" si="10"/>
        <v>7.8694645328270809</v>
      </c>
      <c r="P74" s="304">
        <f t="shared" si="10"/>
        <v>8.9715639928270825</v>
      </c>
      <c r="Q74" s="304">
        <f t="shared" si="10"/>
        <v>10.297392452827086</v>
      </c>
      <c r="R74" s="305">
        <f t="shared" si="10"/>
        <v>11.846949912827082</v>
      </c>
    </row>
    <row r="75" spans="1:37" x14ac:dyDescent="0.25">
      <c r="A75" s="170"/>
      <c r="B75" s="180">
        <f>$B$72*0.9</f>
        <v>0.53549999999999998</v>
      </c>
      <c r="C75" s="303">
        <f t="shared" si="10"/>
        <v>25.027976104975</v>
      </c>
      <c r="D75" s="304">
        <f t="shared" si="10"/>
        <v>15.048508584974996</v>
      </c>
      <c r="E75" s="304">
        <f t="shared" si="10"/>
        <v>15.048508584974996</v>
      </c>
      <c r="F75" s="304">
        <f t="shared" si="10"/>
        <v>11.401148824974996</v>
      </c>
      <c r="G75" s="304">
        <f t="shared" si="10"/>
        <v>8.648705064975001</v>
      </c>
      <c r="H75" s="304">
        <f t="shared" si="10"/>
        <v>6.7911773049749975</v>
      </c>
      <c r="I75" s="304">
        <f t="shared" si="10"/>
        <v>5.8285655449749969</v>
      </c>
      <c r="J75" s="304">
        <f t="shared" si="10"/>
        <v>5.7608697849749975</v>
      </c>
      <c r="K75" s="304">
        <f t="shared" si="10"/>
        <v>5.7608657706249966</v>
      </c>
      <c r="L75" s="304">
        <f t="shared" si="10"/>
        <v>6.0626154049749994</v>
      </c>
      <c r="M75" s="304">
        <f t="shared" si="10"/>
        <v>6.5880900249749974</v>
      </c>
      <c r="N75" s="304">
        <f t="shared" si="10"/>
        <v>7.3372936449749968</v>
      </c>
      <c r="O75" s="304">
        <f t="shared" si="10"/>
        <v>8.3102262649749932</v>
      </c>
      <c r="P75" s="304">
        <f t="shared" si="10"/>
        <v>9.5068878849749971</v>
      </c>
      <c r="Q75" s="304">
        <f t="shared" si="10"/>
        <v>10.927278504974996</v>
      </c>
      <c r="R75" s="305">
        <f t="shared" si="10"/>
        <v>12.571398124974994</v>
      </c>
    </row>
    <row r="76" spans="1:37" x14ac:dyDescent="0.25">
      <c r="A76" s="170"/>
      <c r="B76" s="180">
        <f>$B$72*0.85</f>
        <v>0.50574999999999992</v>
      </c>
      <c r="C76" s="303">
        <f t="shared" si="10"/>
        <v>23.808070387277077</v>
      </c>
      <c r="D76" s="304">
        <f t="shared" si="10"/>
        <v>14.206851507277083</v>
      </c>
      <c r="E76" s="304">
        <f t="shared" si="10"/>
        <v>14.206851507277083</v>
      </c>
      <c r="F76" s="304">
        <f t="shared" si="10"/>
        <v>10.748616067277078</v>
      </c>
      <c r="G76" s="304">
        <f t="shared" si="10"/>
        <v>8.1852966272770846</v>
      </c>
      <c r="H76" s="304">
        <f t="shared" si="10"/>
        <v>6.5168931872770814</v>
      </c>
      <c r="I76" s="304">
        <f t="shared" si="10"/>
        <v>5.7434057472770821</v>
      </c>
      <c r="J76" s="304">
        <f t="shared" si="10"/>
        <v>5.864834307277083</v>
      </c>
      <c r="K76" s="304">
        <f t="shared" si="10"/>
        <v>5.8648282937270837</v>
      </c>
      <c r="L76" s="304">
        <f t="shared" si="10"/>
        <v>6.2611420872770838</v>
      </c>
      <c r="M76" s="304">
        <f t="shared" si="10"/>
        <v>6.8811788672770824</v>
      </c>
      <c r="N76" s="304">
        <f t="shared" si="10"/>
        <v>7.7249446472770842</v>
      </c>
      <c r="O76" s="304">
        <f t="shared" si="10"/>
        <v>8.7924394272770812</v>
      </c>
      <c r="P76" s="304">
        <f t="shared" si="10"/>
        <v>10.083663207277082</v>
      </c>
      <c r="Q76" s="304">
        <f t="shared" si="10"/>
        <v>11.598615987277087</v>
      </c>
      <c r="R76" s="305">
        <f t="shared" si="10"/>
        <v>13.337297767277082</v>
      </c>
      <c r="AI76" s="76"/>
      <c r="AJ76" s="76"/>
      <c r="AK76" s="76"/>
    </row>
    <row r="77" spans="1:37" x14ac:dyDescent="0.25">
      <c r="A77" s="170"/>
      <c r="B77" s="180">
        <f>$B$72*0.8</f>
        <v>0.47599999999999998</v>
      </c>
      <c r="C77" s="303">
        <f t="shared" si="10"/>
        <v>22.62961609973334</v>
      </c>
      <c r="D77" s="304">
        <f t="shared" si="10"/>
        <v>13.406645859733334</v>
      </c>
      <c r="E77" s="304">
        <f t="shared" si="10"/>
        <v>13.406645859733334</v>
      </c>
      <c r="F77" s="304">
        <f t="shared" si="10"/>
        <v>10.137534739733329</v>
      </c>
      <c r="G77" s="304">
        <f t="shared" si="10"/>
        <v>7.7633396197333351</v>
      </c>
      <c r="H77" s="304">
        <f t="shared" si="10"/>
        <v>6.2840604997333305</v>
      </c>
      <c r="I77" s="304">
        <f t="shared" si="10"/>
        <v>5.6996973797333315</v>
      </c>
      <c r="J77" s="304">
        <f t="shared" si="10"/>
        <v>6.0102502597333309</v>
      </c>
      <c r="K77" s="304">
        <f t="shared" si="10"/>
        <v>6.0102422469833314</v>
      </c>
      <c r="L77" s="304">
        <f t="shared" si="10"/>
        <v>6.5011201997333323</v>
      </c>
      <c r="M77" s="304">
        <f t="shared" si="10"/>
        <v>7.2157191397333307</v>
      </c>
      <c r="N77" s="304">
        <f t="shared" si="10"/>
        <v>8.1540470797333313</v>
      </c>
      <c r="O77" s="304">
        <f t="shared" si="10"/>
        <v>9.3161040197333289</v>
      </c>
      <c r="P77" s="304">
        <f t="shared" si="10"/>
        <v>10.701889959733331</v>
      </c>
      <c r="Q77" s="304">
        <f t="shared" si="10"/>
        <v>12.311404899733333</v>
      </c>
      <c r="R77" s="305">
        <f t="shared" si="10"/>
        <v>14.14464883973333</v>
      </c>
    </row>
    <row r="78" spans="1:37" x14ac:dyDescent="0.25">
      <c r="A78" s="170"/>
      <c r="B78" s="180">
        <f>$B$72*0.75</f>
        <v>0.44624999999999998</v>
      </c>
      <c r="C78" s="303">
        <f t="shared" si="10"/>
        <v>21.492613242343754</v>
      </c>
      <c r="D78" s="304">
        <f t="shared" si="10"/>
        <v>12.647891642343746</v>
      </c>
      <c r="E78" s="304">
        <f t="shared" si="10"/>
        <v>12.647891642343746</v>
      </c>
      <c r="F78" s="304">
        <f t="shared" si="10"/>
        <v>9.5679048423437472</v>
      </c>
      <c r="G78" s="304">
        <f t="shared" si="10"/>
        <v>7.3828340423437497</v>
      </c>
      <c r="H78" s="304">
        <f t="shared" si="10"/>
        <v>6.0926792423437464</v>
      </c>
      <c r="I78" s="304">
        <f t="shared" si="10"/>
        <v>5.6974404423437459</v>
      </c>
      <c r="J78" s="304">
        <f t="shared" si="10"/>
        <v>6.1971176423437466</v>
      </c>
      <c r="K78" s="304">
        <f t="shared" si="10"/>
        <v>6.1971076303937469</v>
      </c>
      <c r="L78" s="304">
        <f t="shared" si="10"/>
        <v>6.7825497423437513</v>
      </c>
      <c r="M78" s="304">
        <f t="shared" si="10"/>
        <v>7.5917108423437485</v>
      </c>
      <c r="N78" s="304">
        <f t="shared" si="10"/>
        <v>8.6246009423437471</v>
      </c>
      <c r="O78" s="304">
        <f t="shared" si="10"/>
        <v>9.8812200423437435</v>
      </c>
      <c r="P78" s="304">
        <f t="shared" si="10"/>
        <v>11.361568142343751</v>
      </c>
      <c r="Q78" s="304">
        <f t="shared" si="10"/>
        <v>13.06564524234375</v>
      </c>
      <c r="R78" s="305">
        <f t="shared" si="10"/>
        <v>14.993451342343743</v>
      </c>
    </row>
    <row r="79" spans="1:37" ht="15.75" thickBot="1" x14ac:dyDescent="0.3">
      <c r="A79" s="172"/>
      <c r="B79" s="181">
        <f>$B$72*0.7</f>
        <v>0.41649999999999998</v>
      </c>
      <c r="C79" s="310">
        <f t="shared" si="10"/>
        <v>20.397061815108337</v>
      </c>
      <c r="D79" s="311">
        <f t="shared" si="10"/>
        <v>11.930588855108336</v>
      </c>
      <c r="E79" s="311">
        <f t="shared" si="10"/>
        <v>11.930588855108336</v>
      </c>
      <c r="F79" s="311">
        <f t="shared" si="10"/>
        <v>9.0397263751083319</v>
      </c>
      <c r="G79" s="311">
        <f t="shared" si="10"/>
        <v>7.0437798951083348</v>
      </c>
      <c r="H79" s="311">
        <f t="shared" si="10"/>
        <v>5.9427494151083327</v>
      </c>
      <c r="I79" s="311">
        <f t="shared" si="10"/>
        <v>5.7366349351083317</v>
      </c>
      <c r="J79" s="311">
        <f t="shared" si="10"/>
        <v>6.4254364551083327</v>
      </c>
      <c r="K79" s="311">
        <f t="shared" si="10"/>
        <v>6.4254244439583319</v>
      </c>
      <c r="L79" s="311">
        <f t="shared" si="10"/>
        <v>7.1054307151083336</v>
      </c>
      <c r="M79" s="311">
        <f t="shared" si="10"/>
        <v>8.0091539751083296</v>
      </c>
      <c r="N79" s="311">
        <f t="shared" si="10"/>
        <v>9.1366062351083315</v>
      </c>
      <c r="O79" s="311">
        <f t="shared" si="10"/>
        <v>10.48778749510833</v>
      </c>
      <c r="P79" s="311">
        <f t="shared" si="10"/>
        <v>12.062697755108331</v>
      </c>
      <c r="Q79" s="311">
        <f t="shared" si="10"/>
        <v>13.861337015108335</v>
      </c>
      <c r="R79" s="312">
        <f t="shared" si="10"/>
        <v>15.883705275108328</v>
      </c>
    </row>
    <row r="80" spans="1:37" ht="15.75" thickBot="1" x14ac:dyDescent="0.3"/>
    <row r="81" spans="9:30" ht="15.75" thickBot="1" x14ac:dyDescent="0.3">
      <c r="I81" s="458" t="s">
        <v>413</v>
      </c>
      <c r="J81" s="459"/>
      <c r="K81" s="459"/>
      <c r="L81" s="460"/>
      <c r="M81" s="6"/>
      <c r="N81" s="458" t="s">
        <v>412</v>
      </c>
      <c r="O81" s="459"/>
      <c r="P81" s="459"/>
      <c r="Q81" s="460"/>
    </row>
    <row r="82" spans="9:30" ht="15.75" thickBot="1" x14ac:dyDescent="0.3">
      <c r="I82" s="78"/>
      <c r="J82" s="76"/>
      <c r="K82" s="140" t="s">
        <v>211</v>
      </c>
      <c r="L82" s="140" t="s">
        <v>251</v>
      </c>
      <c r="N82" s="78"/>
      <c r="O82" s="76"/>
      <c r="P82" s="140" t="s">
        <v>211</v>
      </c>
      <c r="Q82" s="140" t="s">
        <v>251</v>
      </c>
    </row>
    <row r="83" spans="9:30" ht="15.75" thickBot="1" x14ac:dyDescent="0.3">
      <c r="I83" s="154" t="s">
        <v>365</v>
      </c>
      <c r="J83" s="247">
        <f>(K72-J72)/$D$18</f>
        <v>-1.5950000431530496E-3</v>
      </c>
      <c r="K83" s="142"/>
      <c r="L83" s="216"/>
      <c r="N83" s="154" t="s">
        <v>365</v>
      </c>
      <c r="O83" s="228">
        <f>(J73-J72)/$D$18</f>
        <v>-1.1058160875876409E-2</v>
      </c>
      <c r="P83" s="142"/>
      <c r="Q83" s="216"/>
    </row>
    <row r="84" spans="9:30" ht="15.75" thickBot="1" x14ac:dyDescent="0.3">
      <c r="I84" s="128" t="s">
        <v>366</v>
      </c>
      <c r="J84" s="229">
        <f>H88-J83*G88</f>
        <v>0</v>
      </c>
      <c r="K84" s="153"/>
      <c r="L84" s="214"/>
      <c r="N84" s="128" t="s">
        <v>366</v>
      </c>
      <c r="O84" s="229">
        <f>C88-O83*B88</f>
        <v>0</v>
      </c>
      <c r="P84" s="153"/>
      <c r="Q84" s="214"/>
      <c r="AD84" s="76"/>
    </row>
    <row r="85" spans="9:30" ht="15.75" thickBot="1" x14ac:dyDescent="0.3">
      <c r="AD85" s="76"/>
    </row>
    <row r="86" spans="9:30" ht="15.75" thickBot="1" x14ac:dyDescent="0.3">
      <c r="I86" s="147" t="s">
        <v>367</v>
      </c>
      <c r="J86" s="453" t="s">
        <v>368</v>
      </c>
      <c r="K86" s="454"/>
      <c r="L86" s="454"/>
      <c r="M86" s="454"/>
      <c r="N86" s="454"/>
      <c r="O86" s="454"/>
      <c r="P86" s="454"/>
      <c r="Q86" s="455"/>
      <c r="Z86" s="76"/>
      <c r="AA86" s="76"/>
      <c r="AB86" s="76"/>
      <c r="AC86" s="76"/>
      <c r="AD86" s="76"/>
    </row>
    <row r="87" spans="9:30" ht="15.75" thickBot="1" x14ac:dyDescent="0.3">
      <c r="I87" s="138" t="s">
        <v>250</v>
      </c>
      <c r="J87" s="138" t="s">
        <v>249</v>
      </c>
      <c r="K87" s="138" t="s">
        <v>377</v>
      </c>
      <c r="L87" s="138" t="s">
        <v>378</v>
      </c>
      <c r="M87" s="168" t="s">
        <v>375</v>
      </c>
      <c r="N87" s="138" t="s">
        <v>342</v>
      </c>
      <c r="O87" s="187" t="s">
        <v>379</v>
      </c>
      <c r="P87" s="138" t="s">
        <v>320</v>
      </c>
      <c r="Q87" s="186" t="s">
        <v>314</v>
      </c>
      <c r="R87" s="6"/>
    </row>
    <row r="88" spans="9:30" ht="15.75" thickBot="1" x14ac:dyDescent="0.3">
      <c r="I88" s="142">
        <f>G60</f>
        <v>9.4600000000000009</v>
      </c>
      <c r="J88" s="142">
        <f>H60</f>
        <v>0.59499999999999997</v>
      </c>
      <c r="K88" s="313">
        <f>(1/3)*((I88+$B$60*J88-$C$60)+(I88+$B$61*J88-$C$61)+(I88+$B$62*J88-$C$62))</f>
        <v>-1.5999999999992316E-3</v>
      </c>
      <c r="L88" s="313">
        <f t="shared" ref="L88:L107" si="11">(1/3)*((I88+$B$60*J88-$C$60)*$B$60+(I88+$B$61*J88-$C$61)*$B$61+(I88+$B$62*J88-$C$62)*$B$62)</f>
        <v>-1.1292333333328722E-2</v>
      </c>
      <c r="M88" s="142">
        <f t="shared" ref="M88:M93" si="12">I88-$E$59*K88</f>
        <v>9.4600160000000013</v>
      </c>
      <c r="N88" s="142">
        <f>J88-$E$60*L88</f>
        <v>0.59511292333333321</v>
      </c>
      <c r="O88" s="265">
        <f t="shared" ref="O88:P91" si="13">I88-M88</f>
        <v>-1.6000000000460091E-5</v>
      </c>
      <c r="P88" s="142">
        <f t="shared" si="13"/>
        <v>-1.129233333332369E-4</v>
      </c>
      <c r="Q88" s="314">
        <f t="shared" ref="Q88:Q107" si="14">(1/6)*(($B$60*J88+I88-$C$60)^2+($B$61*J88+I88-$C$61)^2+($B$62*J88+I88-$C$62)^2)</f>
        <v>5.6772950308333314</v>
      </c>
      <c r="R88" s="6"/>
    </row>
    <row r="89" spans="9:30" x14ac:dyDescent="0.25">
      <c r="I89" s="143">
        <f>M88</f>
        <v>9.4600160000000013</v>
      </c>
      <c r="J89" s="143">
        <f>N88</f>
        <v>0.59511292333333321</v>
      </c>
      <c r="K89" s="139">
        <f t="shared" ref="K89:K107" si="15">(1/3)*((I89+$B$60*J89-$C$60)+(I89+$B$61*J89-$C$61)+(I89+$B$62*J89-$C$62))</f>
        <v>-8.2515519999937226E-4</v>
      </c>
      <c r="L89" s="139">
        <f t="shared" si="11"/>
        <v>-5.8961092424410682E-3</v>
      </c>
      <c r="M89" s="143">
        <f t="shared" si="12"/>
        <v>9.4600242515520012</v>
      </c>
      <c r="N89" s="143">
        <f t="shared" ref="N89:N107" si="16">J89-$E$60*L89</f>
        <v>0.59517188442575764</v>
      </c>
      <c r="O89" s="167">
        <f>I89-M89</f>
        <v>-8.2515519999049047E-6</v>
      </c>
      <c r="P89" s="143">
        <f>J89-N89</f>
        <v>-5.8961092424425487E-5</v>
      </c>
      <c r="Q89" s="315">
        <f t="shared" si="14"/>
        <v>5.6772940409439743</v>
      </c>
      <c r="R89" s="6"/>
    </row>
    <row r="90" spans="9:30" x14ac:dyDescent="0.25">
      <c r="I90" s="143">
        <f t="shared" ref="I90:J91" si="17">M89</f>
        <v>9.4600242515520012</v>
      </c>
      <c r="J90" s="143">
        <f t="shared" si="17"/>
        <v>0.59517188442575764</v>
      </c>
      <c r="K90" s="139">
        <f t="shared" si="15"/>
        <v>-4.2068510690699645E-4</v>
      </c>
      <c r="L90" s="139">
        <f t="shared" si="11"/>
        <v>-3.079247495215931E-3</v>
      </c>
      <c r="M90" s="143">
        <f t="shared" si="12"/>
        <v>9.4600284584030696</v>
      </c>
      <c r="N90" s="143">
        <f t="shared" si="16"/>
        <v>0.59520267690070983</v>
      </c>
      <c r="O90" s="167">
        <f>I90-M90</f>
        <v>-4.2068510683890281E-6</v>
      </c>
      <c r="P90" s="143">
        <f t="shared" si="13"/>
        <v>-3.0792474952190396E-5</v>
      </c>
      <c r="Q90" s="315">
        <f t="shared" si="14"/>
        <v>5.6772937712054983</v>
      </c>
      <c r="R90" s="6"/>
    </row>
    <row r="91" spans="9:30" x14ac:dyDescent="0.25">
      <c r="I91" s="143">
        <f t="shared" si="17"/>
        <v>9.4600284584030696</v>
      </c>
      <c r="J91" s="143">
        <f t="shared" si="17"/>
        <v>0.59520267690070983</v>
      </c>
      <c r="K91" s="139">
        <f t="shared" si="15"/>
        <v>-2.0955282416027879E-4</v>
      </c>
      <c r="L91" s="139">
        <f t="shared" si="11"/>
        <v>-1.6088283143066797E-3</v>
      </c>
      <c r="M91" s="143">
        <f t="shared" si="12"/>
        <v>9.4600305539313112</v>
      </c>
      <c r="N91" s="143">
        <f t="shared" si="16"/>
        <v>0.59521876518385286</v>
      </c>
      <c r="O91" s="167">
        <f t="shared" si="13"/>
        <v>-2.0955282415968668E-6</v>
      </c>
      <c r="P91" s="143">
        <f t="shared" si="13"/>
        <v>-1.6088283143034232E-5</v>
      </c>
      <c r="Q91" s="315">
        <f t="shared" si="14"/>
        <v>5.6772936977011081</v>
      </c>
      <c r="R91" s="6"/>
    </row>
    <row r="92" spans="9:30" x14ac:dyDescent="0.25">
      <c r="I92" s="143">
        <f t="shared" ref="I92" si="18">M91</f>
        <v>9.4600305539313112</v>
      </c>
      <c r="J92" s="143">
        <f t="shared" ref="J92" si="19">N91</f>
        <v>0.59521876518385286</v>
      </c>
      <c r="K92" s="139">
        <f t="shared" si="15"/>
        <v>-9.9344033197705045E-5</v>
      </c>
      <c r="L92" s="139">
        <f t="shared" si="11"/>
        <v>-8.412602039384135E-4</v>
      </c>
      <c r="M92" s="143">
        <f t="shared" si="12"/>
        <v>9.4600315473716439</v>
      </c>
      <c r="N92" s="143">
        <f t="shared" si="16"/>
        <v>0.59522717778589229</v>
      </c>
      <c r="O92" s="167">
        <f t="shared" ref="O92" si="20">I92-M92</f>
        <v>-9.9344033266390852E-7</v>
      </c>
      <c r="P92" s="143">
        <f t="shared" ref="P92" si="21">J92-N92</f>
        <v>-8.4126020394315049E-6</v>
      </c>
      <c r="Q92" s="315">
        <f t="shared" si="14"/>
        <v>5.6772936776686027</v>
      </c>
      <c r="R92" s="6"/>
    </row>
    <row r="93" spans="9:30" x14ac:dyDescent="0.25">
      <c r="I93" s="143">
        <f t="shared" ref="I93" si="22">M92</f>
        <v>9.4600315473716439</v>
      </c>
      <c r="J93" s="143">
        <f t="shared" ref="J93" si="23">N92</f>
        <v>0.59522717778589229</v>
      </c>
      <c r="K93" s="139">
        <f t="shared" si="15"/>
        <v>-4.1817907160179857E-5</v>
      </c>
      <c r="L93" s="139">
        <f t="shared" si="11"/>
        <v>-4.405845551100166E-4</v>
      </c>
      <c r="M93" s="143">
        <f t="shared" si="12"/>
        <v>9.4600319655507157</v>
      </c>
      <c r="N93" s="143">
        <f t="shared" si="16"/>
        <v>0.59523158363144335</v>
      </c>
      <c r="O93" s="167">
        <f t="shared" ref="O93" si="24">I93-M93</f>
        <v>-4.1817907181496139E-7</v>
      </c>
      <c r="P93" s="143">
        <f t="shared" ref="P93" si="25">J93-N93</f>
        <v>-4.405845551058718E-6</v>
      </c>
      <c r="Q93" s="315">
        <f t="shared" si="14"/>
        <v>5.6772936722066571</v>
      </c>
      <c r="R93" s="6"/>
    </row>
    <row r="94" spans="9:30" x14ac:dyDescent="0.25">
      <c r="I94" s="143">
        <f t="shared" ref="I94" si="26">M93</f>
        <v>9.4600319655507157</v>
      </c>
      <c r="J94" s="143">
        <f t="shared" ref="J94" si="27">N93</f>
        <v>0.59523158363144335</v>
      </c>
      <c r="K94" s="139">
        <f t="shared" si="15"/>
        <v>-1.1792445985629266E-5</v>
      </c>
      <c r="L94" s="139">
        <f t="shared" si="11"/>
        <v>-2.3142896514904976E-4</v>
      </c>
      <c r="M94" s="143">
        <f t="shared" ref="M94:M118" si="28">I94-$E$59*K94</f>
        <v>9.4600320834751752</v>
      </c>
      <c r="N94" s="143">
        <f t="shared" si="16"/>
        <v>0.59523389792109482</v>
      </c>
      <c r="O94" s="167">
        <f t="shared" ref="O94" si="29">I94-M94</f>
        <v>-1.1792445953062725E-7</v>
      </c>
      <c r="P94" s="143">
        <f t="shared" ref="P94" si="30">J94-N94</f>
        <v>-2.314289651472734E-6</v>
      </c>
      <c r="Q94" s="315">
        <f t="shared" si="14"/>
        <v>5.6772936707150556</v>
      </c>
      <c r="R94" s="6"/>
    </row>
    <row r="95" spans="9:30" x14ac:dyDescent="0.25">
      <c r="I95" s="143">
        <f t="shared" ref="I95" si="31">M94</f>
        <v>9.4600320834751752</v>
      </c>
      <c r="J95" s="143">
        <f t="shared" ref="J95" si="32">N94</f>
        <v>0.59523389792109482</v>
      </c>
      <c r="K95" s="139">
        <f t="shared" si="15"/>
        <v>3.8775049322481436E-6</v>
      </c>
      <c r="L95" s="139">
        <f t="shared" si="11"/>
        <v>-1.2224799123868496E-4</v>
      </c>
      <c r="M95" s="143">
        <f t="shared" si="28"/>
        <v>9.4600320447001263</v>
      </c>
      <c r="N95" s="143">
        <f t="shared" si="16"/>
        <v>0.59523512040100723</v>
      </c>
      <c r="O95" s="167">
        <f t="shared" ref="O95" si="33">I95-M95</f>
        <v>3.87750489494465E-8</v>
      </c>
      <c r="P95" s="143">
        <f t="shared" ref="P95" si="34">J95-N95</f>
        <v>-1.2224799124105346E-6</v>
      </c>
      <c r="Q95" s="315">
        <f t="shared" si="14"/>
        <v>5.6772936703053327</v>
      </c>
      <c r="R95" s="6"/>
    </row>
    <row r="96" spans="9:30" x14ac:dyDescent="0.25">
      <c r="I96" s="143">
        <f t="shared" ref="I96" si="35">M95</f>
        <v>9.4600320447001263</v>
      </c>
      <c r="J96" s="143">
        <f t="shared" ref="J96" si="36">N95</f>
        <v>0.59523512040100723</v>
      </c>
      <c r="K96" s="139">
        <f t="shared" si="15"/>
        <v>1.2053794894958021E-5</v>
      </c>
      <c r="L96" s="139">
        <f t="shared" si="11"/>
        <v>-6.5254364858269298E-5</v>
      </c>
      <c r="M96" s="143">
        <f t="shared" si="28"/>
        <v>9.4600319241621769</v>
      </c>
      <c r="N96" s="143">
        <f t="shared" si="16"/>
        <v>0.59523577294465579</v>
      </c>
      <c r="O96" s="167">
        <f t="shared" ref="O96" si="37">I96-M96</f>
        <v>1.2053794939959062E-7</v>
      </c>
      <c r="P96" s="143">
        <f t="shared" ref="P96" si="38">J96-N96</f>
        <v>-6.5254364856048852E-7</v>
      </c>
      <c r="Q96" s="315">
        <f t="shared" si="14"/>
        <v>5.6772936701904158</v>
      </c>
      <c r="R96" s="6"/>
    </row>
    <row r="97" spans="1:31" x14ac:dyDescent="0.25">
      <c r="I97" s="143">
        <f t="shared" ref="I97" si="39">M96</f>
        <v>9.4600319241621769</v>
      </c>
      <c r="J97" s="143">
        <f t="shared" ref="J97" si="40">N96</f>
        <v>0.59523577294465579</v>
      </c>
      <c r="K97" s="139">
        <f t="shared" si="15"/>
        <v>1.6318350263352006E-5</v>
      </c>
      <c r="L97" s="139">
        <f t="shared" si="11"/>
        <v>-3.5502846124598378E-5</v>
      </c>
      <c r="M97" s="143">
        <f t="shared" si="28"/>
        <v>9.4600317609786746</v>
      </c>
      <c r="N97" s="143">
        <f t="shared" si="16"/>
        <v>0.59523612797311709</v>
      </c>
      <c r="O97" s="167">
        <f t="shared" ref="O97" si="41">I97-M97</f>
        <v>1.6318350226640632E-7</v>
      </c>
      <c r="P97" s="143">
        <f t="shared" ref="P97" si="42">J97-N97</f>
        <v>-3.5502846129631394E-7</v>
      </c>
      <c r="Q97" s="315">
        <f t="shared" si="14"/>
        <v>5.6772936701558301</v>
      </c>
      <c r="R97" s="6"/>
    </row>
    <row r="98" spans="1:31" ht="15.75" thickBot="1" x14ac:dyDescent="0.3">
      <c r="I98" s="143">
        <f t="shared" ref="I98" si="43">M97</f>
        <v>9.4600317609786746</v>
      </c>
      <c r="J98" s="143">
        <f t="shared" ref="J98" si="44">N97</f>
        <v>0.59523612797311709</v>
      </c>
      <c r="K98" s="139">
        <f t="shared" si="15"/>
        <v>1.8540958021636318E-5</v>
      </c>
      <c r="L98" s="139">
        <f t="shared" si="11"/>
        <v>-1.997187061982449E-5</v>
      </c>
      <c r="M98" s="143">
        <f t="shared" si="28"/>
        <v>9.4600315755690936</v>
      </c>
      <c r="N98" s="143">
        <f t="shared" si="16"/>
        <v>0.59523632769182333</v>
      </c>
      <c r="O98" s="167">
        <f t="shared" ref="O98" si="45">I98-M98</f>
        <v>1.8540958102164495E-7</v>
      </c>
      <c r="P98" s="143">
        <f t="shared" ref="P98" si="46">J98-N98</f>
        <v>-1.9971870623969323E-7</v>
      </c>
      <c r="Q98" s="315">
        <f t="shared" si="14"/>
        <v>5.677293670143138</v>
      </c>
      <c r="R98" s="6"/>
    </row>
    <row r="99" spans="1:31" ht="15.75" thickBot="1" x14ac:dyDescent="0.3">
      <c r="A99" s="147" t="s">
        <v>369</v>
      </c>
      <c r="B99" s="456" t="s">
        <v>419</v>
      </c>
      <c r="C99" s="456"/>
      <c r="D99" s="456"/>
      <c r="E99" s="456"/>
      <c r="F99" s="457"/>
      <c r="I99" s="143">
        <f t="shared" ref="I99" si="47">M98</f>
        <v>9.4600315755690936</v>
      </c>
      <c r="J99" s="143">
        <f t="shared" ref="J99" si="48">N98</f>
        <v>0.59523632769182333</v>
      </c>
      <c r="K99" s="139">
        <f t="shared" si="15"/>
        <v>1.9697658146355934E-5</v>
      </c>
      <c r="L99" s="139">
        <f t="shared" si="11"/>
        <v>-1.1864103915293356E-5</v>
      </c>
      <c r="M99" s="143">
        <f t="shared" si="28"/>
        <v>9.4600313785925128</v>
      </c>
      <c r="N99" s="143">
        <f t="shared" si="16"/>
        <v>0.59523644633286243</v>
      </c>
      <c r="O99" s="167">
        <f t="shared" ref="O99" si="49">I99-M99</f>
        <v>1.9697658082407088E-7</v>
      </c>
      <c r="P99" s="143">
        <f t="shared" ref="P99" si="50">J99-N99</f>
        <v>-1.1864103910408375E-7</v>
      </c>
      <c r="Q99" s="315">
        <f t="shared" si="14"/>
        <v>5.6772936701364154</v>
      </c>
      <c r="R99" s="6"/>
      <c r="AE99" s="6"/>
    </row>
    <row r="100" spans="1:31" ht="15.75" thickBot="1" x14ac:dyDescent="0.3">
      <c r="A100" s="164" t="s">
        <v>211</v>
      </c>
      <c r="B100" s="259" t="s">
        <v>251</v>
      </c>
      <c r="C100" s="76"/>
      <c r="D100" s="76"/>
      <c r="E100" s="76"/>
      <c r="F100" s="77"/>
      <c r="I100" s="143">
        <f t="shared" ref="I100" si="51">M99</f>
        <v>9.4600313785925128</v>
      </c>
      <c r="J100" s="143">
        <f t="shared" ref="J100" si="52">N99</f>
        <v>0.59523644633286243</v>
      </c>
      <c r="K100" s="139">
        <f t="shared" si="15"/>
        <v>2.0297949348583678E-5</v>
      </c>
      <c r="L100" s="139">
        <f t="shared" si="11"/>
        <v>-7.6312967450438869E-6</v>
      </c>
      <c r="M100" s="143">
        <f t="shared" si="28"/>
        <v>9.46003117561302</v>
      </c>
      <c r="N100" s="143">
        <f t="shared" si="16"/>
        <v>0.59523652264582994</v>
      </c>
      <c r="O100" s="167">
        <f t="shared" ref="O100" si="53">I100-M100</f>
        <v>2.0297949276937288E-7</v>
      </c>
      <c r="P100" s="143">
        <f t="shared" ref="P100" si="54">J100-N100</f>
        <v>-7.6312967500768991E-8</v>
      </c>
      <c r="Q100" s="315">
        <f t="shared" si="14"/>
        <v>5.6772936701313208</v>
      </c>
      <c r="R100" s="6"/>
    </row>
    <row r="101" spans="1:31" x14ac:dyDescent="0.25">
      <c r="A101" s="260">
        <v>0</v>
      </c>
      <c r="B101" s="145">
        <f>$J$124*A101+I124</f>
        <v>9.4600263819392598</v>
      </c>
      <c r="C101" s="76"/>
      <c r="D101" s="76"/>
      <c r="E101" s="76"/>
      <c r="F101" s="77"/>
      <c r="I101" s="143">
        <f t="shared" ref="I101" si="55">M100</f>
        <v>9.46003117561302</v>
      </c>
      <c r="J101" s="143">
        <f t="shared" ref="J101" si="56">N100</f>
        <v>0.59523652264582994</v>
      </c>
      <c r="K101" s="139">
        <f t="shared" si="15"/>
        <v>2.0607792996803671E-5</v>
      </c>
      <c r="L101" s="139">
        <f t="shared" si="11"/>
        <v>-5.4212418077644502E-6</v>
      </c>
      <c r="M101" s="143">
        <f t="shared" si="28"/>
        <v>9.4600309695350902</v>
      </c>
      <c r="N101" s="143">
        <f t="shared" si="16"/>
        <v>0.59523657685824805</v>
      </c>
      <c r="O101" s="167">
        <f t="shared" ref="O101" si="57">I101-M101</f>
        <v>2.0607792983184936E-7</v>
      </c>
      <c r="P101" s="143">
        <f t="shared" ref="P101" si="58">J101-N101</f>
        <v>-5.4212418110211047E-8</v>
      </c>
      <c r="Q101" s="315">
        <f t="shared" si="14"/>
        <v>5.6772936701266676</v>
      </c>
      <c r="R101" s="6"/>
    </row>
    <row r="102" spans="1:31" ht="15.75" thickBot="1" x14ac:dyDescent="0.3">
      <c r="A102" s="261">
        <v>10</v>
      </c>
      <c r="B102" s="153">
        <f>$J$124*A102+I124</f>
        <v>15.412399006806915</v>
      </c>
      <c r="C102" s="76"/>
      <c r="D102" s="76"/>
      <c r="E102" s="76"/>
      <c r="F102" s="77"/>
      <c r="I102" s="143">
        <f t="shared" ref="I102" si="59">M101</f>
        <v>9.4600309695350902</v>
      </c>
      <c r="J102" s="143">
        <f t="shared" ref="J102" si="60">N101</f>
        <v>0.59523657685824805</v>
      </c>
      <c r="K102" s="139">
        <f t="shared" si="15"/>
        <v>2.0766022516956657E-5</v>
      </c>
      <c r="L102" s="139">
        <f t="shared" si="11"/>
        <v>-4.2670758049941542E-6</v>
      </c>
      <c r="M102" s="143">
        <f t="shared" si="28"/>
        <v>9.4600307618748651</v>
      </c>
      <c r="N102" s="143">
        <f t="shared" si="16"/>
        <v>0.59523661952900608</v>
      </c>
      <c r="O102" s="167">
        <f t="shared" ref="O102" si="61">I102-M102</f>
        <v>2.0766022501561565E-7</v>
      </c>
      <c r="P102" s="143">
        <f t="shared" ref="P102" si="62">J102-N102</f>
        <v>-4.2670758038099166E-8</v>
      </c>
      <c r="Q102" s="315">
        <f t="shared" si="14"/>
        <v>5.6772936701221441</v>
      </c>
      <c r="R102" s="6"/>
    </row>
    <row r="103" spans="1:31" x14ac:dyDescent="0.25">
      <c r="A103" s="262"/>
      <c r="B103" s="146"/>
      <c r="C103" s="76"/>
      <c r="D103" s="76"/>
      <c r="E103" s="76"/>
      <c r="F103" s="77"/>
      <c r="I103" s="143">
        <f t="shared" ref="I103" si="63">M102</f>
        <v>9.4600307618748651</v>
      </c>
      <c r="J103" s="143">
        <f t="shared" ref="J103" si="64">N102</f>
        <v>0.59523661952900608</v>
      </c>
      <c r="K103" s="139">
        <f t="shared" si="15"/>
        <v>2.0845109785838645E-5</v>
      </c>
      <c r="L103" s="139">
        <f t="shared" si="11"/>
        <v>-3.6640903238923288E-6</v>
      </c>
      <c r="M103" s="143">
        <f t="shared" si="28"/>
        <v>9.460030553423767</v>
      </c>
      <c r="N103" s="143">
        <f t="shared" si="16"/>
        <v>0.59523665616990928</v>
      </c>
      <c r="O103" s="167">
        <f t="shared" ref="O103" si="65">I103-M103</f>
        <v>2.0845109816036711E-7</v>
      </c>
      <c r="P103" s="143">
        <f t="shared" ref="P103" si="66">J103-N103</f>
        <v>-3.6640903200435559E-8</v>
      </c>
      <c r="Q103" s="315">
        <f t="shared" si="14"/>
        <v>5.6772936701176526</v>
      </c>
      <c r="R103" s="6"/>
    </row>
    <row r="104" spans="1:31" x14ac:dyDescent="0.25">
      <c r="A104" s="262"/>
      <c r="B104" s="146"/>
      <c r="C104" s="76"/>
      <c r="D104" s="76"/>
      <c r="E104" s="76"/>
      <c r="F104" s="77"/>
      <c r="I104" s="143">
        <f t="shared" ref="I104" si="67">M103</f>
        <v>9.460030553423767</v>
      </c>
      <c r="J104" s="143">
        <f t="shared" ref="J104" si="68">N103</f>
        <v>0.59523665616990928</v>
      </c>
      <c r="K104" s="139">
        <f t="shared" si="15"/>
        <v>2.0882885557682584E-5</v>
      </c>
      <c r="L104" s="139">
        <f t="shared" si="11"/>
        <v>-3.3488245397469045E-6</v>
      </c>
      <c r="M104" s="143">
        <f t="shared" si="28"/>
        <v>9.4600303445949105</v>
      </c>
      <c r="N104" s="143">
        <f t="shared" si="16"/>
        <v>0.59523668965815468</v>
      </c>
      <c r="O104" s="167">
        <f t="shared" ref="O104" si="69">I104-M104</f>
        <v>2.0882885642947713E-7</v>
      </c>
      <c r="P104" s="143">
        <f t="shared" ref="P104" si="70">J104-N104</f>
        <v>-3.3488245398949346E-8</v>
      </c>
      <c r="Q104" s="315">
        <f t="shared" si="14"/>
        <v>5.6772936701131762</v>
      </c>
      <c r="R104" s="6"/>
    </row>
    <row r="105" spans="1:31" x14ac:dyDescent="0.25">
      <c r="A105" s="262"/>
      <c r="B105" s="146"/>
      <c r="C105" s="76"/>
      <c r="D105" s="76"/>
      <c r="E105" s="76"/>
      <c r="F105" s="77"/>
      <c r="I105" s="143">
        <f t="shared" ref="I105" si="71">M104</f>
        <v>9.4600303445949105</v>
      </c>
      <c r="J105" s="143">
        <f t="shared" ref="J105" si="72">N104</f>
        <v>0.59523668965815468</v>
      </c>
      <c r="K105" s="139">
        <f t="shared" si="15"/>
        <v>2.089909770930376E-5</v>
      </c>
      <c r="L105" s="139">
        <f t="shared" si="11"/>
        <v>-3.1837503486897845E-6</v>
      </c>
      <c r="M105" s="143">
        <f t="shared" si="28"/>
        <v>9.4600301356039331</v>
      </c>
      <c r="N105" s="143">
        <f t="shared" si="16"/>
        <v>0.59523672149565821</v>
      </c>
      <c r="O105" s="167">
        <f t="shared" ref="O105" si="73">I105-M105</f>
        <v>2.0899097741278183E-7</v>
      </c>
      <c r="P105" s="143">
        <f t="shared" ref="P105" si="74">J105-N105</f>
        <v>-3.1837503522424981E-8</v>
      </c>
      <c r="Q105" s="315">
        <f t="shared" si="14"/>
        <v>5.6772936701087051</v>
      </c>
      <c r="R105" s="6"/>
    </row>
    <row r="106" spans="1:31" x14ac:dyDescent="0.25">
      <c r="A106" s="262"/>
      <c r="B106" s="146"/>
      <c r="C106" s="76"/>
      <c r="D106" s="76"/>
      <c r="E106" s="76"/>
      <c r="F106" s="77"/>
      <c r="I106" s="143">
        <f t="shared" ref="I106" si="75">M105</f>
        <v>9.4600301356039331</v>
      </c>
      <c r="J106" s="143">
        <f t="shared" ref="J106" si="76">N105</f>
        <v>0.59523672149565821</v>
      </c>
      <c r="K106" s="139">
        <f t="shared" si="15"/>
        <v>2.0904054756224845E-5</v>
      </c>
      <c r="L106" s="139">
        <f t="shared" si="11"/>
        <v>-3.0970772160188176E-6</v>
      </c>
      <c r="M106" s="143">
        <f t="shared" si="28"/>
        <v>9.4600299265633847</v>
      </c>
      <c r="N106" s="143">
        <f t="shared" si="16"/>
        <v>0.59523675246643037</v>
      </c>
      <c r="O106" s="167">
        <f t="shared" ref="O106" si="77">I106-M106</f>
        <v>2.0904054842674213E-7</v>
      </c>
      <c r="P106" s="143">
        <f t="shared" ref="P106" si="78">J106-N106</f>
        <v>-3.097077216906996E-8</v>
      </c>
      <c r="Q106" s="315">
        <f t="shared" si="14"/>
        <v>5.6772936701042349</v>
      </c>
      <c r="R106" s="6"/>
    </row>
    <row r="107" spans="1:31" x14ac:dyDescent="0.25">
      <c r="A107" s="262"/>
      <c r="B107" s="146"/>
      <c r="C107" s="76"/>
      <c r="D107" s="76"/>
      <c r="E107" s="76"/>
      <c r="F107" s="77"/>
      <c r="I107" s="143">
        <f t="shared" ref="I107" si="79">M106</f>
        <v>9.4600299265633847</v>
      </c>
      <c r="J107" s="143">
        <f t="shared" ref="J107" si="80">N106</f>
        <v>0.59523675246643037</v>
      </c>
      <c r="K107" s="139">
        <f t="shared" si="15"/>
        <v>2.0903137796087396E-5</v>
      </c>
      <c r="L107" s="139">
        <f t="shared" si="11"/>
        <v>-3.0513301088793314E-6</v>
      </c>
      <c r="M107" s="143">
        <f t="shared" si="28"/>
        <v>9.4600297175320076</v>
      </c>
      <c r="N107" s="143">
        <f t="shared" si="16"/>
        <v>0.59523678297973148</v>
      </c>
      <c r="O107" s="167">
        <f t="shared" ref="O107" si="81">I107-M107</f>
        <v>2.0903137709638031E-7</v>
      </c>
      <c r="P107" s="143">
        <f t="shared" ref="P107" si="82">J107-N107</f>
        <v>-3.0513301108037183E-8</v>
      </c>
      <c r="Q107" s="315">
        <f t="shared" si="14"/>
        <v>5.6772936700997727</v>
      </c>
    </row>
    <row r="108" spans="1:31" x14ac:dyDescent="0.25">
      <c r="A108" s="262"/>
      <c r="B108" s="146"/>
      <c r="C108" s="76"/>
      <c r="D108" s="76"/>
      <c r="E108" s="76"/>
      <c r="F108" s="77"/>
      <c r="G108" s="76"/>
      <c r="I108" s="143">
        <f t="shared" ref="I108" si="83">M107</f>
        <v>9.4600297175320076</v>
      </c>
      <c r="J108" s="143">
        <f t="shared" ref="J108" si="84">N107</f>
        <v>0.59523678297973148</v>
      </c>
      <c r="K108" s="139">
        <f t="shared" ref="K108" si="85">(1/3)*((I108+$B$60*J108-$C$60)+(I108+$B$61*J108-$C$61)+(I108+$B$62*J108-$C$62))</f>
        <v>2.0899155803277836E-5</v>
      </c>
      <c r="L108" s="139">
        <f t="shared" ref="L108" si="86">(1/3)*((I108+$B$60*J108-$C$60)*$B$60+(I108+$B$61*J108-$C$61)*$B$61+(I108+$B$62*J108-$C$62)*$B$62)</f>
        <v>-3.0269467729363933E-6</v>
      </c>
      <c r="M108" s="143">
        <f t="shared" si="28"/>
        <v>9.4600295085404493</v>
      </c>
      <c r="N108" s="143">
        <f t="shared" ref="N108" si="87">J108-$E$60*L108</f>
        <v>0.59523681324919919</v>
      </c>
      <c r="O108" s="167">
        <f t="shared" ref="O108" si="88">I108-M108</f>
        <v>2.0899155828146831E-7</v>
      </c>
      <c r="P108" s="143">
        <f t="shared" ref="P108" si="89">J108-N108</f>
        <v>-3.0269467710120068E-8</v>
      </c>
      <c r="Q108" s="315">
        <f t="shared" ref="Q108" si="90">(1/6)*(($B$60*J108+I108-$C$60)^2+($B$61*J108+I108-$C$61)^2+($B$62*J108+I108-$C$62)^2)</f>
        <v>5.6772936700953096</v>
      </c>
    </row>
    <row r="109" spans="1:31" ht="15.75" thickBot="1" x14ac:dyDescent="0.3">
      <c r="A109" s="261"/>
      <c r="B109" s="153"/>
      <c r="C109" s="80"/>
      <c r="D109" s="80"/>
      <c r="E109" s="80"/>
      <c r="F109" s="82"/>
      <c r="G109" s="61"/>
      <c r="I109" s="143">
        <f t="shared" ref="I109" si="91">M108</f>
        <v>9.4600295085404493</v>
      </c>
      <c r="J109" s="143">
        <f t="shared" ref="J109" si="92">N108</f>
        <v>0.59523681324919919</v>
      </c>
      <c r="K109" s="139">
        <f t="shared" ref="K109" si="93">(1/3)*((I109+$B$60*J109-$C$60)+(I109+$B$61*J109-$C$61)+(I109+$B$62*J109-$C$62))</f>
        <v>2.089357506799653E-5</v>
      </c>
      <c r="L109" s="139">
        <f t="shared" ref="L109" si="94">(1/3)*((I109+$B$60*J109-$C$60)*$B$60+(I109+$B$61*J109-$C$61)*$B$61+(I109+$B$62*J109-$C$62)*$B$62)</f>
        <v>-3.0137156690202005E-6</v>
      </c>
      <c r="M109" s="143">
        <f t="shared" si="28"/>
        <v>9.4600292996046988</v>
      </c>
      <c r="N109" s="143">
        <f t="shared" ref="N109" si="95">J109-$E$60*L109</f>
        <v>0.59523684338635585</v>
      </c>
      <c r="O109" s="167">
        <f t="shared" ref="O109" si="96">I109-M109</f>
        <v>2.0893575047864488E-7</v>
      </c>
      <c r="P109" s="143">
        <f t="shared" ref="P109" si="97">J109-N109</f>
        <v>-3.013715665911576E-8</v>
      </c>
      <c r="Q109" s="315">
        <f t="shared" ref="Q109" si="98">(1/6)*(($B$60*J109+I109-$C$60)^2+($B$61*J109+I109-$C$61)^2+($B$62*J109+I109-$C$62)^2)</f>
        <v>5.6772936700908518</v>
      </c>
    </row>
    <row r="110" spans="1:31" x14ac:dyDescent="0.25">
      <c r="I110" s="143">
        <f t="shared" ref="I110" si="99">M109</f>
        <v>9.4600292996046988</v>
      </c>
      <c r="J110" s="143">
        <f t="shared" ref="J110" si="100">N109</f>
        <v>0.59523684338635585</v>
      </c>
      <c r="K110" s="139">
        <f t="shared" ref="K110" si="101">(1/3)*((I110+$B$60*J110-$C$60)+(I110+$B$61*J110-$C$61)+(I110+$B$62*J110-$C$62))</f>
        <v>2.0887161009971084E-5</v>
      </c>
      <c r="L110" s="139">
        <f t="shared" ref="L110" si="102">(1/3)*((I110+$B$60*J110-$C$60)*$B$60+(I110+$B$61*J110-$C$61)*$B$61+(I110+$B$62*J110-$C$62)*$B$62)</f>
        <v>-3.0063062554930298E-6</v>
      </c>
      <c r="M110" s="143">
        <f t="shared" si="28"/>
        <v>9.4600290907330891</v>
      </c>
      <c r="N110" s="143">
        <f t="shared" ref="N110" si="103">J110-$E$60*L110</f>
        <v>0.59523687344941845</v>
      </c>
      <c r="O110" s="167">
        <f t="shared" ref="O110" si="104">I110-M110</f>
        <v>2.0887160978588781E-7</v>
      </c>
      <c r="P110" s="143">
        <f t="shared" ref="P110" si="105">J110-N110</f>
        <v>-3.0063062594898327E-8</v>
      </c>
      <c r="Q110" s="315">
        <f t="shared" ref="Q110" si="106">(1/6)*(($B$60*J110+I110-$C$60)^2+($B$61*J110+I110-$C$61)^2+($B$62*J110+I110-$C$62)^2)</f>
        <v>5.6772936700863958</v>
      </c>
    </row>
    <row r="111" spans="1:31" x14ac:dyDescent="0.25">
      <c r="I111" s="143">
        <f t="shared" ref="I111" si="107">M110</f>
        <v>9.4600290907330891</v>
      </c>
      <c r="J111" s="143">
        <f t="shared" ref="J111" si="108">N110</f>
        <v>0.59523687344941845</v>
      </c>
      <c r="K111" s="139">
        <f t="shared" ref="K111" si="109">(1/3)*((I111+$B$60*J111-$C$60)+(I111+$B$61*J111-$C$61)+(I111+$B$62*J111-$C$62))</f>
        <v>2.0880313181000549E-5</v>
      </c>
      <c r="L111" s="139">
        <f t="shared" ref="L111" si="110">(1/3)*((I111+$B$60*J111-$C$60)*$B$60+(I111+$B$61*J111-$C$61)*$B$61+(I111+$B$62*J111-$C$62)*$B$62)</f>
        <v>-3.0019359691380032E-6</v>
      </c>
      <c r="M111" s="143">
        <f t="shared" si="28"/>
        <v>9.4600288819299578</v>
      </c>
      <c r="N111" s="143">
        <f t="shared" ref="N111" si="111">J111-$E$60*L111</f>
        <v>0.59523690346877811</v>
      </c>
      <c r="O111" s="167">
        <f t="shared" ref="O111" si="112">I111-M111</f>
        <v>2.0880313122972893E-7</v>
      </c>
      <c r="P111" s="143">
        <f t="shared" ref="P111" si="113">J111-N111</f>
        <v>-3.0019359664734679E-8</v>
      </c>
      <c r="Q111" s="315">
        <f t="shared" ref="Q111" si="114">(1/6)*(($B$60*J111+I111-$C$60)^2+($B$61*J111+I111-$C$61)^2+($B$62*J111+I111-$C$62)^2)</f>
        <v>5.6772936700819416</v>
      </c>
    </row>
    <row r="112" spans="1:31" x14ac:dyDescent="0.25">
      <c r="I112" s="143">
        <f t="shared" ref="I112" si="115">M111</f>
        <v>9.4600288819299578</v>
      </c>
      <c r="J112" s="143">
        <f t="shared" ref="J112" si="116">N111</f>
        <v>0.59523690346877811</v>
      </c>
      <c r="K112" s="139">
        <f t="shared" ref="K112" si="117">(1/3)*((I112+$B$60*J112-$C$60)+(I112+$B$61*J112-$C$61)+(I112+$B$62*J112-$C$62))</f>
        <v>2.0873240146102034E-5</v>
      </c>
      <c r="L112" s="139">
        <f t="shared" ref="L112" si="118">(1/3)*((I112+$B$60*J112-$C$60)*$B$60+(I112+$B$61*J112-$C$61)*$B$61+(I112+$B$62*J112-$C$62)*$B$62)</f>
        <v>-2.9991523161262039E-6</v>
      </c>
      <c r="M112" s="143">
        <f t="shared" si="28"/>
        <v>9.4600286731975558</v>
      </c>
      <c r="N112" s="143">
        <f t="shared" ref="N112" si="119">J112-$E$60*L112</f>
        <v>0.59523693346030127</v>
      </c>
      <c r="O112" s="167">
        <f t="shared" ref="O112" si="120">I112-M112</f>
        <v>2.0873240202945453E-7</v>
      </c>
      <c r="P112" s="143">
        <f t="shared" ref="P112" si="121">J112-N112</f>
        <v>-2.9991523153860555E-8</v>
      </c>
      <c r="Q112" s="315">
        <f t="shared" ref="Q112" si="122">(1/6)*(($B$60*J112+I112-$C$60)^2+($B$61*J112+I112-$C$61)^2+($B$62*J112+I112-$C$62)^2)</f>
        <v>5.6772936700774936</v>
      </c>
    </row>
    <row r="113" spans="1:17" x14ac:dyDescent="0.25">
      <c r="I113" s="143">
        <f t="shared" ref="I113" si="123">M112</f>
        <v>9.4600286731975558</v>
      </c>
      <c r="J113" s="143">
        <f t="shared" ref="J113" si="124">N112</f>
        <v>0.59523693346030127</v>
      </c>
      <c r="K113" s="139">
        <f t="shared" ref="K113" si="125">(1/3)*((I113+$B$60*J113-$C$60)+(I113+$B$61*J113-$C$61)+(I113+$B$62*J113-$C$62))</f>
        <v>2.0866050779370461E-5</v>
      </c>
      <c r="L113" s="139">
        <f t="shared" ref="L113" si="126">(1/3)*((I113+$B$60*J113-$C$60)*$B$60+(I113+$B$61*J113-$C$61)*$B$61+(I113+$B$62*J113-$C$62)*$B$62)</f>
        <v>-2.9971970671264594E-6</v>
      </c>
      <c r="M113" s="143">
        <f t="shared" si="28"/>
        <v>9.4600284645370483</v>
      </c>
      <c r="N113" s="143">
        <f t="shared" ref="N113" si="127">J113-$E$60*L113</f>
        <v>0.59523696343227195</v>
      </c>
      <c r="O113" s="167">
        <f t="shared" ref="O113" si="128">I113-M113</f>
        <v>2.0866050753909349E-7</v>
      </c>
      <c r="P113" s="143">
        <f t="shared" ref="P113" si="129">J113-N113</f>
        <v>-2.9971970683106974E-8</v>
      </c>
      <c r="Q113" s="315">
        <f t="shared" ref="Q113" si="130">(1/6)*(($B$60*J113+I113-$C$60)^2+($B$61*J113+I113-$C$61)^2+($B$62*J113+I113-$C$62)^2)</f>
        <v>5.6772936700730483</v>
      </c>
    </row>
    <row r="114" spans="1:17" x14ac:dyDescent="0.25">
      <c r="I114" s="143">
        <f t="shared" ref="I114" si="131">M113</f>
        <v>9.4600284645370483</v>
      </c>
      <c r="J114" s="143">
        <f t="shared" ref="J114" si="132">N113</f>
        <v>0.59523696343227195</v>
      </c>
      <c r="K114" s="139">
        <f t="shared" ref="K114" si="133">(1/3)*((I114+$B$60*J114-$C$60)+(I114+$B$61*J114-$C$61)+(I114+$B$62*J114-$C$62))</f>
        <v>2.0858801915935032E-5</v>
      </c>
      <c r="L114" s="139">
        <f t="shared" ref="L114" si="134">(1/3)*((I114+$B$60*J114-$C$60)*$B$60+(I114+$B$61*J114-$C$61)*$B$61+(I114+$B$62*J114-$C$62)*$B$62)</f>
        <v>-2.9956744077945055E-6</v>
      </c>
      <c r="M114" s="143">
        <f t="shared" si="28"/>
        <v>9.4600282559490285</v>
      </c>
      <c r="N114" s="143">
        <f t="shared" ref="N114" si="135">J114-$E$60*L114</f>
        <v>0.59523699338901603</v>
      </c>
      <c r="O114" s="167">
        <f t="shared" ref="O114" si="136">I114-M114</f>
        <v>2.0858801974554808E-7</v>
      </c>
      <c r="P114" s="143">
        <f t="shared" ref="P114" si="137">J114-N114</f>
        <v>-2.9956744085346543E-8</v>
      </c>
      <c r="Q114" s="315">
        <f t="shared" ref="Q114" si="138">(1/6)*(($B$60*J114+I114-$C$60)^2+($B$61*J114+I114-$C$61)^2+($B$62*J114+I114-$C$62)^2)</f>
        <v>5.6772936700686039</v>
      </c>
    </row>
    <row r="115" spans="1:17" x14ac:dyDescent="0.25">
      <c r="I115" s="143">
        <f t="shared" ref="I115" si="139">M114</f>
        <v>9.4600282559490285</v>
      </c>
      <c r="J115" s="143">
        <f t="shared" ref="J115" si="140">N114</f>
        <v>0.59523699338901603</v>
      </c>
      <c r="K115" s="139">
        <f t="shared" ref="K115" si="141">(1/3)*((I115+$B$60*J115-$C$60)+(I115+$B$61*J115-$C$61)+(I115+$B$62*J115-$C$62))</f>
        <v>2.0851523216218006E-5</v>
      </c>
      <c r="L115" s="139">
        <f t="shared" ref="L115" si="142">(1/3)*((I115+$B$60*J115-$C$60)*$B$60+(I115+$B$61*J115-$C$61)*$B$61+(I115+$B$62*J115-$C$62)*$B$62)</f>
        <v>-2.9943777706264996E-6</v>
      </c>
      <c r="M115" s="143">
        <f t="shared" si="28"/>
        <v>9.4600280474337968</v>
      </c>
      <c r="N115" s="143">
        <f t="shared" ref="N115" si="143">J115-$E$60*L115</f>
        <v>0.59523702333279371</v>
      </c>
      <c r="O115" s="167">
        <f t="shared" ref="O115" si="144">I115-M115</f>
        <v>2.0851523174769682E-7</v>
      </c>
      <c r="P115" s="143">
        <f t="shared" ref="P115" si="145">J115-N115</f>
        <v>-2.9943777679619643E-8</v>
      </c>
      <c r="Q115" s="315">
        <f t="shared" ref="Q115" si="146">(1/6)*(($B$60*J115+I115-$C$60)^2+($B$61*J115+I115-$C$61)^2+($B$62*J115+I115-$C$62)^2)</f>
        <v>5.6772936700641647</v>
      </c>
    </row>
    <row r="116" spans="1:17" x14ac:dyDescent="0.25">
      <c r="I116" s="143">
        <f t="shared" ref="I116" si="147">M115</f>
        <v>9.4600280474337968</v>
      </c>
      <c r="J116" s="143">
        <f t="shared" ref="J116" si="148">N115</f>
        <v>0.59523702333279371</v>
      </c>
      <c r="K116" s="139">
        <f t="shared" ref="K116" si="149">(1/3)*((I116+$B$60*J116-$C$60)+(I116+$B$61*J116-$C$61)+(I116+$B$62*J116-$C$62))</f>
        <v>2.0844230170643147E-5</v>
      </c>
      <c r="L116" s="139">
        <f t="shared" ref="L116" si="150">(1/3)*((I116+$B$60*J116-$C$60)*$B$60+(I116+$B$61*J116-$C$61)*$B$61+(I116+$B$62*J116-$C$62)*$B$62)</f>
        <v>-2.9931992694779788E-6</v>
      </c>
      <c r="M116" s="143">
        <f t="shared" si="28"/>
        <v>9.4600278389914951</v>
      </c>
      <c r="N116" s="143">
        <f t="shared" ref="N116" si="151">J116-$E$60*L116</f>
        <v>0.59523705326478638</v>
      </c>
      <c r="O116" s="167">
        <f t="shared" ref="O116" si="152">I116-M116</f>
        <v>2.084423016412984E-7</v>
      </c>
      <c r="P116" s="143">
        <f t="shared" ref="P116" si="153">J116-N116</f>
        <v>-2.9931992662213247E-8</v>
      </c>
      <c r="Q116" s="315">
        <f t="shared" ref="Q116" si="154">(1/6)*(($B$60*J116+I116-$C$60)^2+($B$61*J116+I116-$C$61)^2+($B$62*J116+I116-$C$62)^2)</f>
        <v>5.6772936700597292</v>
      </c>
    </row>
    <row r="117" spans="1:17" x14ac:dyDescent="0.25">
      <c r="I117" s="143">
        <f t="shared" ref="I117" si="155">M116</f>
        <v>9.4600278389914951</v>
      </c>
      <c r="J117" s="143">
        <f t="shared" ref="J117" si="156">N116</f>
        <v>0.59523705326478638</v>
      </c>
      <c r="K117" s="139">
        <f t="shared" ref="K117" si="157">(1/3)*((I117+$B$60*J117-$C$60)+(I117+$B$61*J117-$C$61)+(I117+$B$62*J117-$C$62))</f>
        <v>2.0836930859265596E-5</v>
      </c>
      <c r="L117" s="139">
        <f t="shared" ref="L117" si="158">(1/3)*((I117+$B$60*J117-$C$60)*$B$60+(I117+$B$61*J117-$C$61)*$B$61+(I117+$B$62*J117-$C$62)*$B$62)</f>
        <v>-2.992082625515498E-6</v>
      </c>
      <c r="M117" s="143">
        <f t="shared" si="28"/>
        <v>9.4600276306221858</v>
      </c>
      <c r="N117" s="143">
        <f t="shared" ref="N117" si="159">J117-$E$60*L117</f>
        <v>0.59523708318561264</v>
      </c>
      <c r="O117" s="167">
        <f t="shared" ref="O117" si="160">I117-M117</f>
        <v>2.083693093624106E-7</v>
      </c>
      <c r="P117" s="143">
        <f t="shared" ref="P117" si="161">J117-N117</f>
        <v>-2.9920826261076172E-8</v>
      </c>
      <c r="Q117" s="315">
        <f t="shared" ref="Q117" si="162">(1/6)*(($B$60*J117+I117-$C$60)^2+($B$61*J117+I117-$C$61)^2+($B$62*J117+I117-$C$62)^2)</f>
        <v>5.6772936700552927</v>
      </c>
    </row>
    <row r="118" spans="1:17" x14ac:dyDescent="0.25">
      <c r="I118" s="143">
        <f t="shared" ref="I118" si="163">M117</f>
        <v>9.4600276306221858</v>
      </c>
      <c r="J118" s="143">
        <f t="shared" ref="J118" si="164">N117</f>
        <v>0.59523708318561264</v>
      </c>
      <c r="K118" s="139">
        <f t="shared" ref="K118" si="165">(1/3)*((I118+$B$60*J118-$C$60)+(I118+$B$61*J118-$C$61)+(I118+$B$62*J118-$C$62))</f>
        <v>2.0829629502117086E-5</v>
      </c>
      <c r="L118" s="139">
        <f t="shared" ref="L118" si="166">(1/3)*((I118+$B$60*J118-$C$60)*$B$60+(I118+$B$61*J118-$C$61)*$B$61+(I118+$B$62*J118-$C$62)*$B$62)</f>
        <v>-2.9909984480269713E-6</v>
      </c>
      <c r="M118" s="143">
        <f t="shared" si="28"/>
        <v>9.46002742232589</v>
      </c>
      <c r="N118" s="143">
        <f t="shared" ref="N118" si="167">J118-$E$60*L118</f>
        <v>0.59523711309559713</v>
      </c>
      <c r="O118" s="167">
        <f t="shared" ref="O118" si="168">I118-M118</f>
        <v>2.0829629576724074E-7</v>
      </c>
      <c r="P118" s="143">
        <f t="shared" ref="P118" si="169">J118-N118</f>
        <v>-2.9909984489151498E-8</v>
      </c>
      <c r="Q118" s="315">
        <f t="shared" ref="Q118" si="170">(1/6)*(($B$60*J118+I118-$C$60)^2+($B$61*J118+I118-$C$61)^2+($B$62*J118+I118-$C$62)^2)</f>
        <v>5.6772936700508652</v>
      </c>
    </row>
    <row r="119" spans="1:17" x14ac:dyDescent="0.25">
      <c r="I119" s="143">
        <f t="shared" ref="I119" si="171">M118</f>
        <v>9.46002742232589</v>
      </c>
      <c r="J119" s="143">
        <f t="shared" ref="J119" si="172">N118</f>
        <v>0.59523711309559713</v>
      </c>
      <c r="K119" s="139">
        <f t="shared" ref="K119" si="173">(1/3)*((I119+$B$60*J119-$C$60)+(I119+$B$61*J119-$C$61)+(I119+$B$62*J119-$C$62))</f>
        <v>2.0822328301880095E-5</v>
      </c>
      <c r="L119" s="139">
        <f t="shared" ref="L119" si="174">(1/3)*((I119+$B$60*J119-$C$60)*$B$60+(I119+$B$61*J119-$C$61)*$B$61+(I119+$B$62*J119-$C$62)*$B$62)</f>
        <v>-2.9899313842562947E-6</v>
      </c>
      <c r="M119" s="143">
        <f>I119-$E$59*K119</f>
        <v>9.4600272141026078</v>
      </c>
      <c r="N119" s="143">
        <f t="shared" ref="N119" si="175">J119-$E$60*L119</f>
        <v>0.59523714299491093</v>
      </c>
      <c r="O119" s="167">
        <f t="shared" ref="O119" si="176">I119-M119</f>
        <v>2.0822328217207087E-7</v>
      </c>
      <c r="P119" s="143">
        <f t="shared" ref="P119" si="177">J119-N119</f>
        <v>-2.9899313802594918E-8</v>
      </c>
      <c r="Q119" s="315">
        <f t="shared" ref="Q119" si="178">(1/6)*(($B$60*J119+I119-$C$60)^2+($B$61*J119+I119-$C$61)^2+($B$62*J119+I119-$C$62)^2)</f>
        <v>5.6772936700464349</v>
      </c>
    </row>
    <row r="120" spans="1:17" x14ac:dyDescent="0.25">
      <c r="I120" s="143">
        <f t="shared" ref="I120" si="179">M119</f>
        <v>9.4600272141026078</v>
      </c>
      <c r="J120" s="143">
        <f t="shared" ref="J120" si="180">N119</f>
        <v>0.59523714299491093</v>
      </c>
      <c r="K120" s="139">
        <f t="shared" ref="K120" si="181">(1/3)*((I120+$B$60*J120-$C$60)+(I120+$B$61*J120-$C$61)+(I120+$B$62*J120-$C$62))</f>
        <v>2.0815028408449621E-5</v>
      </c>
      <c r="L120" s="139">
        <f t="shared" ref="L120" si="182">(1/3)*((I120+$B$60*J120-$C$60)*$B$60+(I120+$B$61*J120-$C$61)*$B$61+(I120+$B$62*J120-$C$62)*$B$62)</f>
        <v>-2.988873426386836E-6</v>
      </c>
      <c r="M120" s="143">
        <f>I120-$E$59*K120</f>
        <v>9.4600270059523233</v>
      </c>
      <c r="N120" s="143">
        <f t="shared" ref="N120" si="183">J120-$E$60*L120</f>
        <v>0.59523717288364519</v>
      </c>
      <c r="O120" s="167">
        <f t="shared" ref="O120" si="184">I120-M120</f>
        <v>2.0815028456411255E-7</v>
      </c>
      <c r="P120" s="143">
        <f t="shared" ref="P120" si="185">J120-N120</f>
        <v>-2.988873426534866E-8</v>
      </c>
      <c r="Q120" s="315">
        <f t="shared" ref="Q120" si="186">(1/6)*(($B$60*J120+I120-$C$60)^2+($B$61*J120+I120-$C$61)^2+($B$62*J120+I120-$C$62)^2)</f>
        <v>5.6772936700420118</v>
      </c>
    </row>
    <row r="121" spans="1:17" x14ac:dyDescent="0.25">
      <c r="I121" s="143">
        <f t="shared" ref="I121" si="187">M120</f>
        <v>9.4600270059523233</v>
      </c>
      <c r="J121" s="143">
        <f t="shared" ref="J121" si="188">N120</f>
        <v>0.59523717288364519</v>
      </c>
      <c r="K121" s="139">
        <f t="shared" ref="K121" si="189">(1/3)*((I121+$B$60*J121-$C$60)+(I121+$B$61*J121-$C$61)+(I121+$B$62*J121-$C$62))</f>
        <v>2.0807730418681558E-5</v>
      </c>
      <c r="L121" s="139">
        <f t="shared" ref="L121" si="190">(1/3)*((I121+$B$60*J121-$C$60)*$B$60+(I121+$B$61*J121-$C$61)*$B$61+(I121+$B$62*J121-$C$62)*$B$62)</f>
        <v>-2.9878204061972724E-6</v>
      </c>
      <c r="M121" s="143">
        <f>I121-$E$59*K121</f>
        <v>9.4600267978750185</v>
      </c>
      <c r="N121" s="143">
        <f t="shared" ref="N121" si="191">J121-$E$60*L121</f>
        <v>0.59523720276184922</v>
      </c>
      <c r="O121" s="167">
        <f t="shared" ref="O121" si="192">I121-M121</f>
        <v>2.0807730471972263E-7</v>
      </c>
      <c r="P121" s="143">
        <f t="shared" ref="P121" si="193">J121-N121</f>
        <v>-2.9878204022004695E-8</v>
      </c>
      <c r="Q121" s="315">
        <f t="shared" ref="Q121" si="194">(1/6)*(($B$60*J121+I121-$C$60)^2+($B$61*J121+I121-$C$61)^2+($B$62*J121+I121-$C$62)^2)</f>
        <v>5.6772936700375904</v>
      </c>
    </row>
    <row r="122" spans="1:17" x14ac:dyDescent="0.25">
      <c r="I122" s="143">
        <f t="shared" ref="I122" si="195">M121</f>
        <v>9.4600267978750185</v>
      </c>
      <c r="J122" s="143">
        <f t="shared" ref="J122" si="196">N121</f>
        <v>0.59523720276184922</v>
      </c>
      <c r="K122" s="139">
        <f t="shared" ref="K122" si="197">(1/3)*((I122+$B$60*J122-$C$60)+(I122+$B$61*J122-$C$61)+(I122+$B$62*J122-$C$62))</f>
        <v>2.0800434644622591E-5</v>
      </c>
      <c r="L122" s="139">
        <f t="shared" ref="L122" si="198">(1/3)*((I122+$B$60*J122-$C$60)*$B$60+(I122+$B$61*J122-$C$61)*$B$61+(I122+$B$62*J122-$C$62)*$B$62)</f>
        <v>-2.9867701452819988E-6</v>
      </c>
      <c r="M122" s="143">
        <f t="shared" ref="M122:M124" si="199">I122-$E$59*K122</f>
        <v>9.4600265898706724</v>
      </c>
      <c r="N122" s="143">
        <f t="shared" ref="N122" si="200">J122-$E$60*L122</f>
        <v>0.59523723262955064</v>
      </c>
      <c r="O122" s="167">
        <f t="shared" ref="O122" si="201">I122-M122</f>
        <v>2.0800434619161479E-7</v>
      </c>
      <c r="P122" s="143">
        <f t="shared" ref="P122" si="202">J122-N122</f>
        <v>-2.9867701423214044E-8</v>
      </c>
      <c r="Q122" s="315">
        <f t="shared" ref="Q122" si="203">(1/6)*(($B$60*J122+I122-$C$60)^2+($B$61*J122+I122-$C$61)^2+($B$62*J122+I122-$C$62)^2)</f>
        <v>5.6772936700331726</v>
      </c>
    </row>
    <row r="123" spans="1:17" ht="15.75" thickBot="1" x14ac:dyDescent="0.3">
      <c r="I123" s="143">
        <f t="shared" ref="I123" si="204">M122</f>
        <v>9.4600265898706724</v>
      </c>
      <c r="J123" s="143">
        <f t="shared" ref="J123" si="205">N122</f>
        <v>0.59523723262955064</v>
      </c>
      <c r="K123" s="139">
        <f t="shared" ref="K123" si="206">(1/3)*((I123+$B$60*J123-$C$60)+(I123+$B$61*J123-$C$61)+(I123+$B$62*J123-$C$62))</f>
        <v>2.0793141252066029E-5</v>
      </c>
      <c r="L123" s="139">
        <f t="shared" ref="L123" si="207">(1/3)*((I123+$B$60*J123-$C$60)*$B$60+(I123+$B$61*J123-$C$61)*$B$61+(I123+$B$62*J123-$C$62)*$B$62)</f>
        <v>-2.9857214839760595E-6</v>
      </c>
      <c r="M123" s="143">
        <f t="shared" si="199"/>
        <v>9.4600263819392598</v>
      </c>
      <c r="N123" s="143">
        <f t="shared" ref="N123" si="208">J123-$E$60*L123</f>
        <v>0.59523726248676545</v>
      </c>
      <c r="O123" s="167">
        <f t="shared" ref="O123" si="209">I123-M123</f>
        <v>2.0793141253250269E-7</v>
      </c>
      <c r="P123" s="143">
        <f t="shared" ref="P123" si="210">J123-N123</f>
        <v>-2.9857214811634947E-8</v>
      </c>
      <c r="Q123" s="315">
        <f t="shared" ref="Q123" si="211">(1/6)*(($B$60*J123+I123-$C$60)^2+($B$61*J123+I123-$C$61)^2+($B$62*J123+I123-$C$62)^2)</f>
        <v>5.6772936700287584</v>
      </c>
    </row>
    <row r="124" spans="1:17" ht="15.75" thickBot="1" x14ac:dyDescent="0.3">
      <c r="I124" s="266">
        <f t="shared" ref="I124" si="212">M123</f>
        <v>9.4600263819392598</v>
      </c>
      <c r="J124" s="131">
        <f t="shared" ref="J124" si="213">N123</f>
        <v>0.59523726248676545</v>
      </c>
      <c r="K124" s="140">
        <f t="shared" ref="K124" si="214">(1/3)*((I124+$B$60*J124-$C$60)+(I124+$B$61*J124-$C$61)+(I124+$B$62*J124-$C$62))</f>
        <v>2.0785850323316403E-5</v>
      </c>
      <c r="L124" s="140">
        <f t="shared" ref="L124" si="215">(1/3)*((I124+$B$60*J124-$C$60)*$B$60+(I124+$B$61*J124-$C$61)*$B$61+(I124+$B$62*J124-$C$62)*$B$62)</f>
        <v>-2.9846738420028864E-6</v>
      </c>
      <c r="M124" s="144">
        <f t="shared" si="199"/>
        <v>9.4600261740807561</v>
      </c>
      <c r="N124" s="144">
        <f t="shared" ref="N124" si="216">J124-$E$60*L124</f>
        <v>0.59523729233350386</v>
      </c>
      <c r="O124" s="173">
        <f t="shared" ref="O124" si="217">I124-M124</f>
        <v>2.0785850374238635E-7</v>
      </c>
      <c r="P124" s="144">
        <f t="shared" ref="P124" si="218">J124-N124</f>
        <v>-2.9846738414107676E-8</v>
      </c>
      <c r="Q124" s="316">
        <f t="shared" ref="Q124" si="219">(1/6)*(($B$60*J124+I124-$C$60)^2+($B$61*J124+I124-$C$61)^2+($B$62*J124+I124-$C$62)^2)</f>
        <v>5.6772936700243477</v>
      </c>
    </row>
    <row r="125" spans="1:17" ht="15.75" thickBot="1" x14ac:dyDescent="0.3"/>
    <row r="126" spans="1:17" ht="15.75" thickBot="1" x14ac:dyDescent="0.3">
      <c r="A126" s="160" t="s">
        <v>371</v>
      </c>
      <c r="B126" s="161" t="s">
        <v>418</v>
      </c>
      <c r="C126" s="238">
        <f>J124</f>
        <v>0.59523726248676545</v>
      </c>
      <c r="D126" s="238" t="s">
        <v>407</v>
      </c>
      <c r="E126" s="238">
        <f>I124</f>
        <v>9.4600263819392598</v>
      </c>
      <c r="F126" s="263"/>
      <c r="G126" s="263"/>
      <c r="H126" s="263"/>
      <c r="I126" s="263"/>
      <c r="J126" s="263"/>
      <c r="K126" s="263"/>
      <c r="L126" s="263"/>
      <c r="M126" s="263"/>
      <c r="N126" s="264"/>
    </row>
    <row r="131" spans="1:18" x14ac:dyDescent="0.25">
      <c r="B131" s="268" t="s">
        <v>250</v>
      </c>
      <c r="C131" s="6" t="s">
        <v>420</v>
      </c>
      <c r="D131" s="267" t="s">
        <v>421</v>
      </c>
      <c r="E131" t="s">
        <v>422</v>
      </c>
    </row>
    <row r="132" spans="1:18" ht="15.75" thickBot="1" x14ac:dyDescent="0.3"/>
    <row r="133" spans="1:18" ht="15.75" thickBot="1" x14ac:dyDescent="0.3">
      <c r="B133" s="268" t="s">
        <v>423</v>
      </c>
      <c r="C133" s="269" t="s">
        <v>427</v>
      </c>
      <c r="D133" s="269" t="s">
        <v>426</v>
      </c>
      <c r="F133" s="271" t="s">
        <v>423</v>
      </c>
      <c r="G133" s="272" t="s">
        <v>426</v>
      </c>
      <c r="H133" s="273" t="s">
        <v>424</v>
      </c>
      <c r="I133" s="272" t="s">
        <v>428</v>
      </c>
      <c r="J133" s="270" t="s">
        <v>427</v>
      </c>
      <c r="K133" s="267" t="s">
        <v>429</v>
      </c>
      <c r="L133" s="267" t="s">
        <v>430</v>
      </c>
      <c r="M133" s="6"/>
    </row>
    <row r="134" spans="1:18" x14ac:dyDescent="0.25">
      <c r="A134" s="6" t="s">
        <v>425</v>
      </c>
      <c r="B134" s="268"/>
      <c r="C134" s="6" t="s">
        <v>424</v>
      </c>
      <c r="D134" s="267" t="s">
        <v>428</v>
      </c>
    </row>
    <row r="135" spans="1:18" x14ac:dyDescent="0.25">
      <c r="B135" s="269"/>
      <c r="C135" s="267"/>
      <c r="D135" s="267" t="s">
        <v>429</v>
      </c>
    </row>
    <row r="136" spans="1:18" ht="15.75" thickBot="1" x14ac:dyDescent="0.3"/>
    <row r="137" spans="1:18" ht="15.75" thickBot="1" x14ac:dyDescent="0.3">
      <c r="A137" s="461" t="s">
        <v>431</v>
      </c>
      <c r="B137" s="462"/>
      <c r="C137" s="462"/>
      <c r="D137" s="462"/>
      <c r="E137" s="462"/>
      <c r="F137" s="462"/>
      <c r="G137" s="462"/>
      <c r="H137" s="462"/>
      <c r="I137" s="462"/>
      <c r="J137" s="462"/>
      <c r="K137" s="462"/>
      <c r="L137" s="462"/>
      <c r="M137" s="462"/>
      <c r="N137" s="463"/>
    </row>
    <row r="138" spans="1:18" ht="15.75" thickBot="1" x14ac:dyDescent="0.3">
      <c r="A138" s="464" t="s">
        <v>347</v>
      </c>
      <c r="B138" s="466"/>
      <c r="C138" s="465"/>
      <c r="D138" s="426" t="s">
        <v>348</v>
      </c>
      <c r="E138" s="427"/>
      <c r="F138" s="439"/>
      <c r="G138" s="470" t="s">
        <v>346</v>
      </c>
      <c r="H138" s="471"/>
      <c r="I138" s="137" t="s">
        <v>391</v>
      </c>
      <c r="J138" s="137" t="s">
        <v>393</v>
      </c>
      <c r="L138" s="137" t="s">
        <v>395</v>
      </c>
      <c r="M138" s="137" t="s">
        <v>410</v>
      </c>
      <c r="N138" s="137" t="s">
        <v>396</v>
      </c>
    </row>
    <row r="139" spans="1:18" ht="15.75" thickBot="1" x14ac:dyDescent="0.3">
      <c r="A139" s="248" t="s">
        <v>374</v>
      </c>
      <c r="B139" s="249" t="s">
        <v>327</v>
      </c>
      <c r="C139" s="249" t="s">
        <v>251</v>
      </c>
      <c r="D139" s="248" t="s">
        <v>416</v>
      </c>
      <c r="E139" s="134">
        <v>0.1</v>
      </c>
      <c r="F139" s="239" t="s">
        <v>344</v>
      </c>
      <c r="G139" s="251" t="s">
        <v>250</v>
      </c>
      <c r="H139" s="136" t="s">
        <v>249</v>
      </c>
      <c r="I139" s="164" t="s">
        <v>409</v>
      </c>
      <c r="J139" s="164" t="s">
        <v>339</v>
      </c>
      <c r="L139" s="164" t="s">
        <v>394</v>
      </c>
      <c r="N139" s="164" t="s">
        <v>340</v>
      </c>
      <c r="O139" s="274" t="s">
        <v>327</v>
      </c>
      <c r="P139" s="260" t="s">
        <v>432</v>
      </c>
      <c r="Q139" s="249" t="s">
        <v>251</v>
      </c>
      <c r="R139" s="260" t="s">
        <v>432</v>
      </c>
    </row>
    <row r="140" spans="1:18" ht="15.75" thickBot="1" x14ac:dyDescent="0.3">
      <c r="A140" s="248">
        <v>1</v>
      </c>
      <c r="B140" s="275">
        <f>(O140-$P$140)/$P$142</f>
        <v>-0.20401337792642127</v>
      </c>
      <c r="C140" s="283">
        <f>Q140</f>
        <v>17.59</v>
      </c>
      <c r="D140" s="96" t="s">
        <v>417</v>
      </c>
      <c r="E140" s="135">
        <v>0.1</v>
      </c>
      <c r="F140" s="165" t="s">
        <v>344</v>
      </c>
      <c r="G140" s="286">
        <v>13.46</v>
      </c>
      <c r="H140" s="245">
        <v>1.7789999999999999</v>
      </c>
      <c r="I140" s="240">
        <f>G140+H140*B140</f>
        <v>13.097060200668897</v>
      </c>
      <c r="J140" s="164">
        <f>I140-C140</f>
        <v>-4.4929397993311024</v>
      </c>
      <c r="L140" s="217">
        <f>J140^2</f>
        <v>20.186508040413408</v>
      </c>
      <c r="N140" s="164">
        <f>B140*J140</f>
        <v>0.91661982528159558</v>
      </c>
      <c r="O140" s="289">
        <v>6.11</v>
      </c>
      <c r="P140" s="140">
        <f>AVERAGE(O140:O142)</f>
        <v>6.72</v>
      </c>
      <c r="Q140" s="289">
        <v>17.59</v>
      </c>
      <c r="R140" s="258">
        <f>AVERAGE(Q140:Q142)</f>
        <v>13.459999999999999</v>
      </c>
    </row>
    <row r="141" spans="1:18" x14ac:dyDescent="0.25">
      <c r="A141" s="100">
        <v>1</v>
      </c>
      <c r="B141" s="276">
        <f t="shared" ref="B141:B142" si="220">(O141-$P$140)/$P$142</f>
        <v>-0.3979933110367892</v>
      </c>
      <c r="C141" s="284">
        <f>Q141</f>
        <v>9.1300000000000008</v>
      </c>
      <c r="D141" s="96" t="s">
        <v>345</v>
      </c>
      <c r="E141" s="135">
        <v>1.0000000000000001E-5</v>
      </c>
      <c r="F141" s="165" t="s">
        <v>350</v>
      </c>
      <c r="G141" s="287">
        <f>G140</f>
        <v>13.46</v>
      </c>
      <c r="H141" s="246">
        <f>H140</f>
        <v>1.7789999999999999</v>
      </c>
      <c r="I141" s="241">
        <f t="shared" ref="I141:I142" si="221">G141+H141*B141</f>
        <v>12.751969899665553</v>
      </c>
      <c r="J141" s="139">
        <f>I141-C141</f>
        <v>3.6219698996655527</v>
      </c>
      <c r="L141" s="218">
        <f t="shared" ref="L141:L142" si="222">J141^2</f>
        <v>13.118665954083294</v>
      </c>
      <c r="N141" s="139">
        <f>B141*J141</f>
        <v>-1.4415197928434804</v>
      </c>
      <c r="O141" s="96">
        <v>5.53</v>
      </c>
      <c r="P141" s="260" t="s">
        <v>433</v>
      </c>
      <c r="Q141" s="96">
        <v>9.1300000000000008</v>
      </c>
      <c r="R141" s="260" t="s">
        <v>433</v>
      </c>
    </row>
    <row r="142" spans="1:18" ht="15.75" thickBot="1" x14ac:dyDescent="0.3">
      <c r="A142" s="250">
        <v>1</v>
      </c>
      <c r="B142" s="277">
        <f t="shared" si="220"/>
        <v>0.60200668896321075</v>
      </c>
      <c r="C142" s="285">
        <f>Q142</f>
        <v>13.66</v>
      </c>
      <c r="D142" s="163" t="s">
        <v>349</v>
      </c>
      <c r="E142" s="141">
        <v>0.05</v>
      </c>
      <c r="F142" s="166" t="s">
        <v>401</v>
      </c>
      <c r="G142" s="288">
        <f>G140</f>
        <v>13.46</v>
      </c>
      <c r="H142" s="233">
        <f>H140</f>
        <v>1.7789999999999999</v>
      </c>
      <c r="I142" s="242">
        <f t="shared" si="221"/>
        <v>14.530969899665553</v>
      </c>
      <c r="J142" s="140">
        <f>I142-C142</f>
        <v>0.87096989966555327</v>
      </c>
      <c r="L142" s="219">
        <f t="shared" si="222"/>
        <v>0.75858856612342396</v>
      </c>
      <c r="N142" s="140">
        <f t="shared" ref="N142" si="223">B142*J142</f>
        <v>0.5243297054842796</v>
      </c>
      <c r="O142" s="163">
        <v>8.52</v>
      </c>
      <c r="P142" s="261">
        <f>MAX(O140:O142)-MIN(O140:O142)</f>
        <v>2.9899999999999993</v>
      </c>
      <c r="Q142" s="163">
        <v>13.66</v>
      </c>
      <c r="R142" s="261">
        <f>MAX(Q140:Q142)-MIN(Q140:Q142)</f>
        <v>8.4599999999999991</v>
      </c>
    </row>
    <row r="143" spans="1:18" ht="15.75" thickBot="1" x14ac:dyDescent="0.3">
      <c r="I143" s="158" t="s">
        <v>415</v>
      </c>
      <c r="J143" s="298">
        <f>SUM(J140:J142)*(1/3)</f>
        <v>1.1842378929335002E-15</v>
      </c>
      <c r="K143" s="252" t="s">
        <v>399</v>
      </c>
      <c r="L143" s="243">
        <f>SUM(L140:L142)*(1/6)</f>
        <v>5.6772937601033533</v>
      </c>
      <c r="M143" s="158" t="s">
        <v>414</v>
      </c>
      <c r="N143" s="298">
        <f>SUM(N140:N142)*(1/3)</f>
        <v>-1.9008735920174785E-4</v>
      </c>
      <c r="Q143" s="76"/>
    </row>
    <row r="144" spans="1:18" ht="15.75" thickBot="1" x14ac:dyDescent="0.3">
      <c r="A144" s="467" t="s">
        <v>397</v>
      </c>
      <c r="B144" s="468"/>
      <c r="C144" s="468"/>
      <c r="D144" s="468"/>
      <c r="E144" s="468"/>
      <c r="F144" s="469"/>
    </row>
    <row r="145" spans="1:18" ht="15.75" thickBot="1" x14ac:dyDescent="0.3">
      <c r="B145" s="168" t="s">
        <v>250</v>
      </c>
      <c r="C145" s="253">
        <f>$J$145*1.35</f>
        <v>18.171000000000003</v>
      </c>
      <c r="D145" s="253">
        <f>$J$145*1.3</f>
        <v>17.498000000000001</v>
      </c>
      <c r="E145" s="253">
        <f>J145*1.25</f>
        <v>16.825000000000003</v>
      </c>
      <c r="F145" s="253">
        <f>J145*1.2</f>
        <v>16.152000000000001</v>
      </c>
      <c r="G145" s="253">
        <f>J145*1.15</f>
        <v>15.478999999999999</v>
      </c>
      <c r="H145" s="253">
        <f>J145*1.1</f>
        <v>14.806000000000003</v>
      </c>
      <c r="I145" s="253">
        <f>J145*1.05</f>
        <v>14.133000000000001</v>
      </c>
      <c r="J145" s="254">
        <f>G140</f>
        <v>13.46</v>
      </c>
      <c r="K145" s="255">
        <f>J145+E141</f>
        <v>13.46001</v>
      </c>
      <c r="L145" s="253">
        <f>J145*0.95</f>
        <v>12.787000000000001</v>
      </c>
      <c r="M145" s="253">
        <f>J145*0.9</f>
        <v>12.114000000000001</v>
      </c>
      <c r="N145" s="253">
        <f>J145*0.85</f>
        <v>11.441000000000001</v>
      </c>
      <c r="O145" s="253">
        <f>J145*0.8</f>
        <v>10.768000000000001</v>
      </c>
      <c r="P145" s="253">
        <f>J145*0.75</f>
        <v>10.095000000000001</v>
      </c>
      <c r="Q145" s="253">
        <f>$J$145*0.7</f>
        <v>9.4220000000000006</v>
      </c>
      <c r="R145" s="256">
        <f>$J$145*0.65</f>
        <v>8.7490000000000006</v>
      </c>
    </row>
    <row r="146" spans="1:18" x14ac:dyDescent="0.25">
      <c r="A146" s="169"/>
      <c r="B146" s="180">
        <f>$B$152*1.12</f>
        <v>1.99248</v>
      </c>
      <c r="C146" s="331">
        <f t="shared" ref="C146:E159" si="224">(1/6)*(($B$140*$B146+C$145-$C$140)^2+($B$141*$B146+C$145-$C$141)^2+($B$142*$B146+C$145-$C$142)^2)</f>
        <v>16.778285700526503</v>
      </c>
      <c r="D146" s="331">
        <f t="shared" si="224"/>
        <v>13.834247200526494</v>
      </c>
      <c r="E146" s="331">
        <f t="shared" si="224"/>
        <v>11.343137700526501</v>
      </c>
      <c r="F146" s="331">
        <f t="shared" ref="F146:R153" si="225">(1/6)*(($B$140*$B146+F$145-$C$140)^2+($B$141*$B146+F$145-$C$141)^2+($B$142*$B146+F$145-$C$142)^2)</f>
        <v>9.3049572005264913</v>
      </c>
      <c r="G146" s="331">
        <f t="shared" si="225"/>
        <v>7.7197057005264869</v>
      </c>
      <c r="H146" s="331">
        <f t="shared" si="225"/>
        <v>6.5873832005264905</v>
      </c>
      <c r="I146" s="331">
        <f t="shared" si="225"/>
        <v>5.907989700526489</v>
      </c>
      <c r="J146" s="331">
        <f t="shared" si="225"/>
        <v>5.6815252005264885</v>
      </c>
      <c r="K146" s="331">
        <f t="shared" si="225"/>
        <v>5.6815252005764894</v>
      </c>
      <c r="L146" s="331">
        <f t="shared" si="225"/>
        <v>5.9079897005264872</v>
      </c>
      <c r="M146" s="331">
        <f t="shared" si="225"/>
        <v>6.587383200526487</v>
      </c>
      <c r="N146" s="331">
        <f t="shared" si="225"/>
        <v>7.7197057005264869</v>
      </c>
      <c r="O146" s="331">
        <f t="shared" si="225"/>
        <v>9.3049572005264842</v>
      </c>
      <c r="P146" s="331">
        <f t="shared" si="225"/>
        <v>11.343137700526485</v>
      </c>
      <c r="Q146" s="331">
        <f t="shared" si="225"/>
        <v>13.834247200526486</v>
      </c>
      <c r="R146" s="331">
        <f t="shared" si="225"/>
        <v>16.778285700526485</v>
      </c>
    </row>
    <row r="147" spans="1:18" x14ac:dyDescent="0.25">
      <c r="A147" s="170"/>
      <c r="B147" s="180">
        <f>$B$152*1.1</f>
        <v>1.9569000000000001</v>
      </c>
      <c r="C147" s="331">
        <f t="shared" si="224"/>
        <v>16.776987124307013</v>
      </c>
      <c r="D147" s="331">
        <f t="shared" si="224"/>
        <v>13.832948624307003</v>
      </c>
      <c r="E147" s="331">
        <f t="shared" si="224"/>
        <v>11.341839124307009</v>
      </c>
      <c r="F147" s="331">
        <f t="shared" si="225"/>
        <v>9.3036586243069976</v>
      </c>
      <c r="G147" s="331">
        <f t="shared" si="225"/>
        <v>7.718407124306994</v>
      </c>
      <c r="H147" s="331">
        <f t="shared" si="225"/>
        <v>6.5860846243069995</v>
      </c>
      <c r="I147" s="331">
        <f t="shared" si="225"/>
        <v>5.9066911243069962</v>
      </c>
      <c r="J147" s="331">
        <f t="shared" si="225"/>
        <v>5.6802266243069983</v>
      </c>
      <c r="K147" s="331">
        <f t="shared" si="225"/>
        <v>5.6802266243569983</v>
      </c>
      <c r="L147" s="331">
        <f t="shared" si="225"/>
        <v>5.9066911243069935</v>
      </c>
      <c r="M147" s="331">
        <f t="shared" si="225"/>
        <v>6.5860846243069968</v>
      </c>
      <c r="N147" s="331">
        <f t="shared" si="225"/>
        <v>7.718407124306994</v>
      </c>
      <c r="O147" s="331">
        <f t="shared" si="225"/>
        <v>9.3036586243069976</v>
      </c>
      <c r="P147" s="331">
        <f t="shared" si="225"/>
        <v>11.341839124306993</v>
      </c>
      <c r="Q147" s="331">
        <f t="shared" si="225"/>
        <v>13.832948624306995</v>
      </c>
      <c r="R147" s="331">
        <f t="shared" si="225"/>
        <v>16.776987124306991</v>
      </c>
    </row>
    <row r="148" spans="1:18" x14ac:dyDescent="0.25">
      <c r="A148" s="170"/>
      <c r="B148" s="180">
        <f>$B$152*1.08</f>
        <v>1.9213200000000001</v>
      </c>
      <c r="C148" s="331">
        <f t="shared" si="224"/>
        <v>16.775925882547106</v>
      </c>
      <c r="D148" s="331">
        <f t="shared" si="224"/>
        <v>13.831887382547094</v>
      </c>
      <c r="E148" s="331">
        <f t="shared" si="224"/>
        <v>11.340777882547101</v>
      </c>
      <c r="F148" s="331">
        <f t="shared" si="225"/>
        <v>9.3025973825470931</v>
      </c>
      <c r="G148" s="331">
        <f t="shared" si="225"/>
        <v>7.7173458825470904</v>
      </c>
      <c r="H148" s="331">
        <f t="shared" si="225"/>
        <v>6.5850233825470958</v>
      </c>
      <c r="I148" s="331">
        <f t="shared" si="225"/>
        <v>5.9056298825470934</v>
      </c>
      <c r="J148" s="331">
        <f t="shared" si="225"/>
        <v>5.6791653825470938</v>
      </c>
      <c r="K148" s="331">
        <f t="shared" si="225"/>
        <v>5.6791653825970929</v>
      </c>
      <c r="L148" s="331">
        <f t="shared" si="225"/>
        <v>5.9056298825470934</v>
      </c>
      <c r="M148" s="331">
        <f t="shared" si="225"/>
        <v>6.5850233825470923</v>
      </c>
      <c r="N148" s="331">
        <f t="shared" si="225"/>
        <v>7.7173458825470913</v>
      </c>
      <c r="O148" s="331">
        <f t="shared" si="225"/>
        <v>9.3025973825470913</v>
      </c>
      <c r="P148" s="331">
        <f t="shared" si="225"/>
        <v>11.340777882547091</v>
      </c>
      <c r="Q148" s="331">
        <f t="shared" si="225"/>
        <v>13.831887382547091</v>
      </c>
      <c r="R148" s="331">
        <f t="shared" si="225"/>
        <v>16.775925882547089</v>
      </c>
    </row>
    <row r="149" spans="1:18" x14ac:dyDescent="0.25">
      <c r="A149" s="170"/>
      <c r="B149" s="180">
        <f>$B$152*1.06</f>
        <v>1.88574</v>
      </c>
      <c r="C149" s="331">
        <f t="shared" si="224"/>
        <v>16.775101975246788</v>
      </c>
      <c r="D149" s="331">
        <f t="shared" si="224"/>
        <v>13.831063475246779</v>
      </c>
      <c r="E149" s="331">
        <f t="shared" si="224"/>
        <v>11.339953975246786</v>
      </c>
      <c r="F149" s="331">
        <f t="shared" si="225"/>
        <v>9.3017734752467796</v>
      </c>
      <c r="G149" s="331">
        <f t="shared" si="225"/>
        <v>7.7165219752467742</v>
      </c>
      <c r="H149" s="331">
        <f t="shared" si="225"/>
        <v>6.5841994752467814</v>
      </c>
      <c r="I149" s="331">
        <f t="shared" si="225"/>
        <v>5.9048059752467781</v>
      </c>
      <c r="J149" s="331">
        <f t="shared" si="225"/>
        <v>5.6783414752467767</v>
      </c>
      <c r="K149" s="331">
        <f t="shared" si="225"/>
        <v>5.6783414752967767</v>
      </c>
      <c r="L149" s="331">
        <f t="shared" si="225"/>
        <v>5.9048059752467754</v>
      </c>
      <c r="M149" s="331">
        <f t="shared" si="225"/>
        <v>6.584199475246777</v>
      </c>
      <c r="N149" s="331">
        <f t="shared" si="225"/>
        <v>7.7165219752467751</v>
      </c>
      <c r="O149" s="331">
        <f t="shared" si="225"/>
        <v>9.3017734752467724</v>
      </c>
      <c r="P149" s="331">
        <f t="shared" si="225"/>
        <v>11.339953975246772</v>
      </c>
      <c r="Q149" s="331">
        <f t="shared" si="225"/>
        <v>13.831063475246774</v>
      </c>
      <c r="R149" s="331">
        <f t="shared" si="225"/>
        <v>16.775101975246773</v>
      </c>
    </row>
    <row r="150" spans="1:18" x14ac:dyDescent="0.25">
      <c r="A150" s="170"/>
      <c r="B150" s="180">
        <f>$B$152*1.04</f>
        <v>1.85016</v>
      </c>
      <c r="C150" s="331">
        <f t="shared" si="224"/>
        <v>16.774515402406067</v>
      </c>
      <c r="D150" s="331">
        <f t="shared" si="224"/>
        <v>13.830476902406057</v>
      </c>
      <c r="E150" s="331">
        <f t="shared" si="224"/>
        <v>11.339367402406062</v>
      </c>
      <c r="F150" s="331">
        <f t="shared" si="225"/>
        <v>9.3011869024060516</v>
      </c>
      <c r="G150" s="331">
        <f t="shared" si="225"/>
        <v>7.7159354024060463</v>
      </c>
      <c r="H150" s="331">
        <f t="shared" si="225"/>
        <v>6.5836129024060499</v>
      </c>
      <c r="I150" s="331">
        <f t="shared" si="225"/>
        <v>5.9042194024060475</v>
      </c>
      <c r="J150" s="331">
        <f t="shared" si="225"/>
        <v>5.677754902406047</v>
      </c>
      <c r="K150" s="331">
        <f t="shared" si="225"/>
        <v>5.6777549024560461</v>
      </c>
      <c r="L150" s="331">
        <f t="shared" si="225"/>
        <v>5.9042194024060457</v>
      </c>
      <c r="M150" s="331">
        <f t="shared" si="225"/>
        <v>6.5836129024060455</v>
      </c>
      <c r="N150" s="331">
        <f t="shared" si="225"/>
        <v>7.7159354024060436</v>
      </c>
      <c r="O150" s="331">
        <f t="shared" si="225"/>
        <v>9.3011869024060445</v>
      </c>
      <c r="P150" s="331">
        <f t="shared" si="225"/>
        <v>11.339367402406042</v>
      </c>
      <c r="Q150" s="331">
        <f t="shared" si="225"/>
        <v>13.830476902406042</v>
      </c>
      <c r="R150" s="331">
        <f t="shared" si="225"/>
        <v>16.774515402406042</v>
      </c>
    </row>
    <row r="151" spans="1:18" ht="15.75" thickBot="1" x14ac:dyDescent="0.3">
      <c r="A151" s="171" t="s">
        <v>249</v>
      </c>
      <c r="B151" s="180">
        <f>$B$152*1.02</f>
        <v>1.8145799999999999</v>
      </c>
      <c r="C151" s="331">
        <f t="shared" si="224"/>
        <v>16.774166164024916</v>
      </c>
      <c r="D151" s="331">
        <f t="shared" si="224"/>
        <v>13.830127664024907</v>
      </c>
      <c r="E151" s="331">
        <f t="shared" si="224"/>
        <v>11.33901816402491</v>
      </c>
      <c r="F151" s="331">
        <f t="shared" si="225"/>
        <v>9.3008376640249075</v>
      </c>
      <c r="G151" s="331">
        <f t="shared" si="225"/>
        <v>7.7155861640249022</v>
      </c>
      <c r="H151" s="331">
        <f t="shared" si="225"/>
        <v>6.5832636640249103</v>
      </c>
      <c r="I151" s="331">
        <f t="shared" si="225"/>
        <v>5.9038701640249069</v>
      </c>
      <c r="J151" s="331">
        <f t="shared" si="225"/>
        <v>5.6774056640249073</v>
      </c>
      <c r="K151" s="331">
        <f t="shared" si="225"/>
        <v>5.6774056640749055</v>
      </c>
      <c r="L151" s="331">
        <f t="shared" si="225"/>
        <v>5.9038701640249061</v>
      </c>
      <c r="M151" s="331">
        <f t="shared" si="225"/>
        <v>6.5832636640249058</v>
      </c>
      <c r="N151" s="331">
        <f t="shared" si="225"/>
        <v>7.7155861640249057</v>
      </c>
      <c r="O151" s="331">
        <f t="shared" si="225"/>
        <v>9.300837664024904</v>
      </c>
      <c r="P151" s="331">
        <f t="shared" si="225"/>
        <v>11.339018164024907</v>
      </c>
      <c r="Q151" s="331">
        <f t="shared" si="225"/>
        <v>13.830127664024904</v>
      </c>
      <c r="R151" s="331">
        <f t="shared" si="225"/>
        <v>16.774166164024905</v>
      </c>
    </row>
    <row r="152" spans="1:18" x14ac:dyDescent="0.25">
      <c r="A152" s="170"/>
      <c r="B152" s="232">
        <f>H140</f>
        <v>1.7789999999999999</v>
      </c>
      <c r="C152" s="331">
        <f t="shared" si="224"/>
        <v>16.77405426010337</v>
      </c>
      <c r="D152" s="331">
        <f t="shared" si="224"/>
        <v>13.830015760103359</v>
      </c>
      <c r="E152" s="331">
        <f t="shared" si="224"/>
        <v>11.338906260103364</v>
      </c>
      <c r="F152" s="331">
        <f t="shared" si="225"/>
        <v>9.3007257601033579</v>
      </c>
      <c r="G152" s="331">
        <f t="shared" si="225"/>
        <v>7.7154742601033526</v>
      </c>
      <c r="H152" s="331">
        <f t="shared" si="225"/>
        <v>6.5831517601033571</v>
      </c>
      <c r="I152" s="331">
        <f t="shared" si="225"/>
        <v>5.9037582601033538</v>
      </c>
      <c r="J152" s="333">
        <f t="shared" si="225"/>
        <v>5.6772937601033533</v>
      </c>
      <c r="K152" s="334">
        <f t="shared" si="225"/>
        <v>5.6772937601533542</v>
      </c>
      <c r="L152" s="331">
        <f t="shared" si="225"/>
        <v>5.9037582601033529</v>
      </c>
      <c r="M152" s="331">
        <f t="shared" si="225"/>
        <v>6.5831517601033527</v>
      </c>
      <c r="N152" s="331">
        <f t="shared" si="225"/>
        <v>7.7154742601033526</v>
      </c>
      <c r="O152" s="331">
        <f t="shared" si="225"/>
        <v>9.3007257601033508</v>
      </c>
      <c r="P152" s="331">
        <f t="shared" si="225"/>
        <v>11.338906260103352</v>
      </c>
      <c r="Q152" s="331">
        <f t="shared" si="225"/>
        <v>13.83001576010335</v>
      </c>
      <c r="R152" s="331">
        <f t="shared" si="225"/>
        <v>16.774054260103348</v>
      </c>
    </row>
    <row r="153" spans="1:18" ht="15.75" thickBot="1" x14ac:dyDescent="0.3">
      <c r="A153" s="170"/>
      <c r="B153" s="233">
        <f>B152+E141</f>
        <v>1.77901</v>
      </c>
      <c r="C153" s="331">
        <f t="shared" si="224"/>
        <v>16.774054258211862</v>
      </c>
      <c r="D153" s="331">
        <f t="shared" si="224"/>
        <v>13.830015758211852</v>
      </c>
      <c r="E153" s="331">
        <f t="shared" si="224"/>
        <v>11.338906258211859</v>
      </c>
      <c r="F153" s="331">
        <f>(1/6)*(($B$140*$B153+F$145-$C$140)^2+($B$141*$B153+F$145-$C$141)^2+($B$142*$B153+F$145-$C$142)^2)</f>
        <v>9.3007257582118559</v>
      </c>
      <c r="G153" s="331">
        <f t="shared" si="225"/>
        <v>7.7154742582118523</v>
      </c>
      <c r="H153" s="331">
        <f t="shared" si="225"/>
        <v>6.5831517582118586</v>
      </c>
      <c r="I153" s="331">
        <f t="shared" si="225"/>
        <v>5.9037582582118553</v>
      </c>
      <c r="J153" s="335">
        <f t="shared" si="225"/>
        <v>5.6772937582118539</v>
      </c>
      <c r="K153" s="336">
        <f t="shared" si="225"/>
        <v>5.6772937582618548</v>
      </c>
      <c r="L153" s="331">
        <f t="shared" si="225"/>
        <v>5.9037582582118535</v>
      </c>
      <c r="M153" s="331">
        <f t="shared" si="225"/>
        <v>6.5831517582118524</v>
      </c>
      <c r="N153" s="331">
        <f t="shared" si="225"/>
        <v>7.7154742582118523</v>
      </c>
      <c r="O153" s="331">
        <f t="shared" si="225"/>
        <v>9.3007257582118505</v>
      </c>
      <c r="P153" s="331">
        <f t="shared" si="225"/>
        <v>11.338906258211852</v>
      </c>
      <c r="Q153" s="331">
        <f t="shared" si="225"/>
        <v>13.83001575821185</v>
      </c>
      <c r="R153" s="331">
        <f t="shared" si="225"/>
        <v>16.774054258211848</v>
      </c>
    </row>
    <row r="154" spans="1:18" x14ac:dyDescent="0.25">
      <c r="A154" s="170"/>
      <c r="B154" s="180">
        <f>$B$152*0.99</f>
        <v>1.7612099999999999</v>
      </c>
      <c r="C154" s="331">
        <f t="shared" si="224"/>
        <v>16.774087308564937</v>
      </c>
      <c r="D154" s="331">
        <f t="shared" si="224"/>
        <v>13.830048808564928</v>
      </c>
      <c r="E154" s="331">
        <f t="shared" si="224"/>
        <v>11.338939308564933</v>
      </c>
      <c r="F154" s="331">
        <f t="shared" ref="F154:R159" si="226">(1/6)*(($B$140*$B154+F$145-$C$140)^2+($B$141*$B154+F$145-$C$141)^2+($B$142*$B154+F$145-$C$142)^2)</f>
        <v>9.3007588085649235</v>
      </c>
      <c r="G154" s="331">
        <f t="shared" si="226"/>
        <v>7.7155073085649182</v>
      </c>
      <c r="H154" s="331">
        <f t="shared" si="226"/>
        <v>6.5831848085649236</v>
      </c>
      <c r="I154" s="331">
        <f t="shared" si="226"/>
        <v>5.9037913085649203</v>
      </c>
      <c r="J154" s="331">
        <f t="shared" si="226"/>
        <v>5.6773268085649189</v>
      </c>
      <c r="K154" s="331">
        <f t="shared" si="226"/>
        <v>5.6773268086149198</v>
      </c>
      <c r="L154" s="331">
        <f t="shared" si="226"/>
        <v>5.9037913085649203</v>
      </c>
      <c r="M154" s="331">
        <f t="shared" si="226"/>
        <v>6.5831848085649201</v>
      </c>
      <c r="N154" s="331">
        <f t="shared" si="226"/>
        <v>7.71550730856492</v>
      </c>
      <c r="O154" s="331">
        <f t="shared" si="226"/>
        <v>9.3007588085649182</v>
      </c>
      <c r="P154" s="331">
        <f t="shared" si="226"/>
        <v>11.338939308564919</v>
      </c>
      <c r="Q154" s="331">
        <f t="shared" si="226"/>
        <v>13.830048808564918</v>
      </c>
      <c r="R154" s="331">
        <f t="shared" si="226"/>
        <v>16.774087308564919</v>
      </c>
    </row>
    <row r="155" spans="1:18" x14ac:dyDescent="0.25">
      <c r="A155" s="170"/>
      <c r="B155" s="180">
        <f>$B$152*0.98</f>
        <v>1.74342</v>
      </c>
      <c r="C155" s="331">
        <f t="shared" si="224"/>
        <v>16.774179690641393</v>
      </c>
      <c r="D155" s="331">
        <f t="shared" si="224"/>
        <v>13.830141190641385</v>
      </c>
      <c r="E155" s="331">
        <f t="shared" si="224"/>
        <v>11.339031690641391</v>
      </c>
      <c r="F155" s="331">
        <f t="shared" si="226"/>
        <v>9.3008511906413887</v>
      </c>
      <c r="G155" s="331">
        <f t="shared" si="226"/>
        <v>7.7155996906413833</v>
      </c>
      <c r="H155" s="331">
        <f t="shared" si="226"/>
        <v>6.5832771906413914</v>
      </c>
      <c r="I155" s="331">
        <f t="shared" si="226"/>
        <v>5.9038836906413872</v>
      </c>
      <c r="J155" s="331">
        <f t="shared" si="226"/>
        <v>5.6774191906413858</v>
      </c>
      <c r="K155" s="331">
        <f t="shared" si="226"/>
        <v>5.6774191906913858</v>
      </c>
      <c r="L155" s="331">
        <f t="shared" si="226"/>
        <v>5.9038836906413863</v>
      </c>
      <c r="M155" s="331">
        <f t="shared" si="226"/>
        <v>6.5832771906413861</v>
      </c>
      <c r="N155" s="331">
        <f t="shared" si="226"/>
        <v>7.7155996906413851</v>
      </c>
      <c r="O155" s="331">
        <f t="shared" si="226"/>
        <v>9.3008511906413833</v>
      </c>
      <c r="P155" s="331">
        <f t="shared" si="226"/>
        <v>11.339031690641384</v>
      </c>
      <c r="Q155" s="331">
        <f t="shared" si="226"/>
        <v>13.830141190641381</v>
      </c>
      <c r="R155" s="331">
        <f t="shared" si="226"/>
        <v>16.774179690641382</v>
      </c>
    </row>
    <row r="156" spans="1:18" x14ac:dyDescent="0.25">
      <c r="A156" s="170"/>
      <c r="B156" s="180">
        <f>$B$152*0.97</f>
        <v>1.7256299999999998</v>
      </c>
      <c r="C156" s="331">
        <f t="shared" si="224"/>
        <v>16.774331406332763</v>
      </c>
      <c r="D156" s="331">
        <f t="shared" si="224"/>
        <v>13.830292906332753</v>
      </c>
      <c r="E156" s="331">
        <f t="shared" si="224"/>
        <v>11.33918340633276</v>
      </c>
      <c r="F156" s="331">
        <f t="shared" si="226"/>
        <v>9.3010029063327551</v>
      </c>
      <c r="G156" s="331">
        <f t="shared" si="226"/>
        <v>7.7157514063327506</v>
      </c>
      <c r="H156" s="331">
        <f t="shared" si="226"/>
        <v>6.5834289063327533</v>
      </c>
      <c r="I156" s="331">
        <f t="shared" si="226"/>
        <v>5.90403540633275</v>
      </c>
      <c r="J156" s="331">
        <f t="shared" si="226"/>
        <v>5.6775709063327486</v>
      </c>
      <c r="K156" s="331">
        <f t="shared" si="226"/>
        <v>5.6775709063827495</v>
      </c>
      <c r="L156" s="331">
        <f t="shared" si="226"/>
        <v>5.9040354063327474</v>
      </c>
      <c r="M156" s="331">
        <f t="shared" si="226"/>
        <v>6.5834289063327489</v>
      </c>
      <c r="N156" s="331">
        <f t="shared" si="226"/>
        <v>7.715751406332747</v>
      </c>
      <c r="O156" s="331">
        <f t="shared" si="226"/>
        <v>9.3010029063327462</v>
      </c>
      <c r="P156" s="331">
        <f t="shared" si="226"/>
        <v>11.339183406332745</v>
      </c>
      <c r="Q156" s="331">
        <f t="shared" si="226"/>
        <v>13.830292906332746</v>
      </c>
      <c r="R156" s="331">
        <f t="shared" si="226"/>
        <v>16.774331406332742</v>
      </c>
    </row>
    <row r="157" spans="1:18" x14ac:dyDescent="0.25">
      <c r="A157" s="170"/>
      <c r="B157" s="180">
        <f>$B$152*0.96</f>
        <v>1.7078399999999998</v>
      </c>
      <c r="C157" s="331">
        <f t="shared" si="224"/>
        <v>16.774542455639022</v>
      </c>
      <c r="D157" s="331">
        <f t="shared" si="224"/>
        <v>13.830503955639013</v>
      </c>
      <c r="E157" s="331">
        <f t="shared" si="224"/>
        <v>11.339394455639018</v>
      </c>
      <c r="F157" s="331">
        <f t="shared" si="226"/>
        <v>9.3012139556390121</v>
      </c>
      <c r="G157" s="331">
        <f t="shared" si="226"/>
        <v>7.7159624556390085</v>
      </c>
      <c r="H157" s="331">
        <f t="shared" si="226"/>
        <v>6.5836399556390131</v>
      </c>
      <c r="I157" s="331">
        <f t="shared" si="226"/>
        <v>5.9042464556390115</v>
      </c>
      <c r="J157" s="331">
        <f t="shared" si="226"/>
        <v>5.6777819556390101</v>
      </c>
      <c r="K157" s="331">
        <f t="shared" si="226"/>
        <v>5.6777819556890101</v>
      </c>
      <c r="L157" s="331">
        <f t="shared" si="226"/>
        <v>5.9042464556390089</v>
      </c>
      <c r="M157" s="331">
        <f t="shared" si="226"/>
        <v>6.5836399556390086</v>
      </c>
      <c r="N157" s="331">
        <f t="shared" si="226"/>
        <v>7.7159624556390094</v>
      </c>
      <c r="O157" s="331">
        <f t="shared" si="226"/>
        <v>9.3012139556390085</v>
      </c>
      <c r="P157" s="331">
        <f t="shared" si="226"/>
        <v>11.33939445563901</v>
      </c>
      <c r="Q157" s="331">
        <f t="shared" si="226"/>
        <v>13.83050395563901</v>
      </c>
      <c r="R157" s="331">
        <f t="shared" si="226"/>
        <v>16.774542455639008</v>
      </c>
    </row>
    <row r="158" spans="1:18" x14ac:dyDescent="0.25">
      <c r="A158" s="170"/>
      <c r="B158" s="180">
        <f>$B$152*0.95</f>
        <v>1.6900499999999998</v>
      </c>
      <c r="C158" s="331">
        <f t="shared" si="224"/>
        <v>16.77481283856018</v>
      </c>
      <c r="D158" s="331">
        <f t="shared" si="224"/>
        <v>13.83077433856017</v>
      </c>
      <c r="E158" s="331">
        <f t="shared" si="224"/>
        <v>11.339664838560175</v>
      </c>
      <c r="F158" s="331">
        <f t="shared" si="226"/>
        <v>9.3014843385601687</v>
      </c>
      <c r="G158" s="331">
        <f t="shared" si="226"/>
        <v>7.7162328385601633</v>
      </c>
      <c r="H158" s="331">
        <f t="shared" si="226"/>
        <v>6.5839103385601696</v>
      </c>
      <c r="I158" s="331">
        <f t="shared" si="226"/>
        <v>5.9045168385601663</v>
      </c>
      <c r="J158" s="331">
        <f t="shared" si="226"/>
        <v>5.6780523385601658</v>
      </c>
      <c r="K158" s="331">
        <f t="shared" si="226"/>
        <v>5.6780523386101667</v>
      </c>
      <c r="L158" s="331">
        <f t="shared" si="226"/>
        <v>5.9045168385601663</v>
      </c>
      <c r="M158" s="331">
        <f t="shared" si="226"/>
        <v>6.5839103385601661</v>
      </c>
      <c r="N158" s="331">
        <f t="shared" si="226"/>
        <v>7.7162328385601651</v>
      </c>
      <c r="O158" s="331">
        <f t="shared" si="226"/>
        <v>9.3014843385601651</v>
      </c>
      <c r="P158" s="331">
        <f t="shared" si="226"/>
        <v>11.339664838560164</v>
      </c>
      <c r="Q158" s="331">
        <f t="shared" si="226"/>
        <v>13.830774338560165</v>
      </c>
      <c r="R158" s="331">
        <f t="shared" si="226"/>
        <v>16.774812838560166</v>
      </c>
    </row>
    <row r="159" spans="1:18" ht="15.75" thickBot="1" x14ac:dyDescent="0.3">
      <c r="A159" s="172"/>
      <c r="B159" s="181">
        <f>$B$152*0.94</f>
        <v>1.6722599999999999</v>
      </c>
      <c r="C159" s="331">
        <f t="shared" si="224"/>
        <v>16.775142555096231</v>
      </c>
      <c r="D159" s="331">
        <f t="shared" si="224"/>
        <v>13.831104055096223</v>
      </c>
      <c r="E159" s="331">
        <f t="shared" si="224"/>
        <v>11.339994555096228</v>
      </c>
      <c r="F159" s="331">
        <f t="shared" si="226"/>
        <v>9.3018140550962212</v>
      </c>
      <c r="G159" s="331">
        <f t="shared" si="226"/>
        <v>7.7165625550962176</v>
      </c>
      <c r="H159" s="331">
        <f t="shared" si="226"/>
        <v>6.5842400550962248</v>
      </c>
      <c r="I159" s="331">
        <f t="shared" si="226"/>
        <v>5.9048465550962215</v>
      </c>
      <c r="J159" s="331">
        <f t="shared" si="226"/>
        <v>5.6783820550962201</v>
      </c>
      <c r="K159" s="331">
        <f t="shared" si="226"/>
        <v>5.678382055146221</v>
      </c>
      <c r="L159" s="331">
        <f t="shared" si="226"/>
        <v>5.9048465550962188</v>
      </c>
      <c r="M159" s="331">
        <f t="shared" si="226"/>
        <v>6.5842400550962203</v>
      </c>
      <c r="N159" s="331">
        <f t="shared" si="226"/>
        <v>7.7165625550962185</v>
      </c>
      <c r="O159" s="331">
        <f t="shared" si="226"/>
        <v>9.3018140550962176</v>
      </c>
      <c r="P159" s="331">
        <f t="shared" si="226"/>
        <v>11.339994555096215</v>
      </c>
      <c r="Q159" s="331">
        <f t="shared" si="226"/>
        <v>13.831104055096215</v>
      </c>
      <c r="R159" s="331">
        <f t="shared" si="226"/>
        <v>16.775142555096213</v>
      </c>
    </row>
    <row r="160" spans="1:18" ht="15.75" thickBot="1" x14ac:dyDescent="0.3"/>
    <row r="161" spans="9:18" ht="15.75" thickBot="1" x14ac:dyDescent="0.3">
      <c r="I161" s="458" t="s">
        <v>413</v>
      </c>
      <c r="J161" s="459"/>
      <c r="K161" s="459"/>
      <c r="L161" s="460"/>
      <c r="M161" s="6"/>
      <c r="N161" s="458" t="s">
        <v>412</v>
      </c>
      <c r="O161" s="459"/>
      <c r="P161" s="459"/>
      <c r="Q161" s="460"/>
    </row>
    <row r="162" spans="9:18" ht="15.75" thickBot="1" x14ac:dyDescent="0.3">
      <c r="I162" s="78"/>
      <c r="J162" s="76"/>
      <c r="K162" s="140" t="s">
        <v>211</v>
      </c>
      <c r="L162" s="140" t="s">
        <v>251</v>
      </c>
      <c r="N162" s="78"/>
      <c r="O162" s="76"/>
      <c r="P162" s="140" t="s">
        <v>211</v>
      </c>
      <c r="Q162" s="140" t="s">
        <v>251</v>
      </c>
    </row>
    <row r="163" spans="9:18" ht="15.75" thickBot="1" x14ac:dyDescent="0.3">
      <c r="I163" s="154" t="s">
        <v>365</v>
      </c>
      <c r="J163" s="247">
        <f>(K152-J152)/$D$18</f>
        <v>5.000089231543825E-6</v>
      </c>
      <c r="K163" s="142"/>
      <c r="L163" s="216"/>
      <c r="N163" s="154" t="s">
        <v>365</v>
      </c>
      <c r="O163" s="228">
        <f>(J153-J152)/$D$18</f>
        <v>-1.8914994015517547E-4</v>
      </c>
      <c r="P163" s="142"/>
      <c r="Q163" s="216"/>
    </row>
    <row r="164" spans="9:18" ht="15.75" thickBot="1" x14ac:dyDescent="0.3">
      <c r="I164" s="128"/>
      <c r="J164" s="229"/>
      <c r="K164" s="153"/>
      <c r="L164" s="214"/>
      <c r="N164" s="128"/>
      <c r="O164" s="229"/>
      <c r="P164" s="153"/>
      <c r="Q164" s="214"/>
    </row>
    <row r="165" spans="9:18" ht="15.75" thickBot="1" x14ac:dyDescent="0.3"/>
    <row r="166" spans="9:18" ht="15.75" thickBot="1" x14ac:dyDescent="0.3">
      <c r="I166" s="252" t="s">
        <v>367</v>
      </c>
      <c r="J166" s="453" t="s">
        <v>368</v>
      </c>
      <c r="K166" s="454"/>
      <c r="L166" s="454"/>
      <c r="M166" s="454"/>
      <c r="N166" s="454"/>
      <c r="O166" s="454"/>
      <c r="P166" s="454"/>
      <c r="Q166" s="455"/>
    </row>
    <row r="167" spans="9:18" ht="15.75" thickBot="1" x14ac:dyDescent="0.3">
      <c r="I167" s="138" t="s">
        <v>250</v>
      </c>
      <c r="J167" s="186" t="s">
        <v>249</v>
      </c>
      <c r="K167" s="138" t="s">
        <v>377</v>
      </c>
      <c r="L167" s="138" t="s">
        <v>378</v>
      </c>
      <c r="M167" s="168" t="s">
        <v>375</v>
      </c>
      <c r="N167" s="138" t="s">
        <v>342</v>
      </c>
      <c r="O167" s="187" t="s">
        <v>379</v>
      </c>
      <c r="P167" s="138" t="s">
        <v>320</v>
      </c>
      <c r="Q167" s="186" t="s">
        <v>314</v>
      </c>
      <c r="R167" s="6"/>
    </row>
    <row r="168" spans="9:18" x14ac:dyDescent="0.25">
      <c r="I168" s="142">
        <f>G140</f>
        <v>13.46</v>
      </c>
      <c r="J168" s="265">
        <f>H140</f>
        <v>1.7789999999999999</v>
      </c>
      <c r="K168" s="279">
        <f t="shared" ref="K168:K204" si="227">(1/3)*((I168+$B$140*J168-$C$140)+(I168+$B$141*J168-$C$141)+(I168+$B$142*J168-$C$142))</f>
        <v>1.1842378929335002E-15</v>
      </c>
      <c r="L168" s="281">
        <f t="shared" ref="L168:L204" si="228">(1/3)*((I168+$B$140*J168-$C$140)*$B$140+(I168+$B$141*J168-$C$141)*$B$141+(I168+$B$142*J168-$C$142)*$B$142)</f>
        <v>-1.9008735920174785E-4</v>
      </c>
      <c r="M168" s="142">
        <f t="shared" ref="M168:M204" si="229">I168-$E$139*K168</f>
        <v>13.46</v>
      </c>
      <c r="N168" s="265">
        <f t="shared" ref="N168:N204" si="230">J168-$E$140*L168</f>
        <v>1.7790190087359201</v>
      </c>
      <c r="O168" s="142">
        <f t="shared" ref="O168:O204" si="231">I168-M168</f>
        <v>0</v>
      </c>
      <c r="P168" s="265">
        <f t="shared" ref="P168:P204" si="232">J168-N168</f>
        <v>-1.9008735920200692E-5</v>
      </c>
      <c r="Q168" s="294">
        <f t="shared" ref="Q168:Q204" si="233">(1/6)*(($B$140*J168+I168-$C$140)^2+($B$141*J168+I168-$C$141)^2+($B$142*J168+I168-$C$142)^2)</f>
        <v>5.6772937601033533</v>
      </c>
      <c r="R168" s="6"/>
    </row>
    <row r="169" spans="9:18" x14ac:dyDescent="0.25">
      <c r="I169" s="143">
        <f t="shared" ref="I169:I204" si="234">M168</f>
        <v>13.46</v>
      </c>
      <c r="J169" s="167">
        <f t="shared" ref="J169:J204" si="235">N168</f>
        <v>1.7790190087359201</v>
      </c>
      <c r="K169" s="257">
        <f t="shared" si="227"/>
        <v>5.9211894646675012E-16</v>
      </c>
      <c r="L169" s="280">
        <f t="shared" si="228"/>
        <v>-1.865236508932962E-4</v>
      </c>
      <c r="M169" s="143">
        <f t="shared" si="229"/>
        <v>13.46</v>
      </c>
      <c r="N169" s="167">
        <f t="shared" si="230"/>
        <v>1.7790376611010095</v>
      </c>
      <c r="O169" s="143">
        <f t="shared" si="231"/>
        <v>0</v>
      </c>
      <c r="P169" s="167">
        <f t="shared" si="232"/>
        <v>-1.8652365089355527E-5</v>
      </c>
      <c r="Q169" s="295">
        <f t="shared" si="233"/>
        <v>5.6772937565239037</v>
      </c>
      <c r="R169" s="6"/>
    </row>
    <row r="170" spans="9:18" x14ac:dyDescent="0.25">
      <c r="I170" s="143">
        <f t="shared" si="234"/>
        <v>13.46</v>
      </c>
      <c r="J170" s="167">
        <f t="shared" si="235"/>
        <v>1.7790376611010095</v>
      </c>
      <c r="K170" s="257">
        <f t="shared" si="227"/>
        <v>5.9211894646675012E-16</v>
      </c>
      <c r="L170" s="280">
        <f t="shared" si="228"/>
        <v>-1.8302675405960459E-4</v>
      </c>
      <c r="M170" s="143">
        <f t="shared" si="229"/>
        <v>13.46</v>
      </c>
      <c r="N170" s="167">
        <f t="shared" si="230"/>
        <v>1.7790559637764154</v>
      </c>
      <c r="O170" s="143">
        <f t="shared" si="231"/>
        <v>0</v>
      </c>
      <c r="P170" s="167">
        <f t="shared" si="232"/>
        <v>-1.8302675405923452E-5</v>
      </c>
      <c r="Q170" s="317">
        <f t="shared" si="233"/>
        <v>5.677293753077409</v>
      </c>
      <c r="R170" s="6"/>
    </row>
    <row r="171" spans="9:18" x14ac:dyDescent="0.25">
      <c r="I171" s="143">
        <f t="shared" si="234"/>
        <v>13.46</v>
      </c>
      <c r="J171" s="167">
        <f t="shared" si="235"/>
        <v>1.7790559637764154</v>
      </c>
      <c r="K171" s="257">
        <f t="shared" si="227"/>
        <v>5.9211894646675012E-16</v>
      </c>
      <c r="L171" s="280">
        <f t="shared" si="228"/>
        <v>-1.7959541613710162E-4</v>
      </c>
      <c r="M171" s="143">
        <f t="shared" si="229"/>
        <v>13.46</v>
      </c>
      <c r="N171" s="167">
        <f t="shared" si="230"/>
        <v>1.779073923318029</v>
      </c>
      <c r="O171" s="143">
        <f t="shared" si="231"/>
        <v>0</v>
      </c>
      <c r="P171" s="167">
        <f t="shared" si="232"/>
        <v>-1.795954161365465E-5</v>
      </c>
      <c r="Q171" s="317">
        <f t="shared" si="233"/>
        <v>5.677293749758932</v>
      </c>
      <c r="R171" s="6"/>
    </row>
    <row r="172" spans="9:18" x14ac:dyDescent="0.25">
      <c r="I172" s="143">
        <f t="shared" si="234"/>
        <v>13.46</v>
      </c>
      <c r="J172" s="167">
        <f t="shared" si="235"/>
        <v>1.779073923318029</v>
      </c>
      <c r="K172" s="257">
        <f t="shared" si="227"/>
        <v>5.9211894646675012E-16</v>
      </c>
      <c r="L172" s="280">
        <f t="shared" si="228"/>
        <v>-1.7622840804502418E-4</v>
      </c>
      <c r="M172" s="143">
        <f t="shared" si="229"/>
        <v>13.46</v>
      </c>
      <c r="N172" s="167">
        <f t="shared" si="230"/>
        <v>1.7790915461588335</v>
      </c>
      <c r="O172" s="143">
        <f t="shared" si="231"/>
        <v>0</v>
      </c>
      <c r="P172" s="167">
        <f t="shared" si="232"/>
        <v>-1.7622840804421003E-5</v>
      </c>
      <c r="Q172" s="317">
        <f t="shared" si="233"/>
        <v>5.6772937465637137</v>
      </c>
      <c r="R172" s="6"/>
    </row>
    <row r="173" spans="9:18" x14ac:dyDescent="0.25">
      <c r="I173" s="143">
        <f t="shared" si="234"/>
        <v>13.46</v>
      </c>
      <c r="J173" s="167">
        <f t="shared" si="235"/>
        <v>1.7790915461588335</v>
      </c>
      <c r="K173" s="257">
        <f t="shared" si="227"/>
        <v>1.1842378929335002E-15</v>
      </c>
      <c r="L173" s="280">
        <f t="shared" si="228"/>
        <v>-1.7292452374343772E-4</v>
      </c>
      <c r="M173" s="143">
        <f t="shared" si="229"/>
        <v>13.46</v>
      </c>
      <c r="N173" s="167">
        <f t="shared" si="230"/>
        <v>1.7791088386112077</v>
      </c>
      <c r="O173" s="143">
        <f t="shared" si="231"/>
        <v>0</v>
      </c>
      <c r="P173" s="167">
        <f t="shared" si="232"/>
        <v>-1.7292452374251255E-5</v>
      </c>
      <c r="Q173" s="317">
        <f t="shared" si="233"/>
        <v>5.6772937434871809</v>
      </c>
      <c r="R173" s="6"/>
    </row>
    <row r="174" spans="9:18" x14ac:dyDescent="0.25">
      <c r="I174" s="143">
        <f t="shared" si="234"/>
        <v>13.46</v>
      </c>
      <c r="J174" s="167">
        <f t="shared" si="235"/>
        <v>1.7791088386112077</v>
      </c>
      <c r="K174" s="257">
        <f t="shared" si="227"/>
        <v>5.9211894646675012E-16</v>
      </c>
      <c r="L174" s="280">
        <f t="shared" si="228"/>
        <v>-1.6968257980432E-4</v>
      </c>
      <c r="M174" s="143">
        <f t="shared" si="229"/>
        <v>13.46</v>
      </c>
      <c r="N174" s="167">
        <f t="shared" si="230"/>
        <v>1.7791258068691882</v>
      </c>
      <c r="O174" s="143">
        <f t="shared" si="231"/>
        <v>0</v>
      </c>
      <c r="P174" s="167">
        <f t="shared" si="232"/>
        <v>-1.6968257980476409E-5</v>
      </c>
      <c r="Q174" s="317">
        <f t="shared" si="233"/>
        <v>5.6772937405249211</v>
      </c>
      <c r="R174" s="6"/>
    </row>
    <row r="175" spans="9:18" x14ac:dyDescent="0.25">
      <c r="I175" s="143">
        <f t="shared" si="234"/>
        <v>13.46</v>
      </c>
      <c r="J175" s="167">
        <f t="shared" si="235"/>
        <v>1.7791258068691882</v>
      </c>
      <c r="K175" s="257">
        <f t="shared" si="227"/>
        <v>5.9211894646675012E-16</v>
      </c>
      <c r="L175" s="280">
        <f t="shared" si="228"/>
        <v>-1.6650141498590157E-4</v>
      </c>
      <c r="M175" s="143">
        <f t="shared" si="229"/>
        <v>13.46</v>
      </c>
      <c r="N175" s="167">
        <f t="shared" si="230"/>
        <v>1.7791424570106869</v>
      </c>
      <c r="O175" s="143">
        <f t="shared" si="231"/>
        <v>0</v>
      </c>
      <c r="P175" s="167">
        <f t="shared" si="232"/>
        <v>-1.665014149865307E-5</v>
      </c>
      <c r="Q175" s="317">
        <f t="shared" si="233"/>
        <v>5.6772937376726933</v>
      </c>
      <c r="R175" s="6"/>
    </row>
    <row r="176" spans="9:18" x14ac:dyDescent="0.25">
      <c r="I176" s="143">
        <f t="shared" si="234"/>
        <v>13.46</v>
      </c>
      <c r="J176" s="167">
        <f t="shared" si="235"/>
        <v>1.7791424570106869</v>
      </c>
      <c r="K176" s="257">
        <f t="shared" si="227"/>
        <v>5.9211894646675012E-16</v>
      </c>
      <c r="L176" s="280">
        <f t="shared" si="228"/>
        <v>-1.6337988981744248E-4</v>
      </c>
      <c r="M176" s="143">
        <f t="shared" si="229"/>
        <v>13.46</v>
      </c>
      <c r="N176" s="167">
        <f t="shared" si="230"/>
        <v>1.7791587949996686</v>
      </c>
      <c r="O176" s="143">
        <f t="shared" si="231"/>
        <v>0</v>
      </c>
      <c r="P176" s="167">
        <f t="shared" si="232"/>
        <v>-1.6337988981707241E-5</v>
      </c>
      <c r="Q176" s="317">
        <f t="shared" si="233"/>
        <v>5.6772937349264101</v>
      </c>
      <c r="R176" s="6"/>
    </row>
    <row r="177" spans="1:18" x14ac:dyDescent="0.25">
      <c r="I177" s="143">
        <f t="shared" si="234"/>
        <v>13.46</v>
      </c>
      <c r="J177" s="167">
        <f t="shared" si="235"/>
        <v>1.7791587949996686</v>
      </c>
      <c r="K177" s="257">
        <f t="shared" si="227"/>
        <v>5.9211894646675012E-16</v>
      </c>
      <c r="L177" s="280">
        <f t="shared" si="228"/>
        <v>-1.6031688618941181E-4</v>
      </c>
      <c r="M177" s="143">
        <f t="shared" si="229"/>
        <v>13.46</v>
      </c>
      <c r="N177" s="167">
        <f t="shared" si="230"/>
        <v>1.7791748266882874</v>
      </c>
      <c r="O177" s="143">
        <f t="shared" si="231"/>
        <v>0</v>
      </c>
      <c r="P177" s="167">
        <f t="shared" si="232"/>
        <v>-1.6031688618856066E-5</v>
      </c>
      <c r="Q177" s="317">
        <f t="shared" si="233"/>
        <v>5.6772937322821342</v>
      </c>
      <c r="R177" s="6"/>
    </row>
    <row r="178" spans="1:18" ht="15.75" thickBot="1" x14ac:dyDescent="0.3">
      <c r="I178" s="143">
        <f t="shared" si="234"/>
        <v>13.46</v>
      </c>
      <c r="J178" s="167">
        <f t="shared" si="235"/>
        <v>1.7791748266882874</v>
      </c>
      <c r="K178" s="257">
        <f t="shared" si="227"/>
        <v>5.9211894646675012E-16</v>
      </c>
      <c r="L178" s="280">
        <f t="shared" si="228"/>
        <v>-1.5731130695576892E-4</v>
      </c>
      <c r="M178" s="143">
        <f t="shared" si="229"/>
        <v>13.46</v>
      </c>
      <c r="N178" s="167">
        <f t="shared" si="230"/>
        <v>1.7791905578189831</v>
      </c>
      <c r="O178" s="143">
        <f t="shared" si="231"/>
        <v>0</v>
      </c>
      <c r="P178" s="167">
        <f t="shared" si="232"/>
        <v>-1.5731130695639806E-5</v>
      </c>
      <c r="Q178" s="317">
        <f t="shared" si="233"/>
        <v>5.6772937297360748</v>
      </c>
      <c r="R178" s="6"/>
    </row>
    <row r="179" spans="1:18" ht="15.75" thickBot="1" x14ac:dyDescent="0.3">
      <c r="A179" s="252" t="s">
        <v>369</v>
      </c>
      <c r="B179" s="456" t="s">
        <v>419</v>
      </c>
      <c r="C179" s="456"/>
      <c r="D179" s="456"/>
      <c r="E179" s="456"/>
      <c r="F179" s="457"/>
      <c r="I179" s="143">
        <f t="shared" si="234"/>
        <v>13.46</v>
      </c>
      <c r="J179" s="167">
        <f t="shared" si="235"/>
        <v>1.7791905578189831</v>
      </c>
      <c r="K179" s="257">
        <f t="shared" si="227"/>
        <v>5.9211894646675012E-16</v>
      </c>
      <c r="L179" s="280">
        <f t="shared" si="228"/>
        <v>-1.5436207553931602E-4</v>
      </c>
      <c r="M179" s="143">
        <f t="shared" si="229"/>
        <v>13.46</v>
      </c>
      <c r="N179" s="167">
        <f t="shared" si="230"/>
        <v>1.779205994026537</v>
      </c>
      <c r="O179" s="143">
        <f t="shared" si="231"/>
        <v>0</v>
      </c>
      <c r="P179" s="167">
        <f t="shared" si="232"/>
        <v>-1.5436207553953807E-5</v>
      </c>
      <c r="Q179" s="317">
        <f t="shared" si="233"/>
        <v>5.677293727284586</v>
      </c>
      <c r="R179" s="6"/>
    </row>
    <row r="180" spans="1:18" ht="15.75" thickBot="1" x14ac:dyDescent="0.3">
      <c r="A180" s="164" t="s">
        <v>211</v>
      </c>
      <c r="B180" s="259" t="s">
        <v>251</v>
      </c>
      <c r="C180" s="76"/>
      <c r="D180" s="76"/>
      <c r="E180" s="76"/>
      <c r="F180" s="77"/>
      <c r="I180" s="143">
        <f t="shared" si="234"/>
        <v>13.46</v>
      </c>
      <c r="J180" s="167">
        <f t="shared" si="235"/>
        <v>1.779205994026537</v>
      </c>
      <c r="K180" s="257">
        <f t="shared" si="227"/>
        <v>0</v>
      </c>
      <c r="L180" s="280">
        <f t="shared" si="228"/>
        <v>-1.5146813554545169E-4</v>
      </c>
      <c r="M180" s="143">
        <f t="shared" si="229"/>
        <v>13.46</v>
      </c>
      <c r="N180" s="167">
        <f t="shared" si="230"/>
        <v>1.7792211408400915</v>
      </c>
      <c r="O180" s="143">
        <f t="shared" si="231"/>
        <v>0</v>
      </c>
      <c r="P180" s="167">
        <f t="shared" si="232"/>
        <v>-1.5146813554522964E-5</v>
      </c>
      <c r="Q180" s="317">
        <f t="shared" si="233"/>
        <v>5.677293724924156</v>
      </c>
      <c r="R180" s="6"/>
    </row>
    <row r="181" spans="1:18" x14ac:dyDescent="0.25">
      <c r="A181" s="260">
        <v>-300</v>
      </c>
      <c r="B181" s="145">
        <f>$J$124*A181+I204</f>
        <v>-165.11117874602962</v>
      </c>
      <c r="C181" s="76"/>
      <c r="D181" s="76"/>
      <c r="E181" s="76"/>
      <c r="F181" s="77"/>
      <c r="I181" s="143">
        <f t="shared" si="234"/>
        <v>13.46</v>
      </c>
      <c r="J181" s="167">
        <f t="shared" si="235"/>
        <v>1.7792211408400915</v>
      </c>
      <c r="K181" s="257">
        <f t="shared" si="227"/>
        <v>5.9211894646675012E-16</v>
      </c>
      <c r="L181" s="280">
        <f t="shared" si="228"/>
        <v>-1.4862845038439893E-4</v>
      </c>
      <c r="M181" s="143">
        <f t="shared" si="229"/>
        <v>13.46</v>
      </c>
      <c r="N181" s="167">
        <f t="shared" si="230"/>
        <v>1.77923600368513</v>
      </c>
      <c r="O181" s="143">
        <f t="shared" si="231"/>
        <v>0</v>
      </c>
      <c r="P181" s="167">
        <f t="shared" si="232"/>
        <v>-1.4862845038488004E-5</v>
      </c>
      <c r="Q181" s="317">
        <f t="shared" si="233"/>
        <v>5.6772937226514033</v>
      </c>
      <c r="R181" s="6"/>
    </row>
    <row r="182" spans="1:18" ht="15.75" thickBot="1" x14ac:dyDescent="0.3">
      <c r="A182" s="261">
        <v>2500</v>
      </c>
      <c r="B182" s="153">
        <f>$J$124*A182+I204</f>
        <v>1501.5531562169137</v>
      </c>
      <c r="C182" s="76"/>
      <c r="D182" s="76"/>
      <c r="E182" s="76"/>
      <c r="F182" s="77"/>
      <c r="I182" s="143">
        <f t="shared" si="234"/>
        <v>13.46</v>
      </c>
      <c r="J182" s="167">
        <f t="shared" si="235"/>
        <v>1.77923600368513</v>
      </c>
      <c r="K182" s="257">
        <f t="shared" si="227"/>
        <v>5.9211894646675012E-16</v>
      </c>
      <c r="L182" s="280">
        <f t="shared" si="228"/>
        <v>-1.4584200290157501E-4</v>
      </c>
      <c r="M182" s="143">
        <f t="shared" si="229"/>
        <v>13.46</v>
      </c>
      <c r="N182" s="167">
        <f t="shared" si="230"/>
        <v>1.7792505878854201</v>
      </c>
      <c r="O182" s="143">
        <f t="shared" si="231"/>
        <v>0</v>
      </c>
      <c r="P182" s="167">
        <f t="shared" si="232"/>
        <v>-1.458420029010199E-5</v>
      </c>
      <c r="Q182" s="317">
        <f t="shared" si="233"/>
        <v>5.6772937204630702</v>
      </c>
      <c r="R182" s="6"/>
    </row>
    <row r="183" spans="1:18" x14ac:dyDescent="0.25">
      <c r="A183" s="262"/>
      <c r="B183" s="146"/>
      <c r="C183" s="76"/>
      <c r="D183" s="76"/>
      <c r="E183" s="76"/>
      <c r="F183" s="77"/>
      <c r="I183" s="143">
        <f t="shared" si="234"/>
        <v>13.46</v>
      </c>
      <c r="J183" s="167">
        <f t="shared" si="235"/>
        <v>1.7792505878854201</v>
      </c>
      <c r="K183" s="257">
        <f t="shared" si="227"/>
        <v>5.9211894646675012E-16</v>
      </c>
      <c r="L183" s="280">
        <f t="shared" si="228"/>
        <v>-1.4310779501099563E-4</v>
      </c>
      <c r="M183" s="143">
        <f t="shared" si="229"/>
        <v>13.46</v>
      </c>
      <c r="N183" s="167">
        <f t="shared" si="230"/>
        <v>1.7792648986649213</v>
      </c>
      <c r="O183" s="143">
        <f t="shared" si="231"/>
        <v>0</v>
      </c>
      <c r="P183" s="167">
        <f t="shared" si="232"/>
        <v>-1.4310779501203186E-5</v>
      </c>
      <c r="Q183" s="317">
        <f t="shared" si="233"/>
        <v>5.6772937183560188</v>
      </c>
      <c r="R183" s="6"/>
    </row>
    <row r="184" spans="1:18" x14ac:dyDescent="0.25">
      <c r="A184" s="262"/>
      <c r="B184" s="146"/>
      <c r="C184" s="76"/>
      <c r="D184" s="76"/>
      <c r="E184" s="76"/>
      <c r="F184" s="77"/>
      <c r="I184" s="143">
        <f t="shared" si="234"/>
        <v>13.46</v>
      </c>
      <c r="J184" s="167">
        <f t="shared" si="235"/>
        <v>1.7792648986649213</v>
      </c>
      <c r="K184" s="257">
        <f t="shared" si="227"/>
        <v>1.1842378929335002E-15</v>
      </c>
      <c r="L184" s="280">
        <f t="shared" si="228"/>
        <v>-1.4042484733737629E-4</v>
      </c>
      <c r="M184" s="143">
        <f t="shared" si="229"/>
        <v>13.46</v>
      </c>
      <c r="N184" s="167">
        <f t="shared" si="230"/>
        <v>1.779278941149655</v>
      </c>
      <c r="O184" s="143">
        <f t="shared" si="231"/>
        <v>0</v>
      </c>
      <c r="P184" s="167">
        <f t="shared" si="232"/>
        <v>-1.404248473368952E-5</v>
      </c>
      <c r="Q184" s="317">
        <f t="shared" si="233"/>
        <v>5.6772937163272319</v>
      </c>
      <c r="R184" s="6"/>
    </row>
    <row r="185" spans="1:18" x14ac:dyDescent="0.25">
      <c r="A185" s="262"/>
      <c r="B185" s="146"/>
      <c r="C185" s="76"/>
      <c r="D185" s="76"/>
      <c r="E185" s="76"/>
      <c r="F185" s="77"/>
      <c r="I185" s="143">
        <f t="shared" si="234"/>
        <v>13.46</v>
      </c>
      <c r="J185" s="167">
        <f t="shared" si="235"/>
        <v>1.779278941149655</v>
      </c>
      <c r="K185" s="257">
        <f t="shared" si="227"/>
        <v>5.9211894646675012E-16</v>
      </c>
      <c r="L185" s="280">
        <f t="shared" si="228"/>
        <v>-1.3779219886807709E-4</v>
      </c>
      <c r="M185" s="143">
        <f t="shared" si="229"/>
        <v>13.46</v>
      </c>
      <c r="N185" s="167">
        <f t="shared" si="230"/>
        <v>1.7792927203695419</v>
      </c>
      <c r="O185" s="143">
        <f t="shared" si="231"/>
        <v>0</v>
      </c>
      <c r="P185" s="167">
        <f t="shared" si="232"/>
        <v>-1.3779219886878025E-5</v>
      </c>
      <c r="Q185" s="317">
        <f t="shared" si="233"/>
        <v>5.6772937143738034</v>
      </c>
      <c r="R185" s="6"/>
    </row>
    <row r="186" spans="1:18" x14ac:dyDescent="0.25">
      <c r="A186" s="262"/>
      <c r="B186" s="146"/>
      <c r="C186" s="76"/>
      <c r="D186" s="76"/>
      <c r="E186" s="76"/>
      <c r="F186" s="77"/>
      <c r="I186" s="143">
        <f t="shared" si="234"/>
        <v>13.46</v>
      </c>
      <c r="J186" s="167">
        <f t="shared" si="235"/>
        <v>1.7792927203695419</v>
      </c>
      <c r="K186" s="257">
        <f t="shared" si="227"/>
        <v>5.9211894646675012E-16</v>
      </c>
      <c r="L186" s="280">
        <f t="shared" si="228"/>
        <v>-1.3520890660660237E-4</v>
      </c>
      <c r="M186" s="143">
        <f t="shared" si="229"/>
        <v>13.46</v>
      </c>
      <c r="N186" s="167">
        <f t="shared" si="230"/>
        <v>1.7793062412602025</v>
      </c>
      <c r="O186" s="143">
        <f t="shared" si="231"/>
        <v>0</v>
      </c>
      <c r="P186" s="167">
        <f t="shared" si="232"/>
        <v>-1.3520890660645435E-5</v>
      </c>
      <c r="Q186" s="317">
        <f t="shared" si="233"/>
        <v>5.677293712492931</v>
      </c>
      <c r="R186" s="6"/>
    </row>
    <row r="187" spans="1:18" x14ac:dyDescent="0.25">
      <c r="A187" s="262"/>
      <c r="B187" s="146"/>
      <c r="C187" s="76"/>
      <c r="D187" s="76"/>
      <c r="E187" s="76"/>
      <c r="F187" s="77"/>
      <c r="I187" s="143">
        <f t="shared" si="234"/>
        <v>13.46</v>
      </c>
      <c r="J187" s="167">
        <f t="shared" si="235"/>
        <v>1.7793062412602025</v>
      </c>
      <c r="K187" s="257">
        <f t="shared" si="227"/>
        <v>5.9211894646675012E-16</v>
      </c>
      <c r="L187" s="280">
        <f t="shared" si="228"/>
        <v>-1.3267404523642501E-4</v>
      </c>
      <c r="M187" s="143">
        <f t="shared" si="229"/>
        <v>13.46</v>
      </c>
      <c r="N187" s="167">
        <f t="shared" si="230"/>
        <v>1.7793195086647262</v>
      </c>
      <c r="O187" s="143">
        <f t="shared" si="231"/>
        <v>0</v>
      </c>
      <c r="P187" s="167">
        <f t="shared" si="232"/>
        <v>-1.3267404523675808E-5</v>
      </c>
      <c r="Q187" s="317">
        <f t="shared" si="233"/>
        <v>5.6772937106819246</v>
      </c>
    </row>
    <row r="188" spans="1:18" x14ac:dyDescent="0.25">
      <c r="A188" s="262"/>
      <c r="B188" s="146"/>
      <c r="C188" s="76"/>
      <c r="D188" s="76"/>
      <c r="E188" s="76"/>
      <c r="F188" s="77"/>
      <c r="G188" s="76"/>
      <c r="I188" s="143">
        <f t="shared" si="234"/>
        <v>13.46</v>
      </c>
      <c r="J188" s="167">
        <f t="shared" si="235"/>
        <v>1.7793195086647262</v>
      </c>
      <c r="K188" s="257">
        <f t="shared" si="227"/>
        <v>1.1842378929335002E-15</v>
      </c>
      <c r="L188" s="280">
        <f t="shared" si="228"/>
        <v>-1.3018670678658731E-4</v>
      </c>
      <c r="M188" s="143">
        <f t="shared" si="229"/>
        <v>13.46</v>
      </c>
      <c r="N188" s="167">
        <f t="shared" si="230"/>
        <v>1.7793325273354048</v>
      </c>
      <c r="O188" s="143">
        <f t="shared" si="231"/>
        <v>0</v>
      </c>
      <c r="P188" s="167">
        <f t="shared" si="232"/>
        <v>-1.301867067859952E-5</v>
      </c>
      <c r="Q188" s="317">
        <f t="shared" si="233"/>
        <v>5.6772937089381816</v>
      </c>
    </row>
    <row r="189" spans="1:18" ht="15.75" thickBot="1" x14ac:dyDescent="0.3">
      <c r="A189" s="261"/>
      <c r="B189" s="153"/>
      <c r="C189" s="80"/>
      <c r="D189" s="80"/>
      <c r="E189" s="80"/>
      <c r="F189" s="82"/>
      <c r="G189" s="61"/>
      <c r="I189" s="143">
        <f t="shared" si="234"/>
        <v>13.46</v>
      </c>
      <c r="J189" s="167">
        <f t="shared" si="235"/>
        <v>1.7793325273354048</v>
      </c>
      <c r="K189" s="257">
        <f t="shared" si="227"/>
        <v>5.9211894646675012E-16</v>
      </c>
      <c r="L189" s="280">
        <f t="shared" si="228"/>
        <v>-1.2774600030995842E-4</v>
      </c>
      <c r="M189" s="143">
        <f t="shared" si="229"/>
        <v>13.46</v>
      </c>
      <c r="N189" s="167">
        <f t="shared" si="230"/>
        <v>1.7793453019354357</v>
      </c>
      <c r="O189" s="143">
        <f t="shared" si="231"/>
        <v>0</v>
      </c>
      <c r="P189" s="167">
        <f t="shared" si="232"/>
        <v>-1.2774600030907024E-5</v>
      </c>
      <c r="Q189" s="317">
        <f t="shared" si="233"/>
        <v>5.6772937072592118</v>
      </c>
    </row>
    <row r="190" spans="1:18" x14ac:dyDescent="0.25">
      <c r="I190" s="143">
        <f t="shared" si="234"/>
        <v>13.46</v>
      </c>
      <c r="J190" s="167">
        <f t="shared" si="235"/>
        <v>1.7793453019354357</v>
      </c>
      <c r="K190" s="257">
        <f t="shared" si="227"/>
        <v>1.1842378929335002E-15</v>
      </c>
      <c r="L190" s="280">
        <f t="shared" si="228"/>
        <v>-1.2535105156330495E-4</v>
      </c>
      <c r="M190" s="143">
        <f t="shared" si="229"/>
        <v>13.46</v>
      </c>
      <c r="N190" s="167">
        <f t="shared" si="230"/>
        <v>1.779357837040592</v>
      </c>
      <c r="O190" s="143">
        <f t="shared" si="231"/>
        <v>0</v>
      </c>
      <c r="P190" s="167">
        <f t="shared" si="232"/>
        <v>-1.253510515630829E-5</v>
      </c>
      <c r="Q190" s="317">
        <f t="shared" si="233"/>
        <v>5.6772937056426054</v>
      </c>
    </row>
    <row r="191" spans="1:18" x14ac:dyDescent="0.25">
      <c r="I191" s="143">
        <f t="shared" si="234"/>
        <v>13.46</v>
      </c>
      <c r="J191" s="167">
        <f t="shared" si="235"/>
        <v>1.779357837040592</v>
      </c>
      <c r="K191" s="257">
        <f t="shared" si="227"/>
        <v>5.9211894646675012E-16</v>
      </c>
      <c r="L191" s="280">
        <f t="shared" si="228"/>
        <v>-1.2300100269198772E-4</v>
      </c>
      <c r="M191" s="143">
        <f t="shared" si="229"/>
        <v>13.46</v>
      </c>
      <c r="N191" s="167">
        <f t="shared" si="230"/>
        <v>1.7793701371408612</v>
      </c>
      <c r="O191" s="143">
        <f t="shared" si="231"/>
        <v>0</v>
      </c>
      <c r="P191" s="167">
        <f t="shared" si="232"/>
        <v>-1.2300100269202474E-5</v>
      </c>
      <c r="Q191" s="317">
        <f t="shared" si="233"/>
        <v>5.6772937040860478</v>
      </c>
    </row>
    <row r="192" spans="1:18" x14ac:dyDescent="0.25">
      <c r="I192" s="143">
        <f t="shared" si="234"/>
        <v>13.46</v>
      </c>
      <c r="J192" s="167">
        <f t="shared" si="235"/>
        <v>1.7793701371408612</v>
      </c>
      <c r="K192" s="257">
        <f t="shared" si="227"/>
        <v>1.1842378929335002E-15</v>
      </c>
      <c r="L192" s="280">
        <f t="shared" si="228"/>
        <v>-1.2069501192472445E-4</v>
      </c>
      <c r="M192" s="143">
        <f t="shared" si="229"/>
        <v>13.46</v>
      </c>
      <c r="N192" s="167">
        <f t="shared" si="230"/>
        <v>1.7793822066420537</v>
      </c>
      <c r="O192" s="143">
        <f t="shared" si="231"/>
        <v>0</v>
      </c>
      <c r="P192" s="167">
        <f t="shared" si="232"/>
        <v>-1.2069501192479848E-5</v>
      </c>
      <c r="Q192" s="317">
        <f t="shared" si="233"/>
        <v>5.6772937025873036</v>
      </c>
    </row>
    <row r="193" spans="1:17" x14ac:dyDescent="0.25">
      <c r="I193" s="143">
        <f t="shared" si="234"/>
        <v>13.46</v>
      </c>
      <c r="J193" s="167">
        <f t="shared" si="235"/>
        <v>1.7793822066420537</v>
      </c>
      <c r="K193" s="257">
        <f t="shared" si="227"/>
        <v>1.1842378929335002E-15</v>
      </c>
      <c r="L193" s="280">
        <f t="shared" si="228"/>
        <v>-1.184322532719421E-4</v>
      </c>
      <c r="M193" s="143">
        <f t="shared" si="229"/>
        <v>13.46</v>
      </c>
      <c r="N193" s="167">
        <f t="shared" si="230"/>
        <v>1.7793940498673808</v>
      </c>
      <c r="O193" s="143">
        <f t="shared" si="231"/>
        <v>0</v>
      </c>
      <c r="P193" s="167">
        <f t="shared" si="232"/>
        <v>-1.1843225327101692E-5</v>
      </c>
      <c r="Q193" s="317">
        <f t="shared" si="233"/>
        <v>5.6772937011442304</v>
      </c>
    </row>
    <row r="194" spans="1:17" x14ac:dyDescent="0.25">
      <c r="I194" s="143">
        <f t="shared" si="234"/>
        <v>13.46</v>
      </c>
      <c r="J194" s="167">
        <f t="shared" si="235"/>
        <v>1.7793940498673808</v>
      </c>
      <c r="K194" s="257">
        <f t="shared" si="227"/>
        <v>5.9211894646675012E-16</v>
      </c>
      <c r="L194" s="280">
        <f t="shared" si="228"/>
        <v>-1.162119162291623E-4</v>
      </c>
      <c r="M194" s="143">
        <f t="shared" si="229"/>
        <v>13.46</v>
      </c>
      <c r="N194" s="167">
        <f t="shared" si="230"/>
        <v>1.7794056710590038</v>
      </c>
      <c r="O194" s="143">
        <f t="shared" si="231"/>
        <v>0</v>
      </c>
      <c r="P194" s="167">
        <f t="shared" si="232"/>
        <v>-1.162119162301245E-5</v>
      </c>
      <c r="Q194" s="317">
        <f t="shared" si="233"/>
        <v>5.6772936997547605</v>
      </c>
    </row>
    <row r="195" spans="1:17" x14ac:dyDescent="0.25">
      <c r="I195" s="143">
        <f t="shared" si="234"/>
        <v>13.46</v>
      </c>
      <c r="J195" s="167">
        <f t="shared" si="235"/>
        <v>1.7794056710590038</v>
      </c>
      <c r="K195" s="257">
        <f t="shared" si="227"/>
        <v>5.9211894646675012E-16</v>
      </c>
      <c r="L195" s="280">
        <f t="shared" si="228"/>
        <v>-1.1403320548664109E-4</v>
      </c>
      <c r="M195" s="143">
        <f t="shared" si="229"/>
        <v>13.46</v>
      </c>
      <c r="N195" s="167">
        <f t="shared" si="230"/>
        <v>1.7794170743795525</v>
      </c>
      <c r="O195" s="143">
        <f t="shared" si="231"/>
        <v>0</v>
      </c>
      <c r="P195" s="167">
        <f t="shared" si="232"/>
        <v>-1.140332054871962E-5</v>
      </c>
      <c r="Q195" s="317">
        <f t="shared" si="233"/>
        <v>5.6772936984168982</v>
      </c>
    </row>
    <row r="196" spans="1:17" x14ac:dyDescent="0.25">
      <c r="I196" s="143">
        <f t="shared" si="234"/>
        <v>13.46</v>
      </c>
      <c r="J196" s="167">
        <f t="shared" si="235"/>
        <v>1.7794170743795525</v>
      </c>
      <c r="K196" s="257">
        <f t="shared" si="227"/>
        <v>5.9211894646675012E-16</v>
      </c>
      <c r="L196" s="280">
        <f t="shared" si="228"/>
        <v>-1.1189534064633595E-4</v>
      </c>
      <c r="M196" s="143">
        <f t="shared" si="229"/>
        <v>13.46</v>
      </c>
      <c r="N196" s="167">
        <f t="shared" si="230"/>
        <v>1.7794282639136172</v>
      </c>
      <c r="O196" s="143">
        <f t="shared" si="231"/>
        <v>0</v>
      </c>
      <c r="P196" s="167">
        <f t="shared" si="232"/>
        <v>-1.1189534064648399E-5</v>
      </c>
      <c r="Q196" s="317">
        <f t="shared" si="233"/>
        <v>5.6772936971287304</v>
      </c>
    </row>
    <row r="197" spans="1:17" x14ac:dyDescent="0.25">
      <c r="I197" s="143">
        <f t="shared" si="234"/>
        <v>13.46</v>
      </c>
      <c r="J197" s="167">
        <f t="shared" si="235"/>
        <v>1.7794282639136172</v>
      </c>
      <c r="K197" s="257">
        <f t="shared" si="227"/>
        <v>1.1842378929335002E-15</v>
      </c>
      <c r="L197" s="280">
        <f t="shared" si="228"/>
        <v>-1.0979755593894709E-4</v>
      </c>
      <c r="M197" s="143">
        <f t="shared" si="229"/>
        <v>13.46</v>
      </c>
      <c r="N197" s="167">
        <f t="shared" si="230"/>
        <v>1.779439243669211</v>
      </c>
      <c r="O197" s="143">
        <f t="shared" si="231"/>
        <v>0</v>
      </c>
      <c r="P197" s="167">
        <f t="shared" si="232"/>
        <v>-1.0979755593831797E-5</v>
      </c>
      <c r="Q197" s="317">
        <f t="shared" si="233"/>
        <v>5.6772936958884097</v>
      </c>
    </row>
    <row r="198" spans="1:17" x14ac:dyDescent="0.25">
      <c r="I198" s="143">
        <f t="shared" si="234"/>
        <v>13.46</v>
      </c>
      <c r="J198" s="167">
        <f t="shared" si="235"/>
        <v>1.779439243669211</v>
      </c>
      <c r="K198" s="257">
        <f t="shared" si="227"/>
        <v>5.9211894646675012E-16</v>
      </c>
      <c r="L198" s="280">
        <f t="shared" si="228"/>
        <v>-1.0773909995328197E-4</v>
      </c>
      <c r="M198" s="143">
        <f t="shared" si="229"/>
        <v>13.46</v>
      </c>
      <c r="N198" s="167">
        <f t="shared" si="230"/>
        <v>1.7794500175792063</v>
      </c>
      <c r="O198" s="143">
        <f t="shared" si="231"/>
        <v>0</v>
      </c>
      <c r="P198" s="167">
        <f t="shared" si="232"/>
        <v>-1.0773909995265285E-5</v>
      </c>
      <c r="Q198" s="317">
        <f t="shared" si="233"/>
        <v>5.677293694694157</v>
      </c>
    </row>
    <row r="199" spans="1:17" x14ac:dyDescent="0.25">
      <c r="I199" s="143">
        <f t="shared" si="234"/>
        <v>13.46</v>
      </c>
      <c r="J199" s="167">
        <f t="shared" si="235"/>
        <v>1.7794500175792063</v>
      </c>
      <c r="K199" s="257">
        <f t="shared" si="227"/>
        <v>5.9211894646675012E-16</v>
      </c>
      <c r="L199" s="280">
        <f t="shared" si="228"/>
        <v>-1.0571923536417671E-4</v>
      </c>
      <c r="M199" s="143">
        <f t="shared" si="229"/>
        <v>13.46</v>
      </c>
      <c r="N199" s="167">
        <f t="shared" si="230"/>
        <v>1.7794605895027427</v>
      </c>
      <c r="O199" s="143">
        <f t="shared" si="231"/>
        <v>0</v>
      </c>
      <c r="P199" s="167">
        <f t="shared" si="232"/>
        <v>-1.0571923536373262E-5</v>
      </c>
      <c r="Q199" s="317">
        <f t="shared" si="233"/>
        <v>5.6772936935442662</v>
      </c>
    </row>
    <row r="200" spans="1:17" x14ac:dyDescent="0.25">
      <c r="I200" s="143">
        <f t="shared" si="234"/>
        <v>13.46</v>
      </c>
      <c r="J200" s="167">
        <f t="shared" si="235"/>
        <v>1.7794605895027427</v>
      </c>
      <c r="K200" s="257">
        <f t="shared" si="227"/>
        <v>5.9211894646675012E-16</v>
      </c>
      <c r="L200" s="280">
        <f t="shared" si="228"/>
        <v>-1.0373723867003933E-4</v>
      </c>
      <c r="M200" s="143">
        <f t="shared" si="229"/>
        <v>13.46</v>
      </c>
      <c r="N200" s="167">
        <f t="shared" si="230"/>
        <v>1.7794709632266097</v>
      </c>
      <c r="O200" s="143">
        <f t="shared" si="231"/>
        <v>0</v>
      </c>
      <c r="P200" s="167">
        <f t="shared" si="232"/>
        <v>-1.0373723867029838E-5</v>
      </c>
      <c r="Q200" s="317">
        <f t="shared" si="233"/>
        <v>5.6772936924370914</v>
      </c>
    </row>
    <row r="201" spans="1:17" x14ac:dyDescent="0.25">
      <c r="I201" s="143">
        <f t="shared" si="234"/>
        <v>13.46</v>
      </c>
      <c r="J201" s="167">
        <f t="shared" si="235"/>
        <v>1.7794709632266097</v>
      </c>
      <c r="K201" s="257">
        <f t="shared" si="227"/>
        <v>1.1842378929335002E-15</v>
      </c>
      <c r="L201" s="280">
        <f t="shared" si="228"/>
        <v>-1.0179239993442686E-4</v>
      </c>
      <c r="M201" s="143">
        <f t="shared" si="229"/>
        <v>13.46</v>
      </c>
      <c r="N201" s="167">
        <f t="shared" si="230"/>
        <v>1.779481142466603</v>
      </c>
      <c r="O201" s="143">
        <f t="shared" si="231"/>
        <v>0</v>
      </c>
      <c r="P201" s="167">
        <f t="shared" si="232"/>
        <v>-1.0179239993357569E-5</v>
      </c>
      <c r="Q201" s="317">
        <f t="shared" si="233"/>
        <v>5.6772936913710357</v>
      </c>
    </row>
    <row r="202" spans="1:17" x14ac:dyDescent="0.25">
      <c r="I202" s="143">
        <f t="shared" si="234"/>
        <v>13.46</v>
      </c>
      <c r="J202" s="167">
        <f t="shared" si="235"/>
        <v>1.779481142466603</v>
      </c>
      <c r="K202" s="257">
        <f t="shared" si="227"/>
        <v>5.9211894646675012E-16</v>
      </c>
      <c r="L202" s="280">
        <f t="shared" si="228"/>
        <v>-9.9884022528473615E-5</v>
      </c>
      <c r="M202" s="143">
        <f t="shared" si="229"/>
        <v>13.46</v>
      </c>
      <c r="N202" s="167">
        <f t="shared" si="230"/>
        <v>1.7794911308688559</v>
      </c>
      <c r="O202" s="143">
        <f t="shared" si="231"/>
        <v>0</v>
      </c>
      <c r="P202" s="167">
        <f t="shared" si="232"/>
        <v>-9.9884022528584637E-6</v>
      </c>
      <c r="Q202" s="317">
        <f t="shared" si="233"/>
        <v>5.6772936903445803</v>
      </c>
    </row>
    <row r="203" spans="1:17" ht="15.75" thickBot="1" x14ac:dyDescent="0.3">
      <c r="I203" s="143">
        <f t="shared" si="234"/>
        <v>13.46</v>
      </c>
      <c r="J203" s="167">
        <f t="shared" si="235"/>
        <v>1.7794911308688559</v>
      </c>
      <c r="K203" s="257">
        <f t="shared" si="227"/>
        <v>1.1842378929335002E-15</v>
      </c>
      <c r="L203" s="280">
        <f t="shared" si="228"/>
        <v>-9.8011422885420821E-5</v>
      </c>
      <c r="M203" s="143">
        <f t="shared" si="229"/>
        <v>13.46</v>
      </c>
      <c r="N203" s="167">
        <f t="shared" si="230"/>
        <v>1.7795009320111443</v>
      </c>
      <c r="O203" s="143">
        <f t="shared" si="231"/>
        <v>0</v>
      </c>
      <c r="P203" s="167">
        <f t="shared" si="232"/>
        <v>-9.801142288434761E-6</v>
      </c>
      <c r="Q203" s="317">
        <f t="shared" si="233"/>
        <v>5.6772936893562482</v>
      </c>
    </row>
    <row r="204" spans="1:17" ht="15.75" thickBot="1" x14ac:dyDescent="0.3">
      <c r="I204" s="131">
        <f t="shared" si="234"/>
        <v>13.46</v>
      </c>
      <c r="J204" s="278">
        <f t="shared" si="235"/>
        <v>1.7795009320111443</v>
      </c>
      <c r="K204" s="258">
        <f t="shared" si="227"/>
        <v>5.9211894646675012E-16</v>
      </c>
      <c r="L204" s="282">
        <f t="shared" si="228"/>
        <v>-9.6173930253036957E-5</v>
      </c>
      <c r="M204" s="144">
        <f t="shared" si="229"/>
        <v>13.46</v>
      </c>
      <c r="N204" s="173">
        <f t="shared" si="230"/>
        <v>1.7795105494041696</v>
      </c>
      <c r="O204" s="144">
        <f t="shared" si="231"/>
        <v>0</v>
      </c>
      <c r="P204" s="173">
        <f t="shared" si="232"/>
        <v>-9.6173930252962947E-6</v>
      </c>
      <c r="Q204" s="318">
        <f t="shared" si="233"/>
        <v>5.6772936884046299</v>
      </c>
    </row>
    <row r="205" spans="1:17" ht="15.75" thickBot="1" x14ac:dyDescent="0.3"/>
    <row r="206" spans="1:17" ht="15.75" thickBot="1" x14ac:dyDescent="0.3">
      <c r="A206" s="160" t="s">
        <v>371</v>
      </c>
      <c r="B206" s="161" t="s">
        <v>418</v>
      </c>
      <c r="C206" s="238">
        <f>J204</f>
        <v>1.7795009320111443</v>
      </c>
      <c r="D206" s="238" t="s">
        <v>407</v>
      </c>
      <c r="E206" s="238">
        <f>I204</f>
        <v>13.46</v>
      </c>
      <c r="F206" s="263"/>
      <c r="G206" s="263"/>
      <c r="H206" s="263"/>
      <c r="I206" s="263"/>
      <c r="J206" s="263"/>
      <c r="K206" s="263"/>
      <c r="L206" s="263"/>
      <c r="M206" s="263"/>
      <c r="N206" s="264"/>
    </row>
  </sheetData>
  <mergeCells count="29">
    <mergeCell ref="I161:L161"/>
    <mergeCell ref="N161:Q161"/>
    <mergeCell ref="J166:Q166"/>
    <mergeCell ref="B179:F179"/>
    <mergeCell ref="A137:N137"/>
    <mergeCell ref="A138:C138"/>
    <mergeCell ref="D138:F138"/>
    <mergeCell ref="G138:H138"/>
    <mergeCell ref="A144:F144"/>
    <mergeCell ref="A1:K1"/>
    <mergeCell ref="A2:B2"/>
    <mergeCell ref="C2:G2"/>
    <mergeCell ref="H2:I2"/>
    <mergeCell ref="J2:K2"/>
    <mergeCell ref="J86:Q86"/>
    <mergeCell ref="B99:F99"/>
    <mergeCell ref="N81:Q81"/>
    <mergeCell ref="I81:L81"/>
    <mergeCell ref="A15:L15"/>
    <mergeCell ref="H28:L28"/>
    <mergeCell ref="A16:B16"/>
    <mergeCell ref="C16:E16"/>
    <mergeCell ref="A64:F64"/>
    <mergeCell ref="B38:F38"/>
    <mergeCell ref="A58:C58"/>
    <mergeCell ref="D58:F58"/>
    <mergeCell ref="G58:H58"/>
    <mergeCell ref="D49:L49"/>
    <mergeCell ref="A57:N57"/>
  </mergeCells>
  <conditionalFormatting sqref="C66:R66 C68:R79">
    <cfRule type="top10" dxfId="4" priority="6" percent="1" bottom="1" rank="1"/>
  </conditionalFormatting>
  <conditionalFormatting sqref="C67:R67">
    <cfRule type="top10" dxfId="3" priority="5" percent="1" bottom="1" rank="1"/>
  </conditionalFormatting>
  <conditionalFormatting sqref="C66:R7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6:R159">
    <cfRule type="top10" dxfId="2" priority="3" percent="1" bottom="1" rank="1"/>
  </conditionalFormatting>
  <conditionalFormatting sqref="C147:R147">
    <cfRule type="top10" dxfId="1" priority="2" percent="1" bottom="1" rank="1"/>
  </conditionalFormatting>
  <conditionalFormatting sqref="C146:R1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scale="6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T100"/>
  <sheetViews>
    <sheetView topLeftCell="A28" zoomScale="85" zoomScaleNormal="85" workbookViewId="0">
      <selection activeCell="W58" sqref="W58"/>
    </sheetView>
  </sheetViews>
  <sheetFormatPr defaultRowHeight="15" x14ac:dyDescent="0.25"/>
  <cols>
    <col min="1" max="1" width="9.42578125" customWidth="1"/>
    <col min="2" max="2" width="8.85546875" bestFit="1" customWidth="1"/>
    <col min="3" max="3" width="10.140625" bestFit="1" customWidth="1"/>
    <col min="4" max="4" width="10.5703125" bestFit="1" customWidth="1"/>
    <col min="5" max="5" width="12.5703125" bestFit="1" customWidth="1"/>
    <col min="6" max="7" width="10.140625" bestFit="1" customWidth="1"/>
    <col min="8" max="8" width="9.7109375" bestFit="1" customWidth="1"/>
    <col min="9" max="9" width="10.85546875" customWidth="1"/>
    <col min="10" max="10" width="11.42578125" bestFit="1" customWidth="1"/>
    <col min="11" max="11" width="12.5703125" bestFit="1" customWidth="1"/>
    <col min="12" max="12" width="10.85546875" bestFit="1" customWidth="1"/>
    <col min="13" max="13" width="9.42578125" bestFit="1" customWidth="1"/>
    <col min="14" max="14" width="12.42578125" bestFit="1" customWidth="1"/>
    <col min="15" max="15" width="10.42578125" bestFit="1" customWidth="1"/>
    <col min="16" max="16" width="12.28515625" style="6" bestFit="1" customWidth="1"/>
    <col min="17" max="17" width="10.42578125" style="6" bestFit="1" customWidth="1"/>
    <col min="18" max="18" width="10.42578125" bestFit="1" customWidth="1"/>
    <col min="19" max="19" width="12.28515625" bestFit="1" customWidth="1"/>
    <col min="20" max="20" width="10.7109375" bestFit="1" customWidth="1"/>
    <col min="21" max="21" width="9.5703125" customWidth="1"/>
    <col min="23" max="23" width="8.140625" bestFit="1" customWidth="1"/>
  </cols>
  <sheetData>
    <row r="1" spans="1:29" ht="15.75" thickBot="1" x14ac:dyDescent="0.3">
      <c r="A1" s="461" t="s">
        <v>453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3"/>
      <c r="P1"/>
      <c r="Q1"/>
    </row>
    <row r="2" spans="1:29" ht="15.75" thickBot="1" x14ac:dyDescent="0.3">
      <c r="H2" s="319" t="s">
        <v>446</v>
      </c>
      <c r="I2" s="320" t="s">
        <v>447</v>
      </c>
      <c r="K2" s="319" t="s">
        <v>448</v>
      </c>
      <c r="L2" s="320" t="s">
        <v>449</v>
      </c>
      <c r="N2">
        <f>2.7^(-34)</f>
        <v>2.1559169083140318E-15</v>
      </c>
      <c r="W2" s="6"/>
    </row>
    <row r="3" spans="1:29" ht="15.75" thickBot="1" x14ac:dyDescent="0.3">
      <c r="W3" s="6"/>
    </row>
    <row r="4" spans="1:29" ht="15.75" thickBot="1" x14ac:dyDescent="0.3">
      <c r="A4" s="464" t="s">
        <v>347</v>
      </c>
      <c r="B4" s="466"/>
      <c r="C4" s="465"/>
      <c r="D4" s="464" t="s">
        <v>348</v>
      </c>
      <c r="E4" s="466"/>
      <c r="F4" s="465"/>
      <c r="G4" s="470" t="s">
        <v>346</v>
      </c>
      <c r="H4" s="471"/>
      <c r="I4" s="137" t="s">
        <v>352</v>
      </c>
      <c r="J4" s="137" t="s">
        <v>353</v>
      </c>
      <c r="K4" s="431" t="s">
        <v>355</v>
      </c>
      <c r="L4" s="433"/>
      <c r="M4" s="137" t="s">
        <v>354</v>
      </c>
      <c r="N4" s="129"/>
      <c r="O4" s="137" t="s">
        <v>358</v>
      </c>
      <c r="P4" s="137" t="s">
        <v>359</v>
      </c>
    </row>
    <row r="5" spans="1:29" ht="15.75" thickBot="1" x14ac:dyDescent="0.3">
      <c r="A5" s="150" t="s">
        <v>374</v>
      </c>
      <c r="B5" s="152" t="s">
        <v>327</v>
      </c>
      <c r="C5" s="151" t="s">
        <v>251</v>
      </c>
      <c r="D5" s="148" t="s">
        <v>343</v>
      </c>
      <c r="E5" s="135">
        <f>EXP(1)</f>
        <v>2.7182818284590451</v>
      </c>
      <c r="F5" s="149"/>
      <c r="G5" s="136" t="s">
        <v>250</v>
      </c>
      <c r="H5" s="136" t="s">
        <v>249</v>
      </c>
      <c r="I5" s="138" t="s">
        <v>351</v>
      </c>
      <c r="J5" s="138" t="s">
        <v>330</v>
      </c>
      <c r="K5" s="138" t="s">
        <v>329</v>
      </c>
      <c r="L5" s="138" t="s">
        <v>331</v>
      </c>
      <c r="M5" s="138" t="s">
        <v>328</v>
      </c>
      <c r="N5" s="76"/>
      <c r="O5" s="138" t="s">
        <v>339</v>
      </c>
      <c r="P5" s="138" t="s">
        <v>340</v>
      </c>
    </row>
    <row r="6" spans="1:29" ht="15.75" thickBot="1" x14ac:dyDescent="0.3">
      <c r="A6" s="100">
        <v>1</v>
      </c>
      <c r="B6" s="96">
        <v>34</v>
      </c>
      <c r="C6" s="101">
        <v>0</v>
      </c>
      <c r="D6" s="100" t="s">
        <v>376</v>
      </c>
      <c r="E6" s="135">
        <v>1E-3</v>
      </c>
      <c r="F6" s="165" t="s">
        <v>344</v>
      </c>
      <c r="G6" s="136">
        <v>-53</v>
      </c>
      <c r="H6" s="136">
        <v>1.1100000000000001</v>
      </c>
      <c r="I6" s="164">
        <f>A6*G6+B6*H6</f>
        <v>-15.259999999999998</v>
      </c>
      <c r="J6" s="216">
        <f>1/(1+$E$5^(-I6))</f>
        <v>2.3586641369094578E-7</v>
      </c>
      <c r="K6" s="124">
        <f>-LOG(J6,$E$5)</f>
        <v>15.260000235866439</v>
      </c>
      <c r="L6" s="142">
        <f>-LOG((1-J6),$E$5)</f>
        <v>2.3586644155011888E-7</v>
      </c>
      <c r="M6" s="142">
        <f>-C6*LOG(J6,$E$5)-(1-C6)*LOG(1-J6,$E$5)</f>
        <v>2.3586644155011888E-7</v>
      </c>
      <c r="N6" s="76"/>
      <c r="O6" s="142">
        <f>J6-C6</f>
        <v>2.3586641369094578E-7</v>
      </c>
      <c r="P6" s="142">
        <f>O6*B6</f>
        <v>8.0194580654921573E-6</v>
      </c>
    </row>
    <row r="7" spans="1:29" ht="15.75" thickBot="1" x14ac:dyDescent="0.3">
      <c r="A7" s="100">
        <v>1</v>
      </c>
      <c r="B7" s="96">
        <v>30</v>
      </c>
      <c r="C7" s="101">
        <v>0</v>
      </c>
      <c r="D7" s="100" t="s">
        <v>345</v>
      </c>
      <c r="E7" s="135">
        <v>1E-4</v>
      </c>
      <c r="F7" s="165" t="s">
        <v>350</v>
      </c>
      <c r="G7" s="51">
        <f>G6</f>
        <v>-53</v>
      </c>
      <c r="H7" s="51">
        <f>H6</f>
        <v>1.1100000000000001</v>
      </c>
      <c r="I7" s="139">
        <f>A7*G7+B7*H7</f>
        <v>-19.699999999999996</v>
      </c>
      <c r="J7" s="213">
        <f>1/(1+$E$5^(-I7))</f>
        <v>2.7822663632748764E-9</v>
      </c>
      <c r="K7" s="124">
        <f>-LOG(J7,$E$5)</f>
        <v>19.700000002782261</v>
      </c>
      <c r="L7" s="144">
        <f>-LOG((1-J7),$E$5)</f>
        <v>2.7822664211265997E-9</v>
      </c>
      <c r="M7" s="143">
        <f>-C7*LOG(J7,$E$5)-(1-C7)*LOG(1-J7,$E$5)</f>
        <v>2.7822664211265997E-9</v>
      </c>
      <c r="N7" s="132"/>
      <c r="O7" s="143">
        <f>J7-C7</f>
        <v>2.7822663632748764E-9</v>
      </c>
      <c r="P7" s="143">
        <f>O7*B7</f>
        <v>8.3467990898246287E-8</v>
      </c>
      <c r="S7" s="332"/>
    </row>
    <row r="8" spans="1:29" ht="15.75" thickBot="1" x14ac:dyDescent="0.3">
      <c r="A8" s="100">
        <v>1</v>
      </c>
      <c r="B8" s="96">
        <v>60</v>
      </c>
      <c r="C8" s="101">
        <v>1</v>
      </c>
      <c r="D8" s="104"/>
      <c r="E8" s="141"/>
      <c r="F8" s="166"/>
      <c r="G8" s="51">
        <f>G6</f>
        <v>-53</v>
      </c>
      <c r="H8" s="51">
        <f>H6</f>
        <v>1.1100000000000001</v>
      </c>
      <c r="I8" s="139">
        <f>A8*G8+B8*H8</f>
        <v>13.600000000000009</v>
      </c>
      <c r="J8" s="213">
        <f>1/(1+$E$5^(-I8))</f>
        <v>0.99999875950645889</v>
      </c>
      <c r="K8" s="145">
        <f>-LOG(J8,$E$5)</f>
        <v>1.2404943105230815E-6</v>
      </c>
      <c r="L8" s="124">
        <f>-LOG((1-J8),$E$5)</f>
        <v>13.600001240510631</v>
      </c>
      <c r="M8" s="143">
        <f>-C8*LOG(J8,$E$5)-(1-C8)*LOG(1-J8,$E$5)</f>
        <v>1.2404943105230815E-6</v>
      </c>
      <c r="N8" s="132"/>
      <c r="O8" s="143">
        <f>J8-C8</f>
        <v>-1.2404935411103324E-6</v>
      </c>
      <c r="P8" s="143">
        <f>O8*B8</f>
        <v>-7.4429612466619943E-5</v>
      </c>
    </row>
    <row r="9" spans="1:29" ht="15.75" thickBot="1" x14ac:dyDescent="0.3">
      <c r="A9" s="104">
        <v>1</v>
      </c>
      <c r="B9" s="163">
        <v>79</v>
      </c>
      <c r="C9" s="133">
        <v>1</v>
      </c>
      <c r="G9" s="49">
        <f>G6</f>
        <v>-53</v>
      </c>
      <c r="H9" s="49">
        <f>H6</f>
        <v>1.1100000000000001</v>
      </c>
      <c r="I9" s="140">
        <f>A9*G9+B9*H9</f>
        <v>34.690000000000012</v>
      </c>
      <c r="J9" s="214">
        <f>1/(1+$E$5^(-I9))</f>
        <v>0.99999999999999911</v>
      </c>
      <c r="K9" s="146">
        <f>-LOG(J9,$E$5)</f>
        <v>8.8817841970012563E-16</v>
      </c>
      <c r="L9" s="124">
        <f>-LOG((1-J9),$E$5)</f>
        <v>34.657359027997266</v>
      </c>
      <c r="M9" s="143">
        <f>-C9*LOG(J9,$E$5)-(1-C9)*LOG(1-J9,$E$5)</f>
        <v>8.8817841970012563E-16</v>
      </c>
      <c r="N9" s="132"/>
      <c r="O9" s="143">
        <f>J9-C9</f>
        <v>-8.8817841970012523E-16</v>
      </c>
      <c r="P9" s="143">
        <f>O9*B9</f>
        <v>-7.0166095156309893E-14</v>
      </c>
      <c r="Q9" s="76"/>
      <c r="R9" s="76"/>
      <c r="S9" s="76"/>
    </row>
    <row r="10" spans="1:29" ht="15.75" thickBot="1" x14ac:dyDescent="0.3">
      <c r="A10" s="76"/>
      <c r="B10" s="76"/>
      <c r="I10" s="76"/>
      <c r="J10" s="76"/>
      <c r="K10" s="182" t="s">
        <v>356</v>
      </c>
      <c r="L10" s="183" t="s">
        <v>357</v>
      </c>
      <c r="M10" s="184">
        <f>SUM(M6:M9)*(1/4)</f>
        <v>3.6978575484562638E-7</v>
      </c>
      <c r="N10" s="158" t="s">
        <v>360</v>
      </c>
      <c r="O10" s="323">
        <f>SUM(O6:O9)*(1/4)</f>
        <v>-2.5046121548607255E-7</v>
      </c>
      <c r="P10" s="159">
        <f>SUM(P6:P9)*(1/4)</f>
        <v>-1.6581671620098907E-5</v>
      </c>
      <c r="Q10" s="76"/>
      <c r="R10" s="76"/>
      <c r="S10" s="76"/>
      <c r="T10" s="76"/>
    </row>
    <row r="11" spans="1:29" ht="15.75" thickBot="1" x14ac:dyDescent="0.3">
      <c r="V11" s="76"/>
      <c r="W11" s="76"/>
      <c r="X11" s="61"/>
      <c r="Y11" s="61"/>
      <c r="Z11" s="61"/>
      <c r="AA11" s="61"/>
      <c r="AB11" s="61"/>
      <c r="AC11" s="61"/>
    </row>
    <row r="12" spans="1:29" ht="15.75" thickBot="1" x14ac:dyDescent="0.3">
      <c r="A12" s="147" t="s">
        <v>361</v>
      </c>
      <c r="B12" s="484" t="s">
        <v>362</v>
      </c>
      <c r="C12" s="484"/>
      <c r="D12" s="484"/>
      <c r="E12" s="484"/>
      <c r="F12" s="484"/>
      <c r="G12" s="485"/>
    </row>
    <row r="13" spans="1:29" ht="15.75" thickBot="1" x14ac:dyDescent="0.3">
      <c r="B13" s="168" t="s">
        <v>250</v>
      </c>
      <c r="C13" s="177">
        <f>H13*2</f>
        <v>-106</v>
      </c>
      <c r="D13" s="177">
        <f>H13*1.8</f>
        <v>-95.4</v>
      </c>
      <c r="E13" s="177">
        <f>H13*1.6</f>
        <v>-84.800000000000011</v>
      </c>
      <c r="F13" s="177">
        <f>H13*1.4</f>
        <v>-74.199999999999989</v>
      </c>
      <c r="G13" s="177">
        <f>H13*1.2</f>
        <v>-63.599999999999994</v>
      </c>
      <c r="H13" s="337">
        <f>G6</f>
        <v>-53</v>
      </c>
      <c r="I13" s="338">
        <f>G6*(1+E7)</f>
        <v>-53.005299999999998</v>
      </c>
      <c r="J13" s="177">
        <f>H13*0.8</f>
        <v>-42.400000000000006</v>
      </c>
      <c r="K13" s="177">
        <f>H13*0.6</f>
        <v>-31.799999999999997</v>
      </c>
      <c r="L13" s="177">
        <f>H13*0.4</f>
        <v>-21.200000000000003</v>
      </c>
      <c r="M13" s="177">
        <f>H13*0.2</f>
        <v>-10.600000000000001</v>
      </c>
      <c r="N13" s="178">
        <f>H13*0.1</f>
        <v>-5.3000000000000007</v>
      </c>
    </row>
    <row r="14" spans="1:29" x14ac:dyDescent="0.25">
      <c r="A14" s="169"/>
      <c r="B14" s="179">
        <f>B19*2</f>
        <v>2.2200000000000002</v>
      </c>
      <c r="C14" s="188" t="e">
        <f t="shared" ref="C14:G25" si="0">0.25*(
-$C$6*LOG((1/(1+$E$5^(-(C$13*$A$6+$B14*$B$6)))),$E$5)-(1-$C$6)*LOG(1-(1/(1+$E$5^(-(C$13*$A$6+$B14*$B$6)))),$E$5)
-$C$7*LOG((1/(1+$E$5^(-(C$13*$A$7+$B14*$B$7)))),$E$5)-(1-$C$7)*LOG(1-(1/(1+$E$5^(-(C$13*$A$7+$B14*$B$7)))),$E$5)
-$C$8*LOG((1/(1+$E$5^(-(C$13*$A$8+$B14*$B$8)))),$E$5)-(1-$C$8)*LOG(1-(1/(1+$E$5^(-(C$13*$A$8+$B14*$B$8)))),$E$5)
-$C$9*LOG((1/(1+$E$5^(-(C$13*$A$9+$B14*$B$9)))),$E$5)-(1-$C$9)*LOG(1-(1/(1+$E$5^(-(C$13*$A$9+$B14*$B$9)))),$E$5))</f>
        <v>#NUM!</v>
      </c>
      <c r="D14" s="189" t="e">
        <f t="shared" si="0"/>
        <v>#NUM!</v>
      </c>
      <c r="E14" s="189" t="e">
        <f t="shared" si="0"/>
        <v>#NUM!</v>
      </c>
      <c r="F14" s="189" t="e">
        <f t="shared" si="0"/>
        <v>#NUM!</v>
      </c>
      <c r="G14" s="189" t="e">
        <f t="shared" si="0"/>
        <v>#NUM!</v>
      </c>
      <c r="H14" s="188" t="e">
        <f t="shared" ref="H14:I14" si="1">0.25*(
-$C$6*LOG((1/(1+$E$5^(-(H$13*$A$6+$B14*$B$6)))),$E$5)-(1-$C$6)*LOG(1-(1/(1+$E$5^(-(H$13*$A$6+$B14*$B$6)))),$E$5)
-$C$7*LOG((1/(1+$E$5^(-(H$13*$A$7+$B14*$B$7)))),$E$5)-(1-$C$7)*LOG(1-(1/(1+$E$5^(-(H$13*$A$7+$B14*$B$7)))),$E$5)
-$C$8*LOG((1/(1+$E$5^(-(H$13*$A$8+$B14*$B$8)))),$E$5)-(1-$C$8)*LOG(1-(1/(1+$E$5^(-(H$13*$A$8+$B14*$B$8)))),$E$5)
-$C$9*LOG((1/(1+$E$5^(-(H$13*$A$9+$B14*$B$9)))),$E$5)-(1-$C$9)*LOG(1-(1/(1+$E$5^(-(H$13*$A$9+$B14*$B$9)))),$E$5))</f>
        <v>#NUM!</v>
      </c>
      <c r="I14" s="190" t="e">
        <f t="shared" si="1"/>
        <v>#NUM!</v>
      </c>
      <c r="J14" s="189" t="e">
        <f t="shared" ref="J14:N25" si="2">0.25*(
-$C$6*LOG((1/(1+$E$5^(-(J$13*$A$6+$B14*$B$6)))),$E$5)-(1-$C$6)*LOG(1-(1/(1+$E$5^(-(J$13*$A$6+$B14*$B$6)))),$E$5)
-$C$7*LOG((1/(1+$E$5^(-(J$13*$A$7+$B14*$B$7)))),$E$5)-(1-$C$7)*LOG(1-(1/(1+$E$5^(-(J$13*$A$7+$B14*$B$7)))),$E$5)
-$C$8*LOG((1/(1+$E$5^(-(J$13*$A$8+$B14*$B$8)))),$E$5)-(1-$C$8)*LOG(1-(1/(1+$E$5^(-(J$13*$A$8+$B14*$B$8)))),$E$5)
-$C$9*LOG((1/(1+$E$5^(-(J$13*$A$9+$B14*$B$9)))),$E$5)-(1-$C$9)*LOG(1-(1/(1+$E$5^(-(J$13*$A$9+$B14*$B$9)))),$E$5))</f>
        <v>#NUM!</v>
      </c>
      <c r="K14" s="189" t="e">
        <f t="shared" si="2"/>
        <v>#NUM!</v>
      </c>
      <c r="L14" s="189" t="e">
        <f t="shared" si="2"/>
        <v>#NUM!</v>
      </c>
      <c r="M14" s="189" t="e">
        <f t="shared" si="2"/>
        <v>#NUM!</v>
      </c>
      <c r="N14" s="190" t="e">
        <f t="shared" si="2"/>
        <v>#NUM!</v>
      </c>
    </row>
    <row r="15" spans="1:29" x14ac:dyDescent="0.25">
      <c r="A15" s="170"/>
      <c r="B15" s="180">
        <f>B19*1.8</f>
        <v>1.9980000000000002</v>
      </c>
      <c r="C15" s="191" t="e">
        <f t="shared" si="0"/>
        <v>#NUM!</v>
      </c>
      <c r="D15" s="192" t="e">
        <f t="shared" si="0"/>
        <v>#NUM!</v>
      </c>
      <c r="E15" s="192" t="e">
        <f t="shared" si="0"/>
        <v>#NUM!</v>
      </c>
      <c r="F15" s="192" t="e">
        <f t="shared" si="0"/>
        <v>#NUM!</v>
      </c>
      <c r="G15" s="192" t="e">
        <f t="shared" si="0"/>
        <v>#NUM!</v>
      </c>
      <c r="H15" s="191" t="e">
        <f t="shared" ref="H15:I25" si="3">0.25*(
-$C$6*LOG((1/(1+$E$5^(-(H$13*$A$6+$B15*$B$6)))),$E$5)-(1-$C$6)*LOG(1-(1/(1+$E$5^(-(H$13*$A$6+$B15*$B$6)))),$E$5)
-$C$7*LOG((1/(1+$E$5^(-(H$13*$A$7+$B15*$B$7)))),$E$5)-(1-$C$7)*LOG(1-(1/(1+$E$5^(-(H$13*$A$7+$B15*$B$7)))),$E$5)
-$C$8*LOG((1/(1+$E$5^(-(H$13*$A$8+$B15*$B$8)))),$E$5)-(1-$C$8)*LOG(1-(1/(1+$E$5^(-(H$13*$A$8+$B15*$B$8)))),$E$5)
-$C$9*LOG((1/(1+$E$5^(-(H$13*$A$9+$B15*$B$9)))),$E$5)-(1-$C$9)*LOG(1-(1/(1+$E$5^(-(H$13*$A$9+$B15*$B$9)))),$E$5))</f>
        <v>#NUM!</v>
      </c>
      <c r="I15" s="193" t="e">
        <f t="shared" si="3"/>
        <v>#NUM!</v>
      </c>
      <c r="J15" s="192" t="e">
        <f t="shared" si="2"/>
        <v>#NUM!</v>
      </c>
      <c r="K15" s="192" t="e">
        <f t="shared" si="2"/>
        <v>#NUM!</v>
      </c>
      <c r="L15" s="192" t="e">
        <f t="shared" si="2"/>
        <v>#NUM!</v>
      </c>
      <c r="M15" s="192" t="e">
        <f t="shared" si="2"/>
        <v>#NUM!</v>
      </c>
      <c r="N15" s="193" t="e">
        <f t="shared" si="2"/>
        <v>#NUM!</v>
      </c>
    </row>
    <row r="16" spans="1:29" x14ac:dyDescent="0.25">
      <c r="A16" s="170"/>
      <c r="B16" s="180">
        <f>B19*1.6</f>
        <v>1.7760000000000002</v>
      </c>
      <c r="C16" s="191">
        <f t="shared" si="0"/>
        <v>0.11296135683607543</v>
      </c>
      <c r="D16" s="192" t="e">
        <f t="shared" si="0"/>
        <v>#NUM!</v>
      </c>
      <c r="E16" s="192" t="e">
        <f t="shared" si="0"/>
        <v>#NUM!</v>
      </c>
      <c r="F16" s="192" t="e">
        <f t="shared" si="0"/>
        <v>#NUM!</v>
      </c>
      <c r="G16" s="192" t="e">
        <f t="shared" si="0"/>
        <v>#NUM!</v>
      </c>
      <c r="H16" s="191" t="e">
        <f t="shared" si="3"/>
        <v>#NUM!</v>
      </c>
      <c r="I16" s="193" t="e">
        <f t="shared" si="3"/>
        <v>#NUM!</v>
      </c>
      <c r="J16" s="192" t="e">
        <f t="shared" si="2"/>
        <v>#NUM!</v>
      </c>
      <c r="K16" s="192" t="e">
        <f t="shared" si="2"/>
        <v>#NUM!</v>
      </c>
      <c r="L16" s="192" t="e">
        <f t="shared" si="2"/>
        <v>#NUM!</v>
      </c>
      <c r="M16" s="192" t="e">
        <f t="shared" si="2"/>
        <v>#NUM!</v>
      </c>
      <c r="N16" s="193" t="e">
        <f t="shared" si="2"/>
        <v>#NUM!</v>
      </c>
    </row>
    <row r="17" spans="1:46" x14ac:dyDescent="0.25">
      <c r="A17" s="170"/>
      <c r="B17" s="180">
        <f>B19*1.4</f>
        <v>1.554</v>
      </c>
      <c r="C17" s="191">
        <f t="shared" si="0"/>
        <v>3.1900007314379488</v>
      </c>
      <c r="D17" s="192">
        <f t="shared" si="0"/>
        <v>0.56728648769617462</v>
      </c>
      <c r="E17" s="192" t="e">
        <f t="shared" si="0"/>
        <v>#NUM!</v>
      </c>
      <c r="F17" s="192" t="e">
        <f t="shared" si="0"/>
        <v>#NUM!</v>
      </c>
      <c r="G17" s="192" t="e">
        <f t="shared" si="0"/>
        <v>#NUM!</v>
      </c>
      <c r="H17" s="191" t="e">
        <f t="shared" si="3"/>
        <v>#NUM!</v>
      </c>
      <c r="I17" s="193" t="e">
        <f t="shared" si="3"/>
        <v>#NUM!</v>
      </c>
      <c r="J17" s="192" t="e">
        <f t="shared" si="2"/>
        <v>#NUM!</v>
      </c>
      <c r="K17" s="192" t="e">
        <f t="shared" si="2"/>
        <v>#NUM!</v>
      </c>
      <c r="L17" s="192" t="e">
        <f t="shared" si="2"/>
        <v>#NUM!</v>
      </c>
      <c r="M17" s="192" t="e">
        <f t="shared" si="2"/>
        <v>#NUM!</v>
      </c>
      <c r="N17" s="193" t="e">
        <f t="shared" si="2"/>
        <v>#NUM!</v>
      </c>
    </row>
    <row r="18" spans="1:46" ht="15.75" thickBot="1" x14ac:dyDescent="0.3">
      <c r="A18" s="171" t="s">
        <v>249</v>
      </c>
      <c r="B18" s="180">
        <f>B19*1.2</f>
        <v>1.3320000000000001</v>
      </c>
      <c r="C18" s="191">
        <f t="shared" si="0"/>
        <v>6.8079663822170229</v>
      </c>
      <c r="D18" s="192">
        <f t="shared" si="0"/>
        <v>3.8700135270809533</v>
      </c>
      <c r="E18" s="192">
        <f t="shared" si="0"/>
        <v>1.2218920758463048</v>
      </c>
      <c r="F18" s="192">
        <f t="shared" si="0"/>
        <v>8.1858609535303986E-4</v>
      </c>
      <c r="G18" s="192" t="e">
        <f t="shared" si="0"/>
        <v>#NUM!</v>
      </c>
      <c r="H18" s="191" t="e">
        <f t="shared" si="3"/>
        <v>#NUM!</v>
      </c>
      <c r="I18" s="193" t="e">
        <f t="shared" si="3"/>
        <v>#NUM!</v>
      </c>
      <c r="J18" s="192" t="e">
        <f t="shared" si="2"/>
        <v>#NUM!</v>
      </c>
      <c r="K18" s="192" t="e">
        <f t="shared" si="2"/>
        <v>#NUM!</v>
      </c>
      <c r="L18" s="192" t="e">
        <f t="shared" si="2"/>
        <v>#NUM!</v>
      </c>
      <c r="M18" s="192" t="e">
        <f t="shared" si="2"/>
        <v>#NUM!</v>
      </c>
      <c r="N18" s="193" t="e">
        <f t="shared" si="2"/>
        <v>#NUM!</v>
      </c>
    </row>
    <row r="19" spans="1:46" x14ac:dyDescent="0.25">
      <c r="A19" s="170"/>
      <c r="B19" s="339">
        <f>H6</f>
        <v>1.1100000000000001</v>
      </c>
      <c r="C19" s="188">
        <f t="shared" si="0"/>
        <v>14.427500002792591</v>
      </c>
      <c r="D19" s="189">
        <f t="shared" si="0"/>
        <v>9.1276120552528468</v>
      </c>
      <c r="E19" s="189">
        <f t="shared" si="0"/>
        <v>4.5635217008476259</v>
      </c>
      <c r="F19" s="189">
        <f t="shared" si="0"/>
        <v>1.9001254277464654</v>
      </c>
      <c r="G19" s="189">
        <f t="shared" si="0"/>
        <v>1.2146837903547409E-2</v>
      </c>
      <c r="H19" s="188">
        <f>0.25*(
-$C$6*LOG((1/(1+$E$5^(-(H$13*$A$6+$B19*$B$6)))),$E$5)-(1-$C$6)*LOG(1-(1/(1+$E$5^(-(H$13*$A$6+$B19*$B$6)))),$E$5)
-$C$7*LOG((1/(1+$E$5^(-(H$13*$A$7+$B19*$B$7)))),$E$5)-(1-$C$7)*LOG(1-(1/(1+$E$5^(-(H$13*$A$7+$B19*$B$7)))),$E$5)
-$C$8*LOG((1/(1+$E$5^(-(H$13*$A$8+$B19*$B$8)))),$E$5)-(1-$C$8)*LOG(1-(1/(1+$E$5^(-(H$13*$A$8+$B19*$B$8)))),$E$5)
-$C$9*LOG((1/(1+$E$5^(-(H$13*$A$9+$B19*$B$9)))),$E$5)-(1-$C$9)*LOG(1-(1/(1+$E$5^(-(H$13*$A$9+$B19*$B$9)))),$E$5))</f>
        <v>3.6978575484562638E-7</v>
      </c>
      <c r="I19" s="190">
        <f>0.25*(
-$C$6*LOG((1/(1+$E$5^(-(I$13*$A$6+$B19*$B$6)))),$E$5)-(1-$C$6)*LOG(1-(1/(1+$E$5^(-(I$13*$A$6+$B19*$B$6)))),$E$5)
-$C$7*LOG((1/(1+$E$5^(-(I$13*$A$7+$B19*$B$7)))),$E$5)-(1-$C$7)*LOG(1-(1/(1+$E$5^(-(I$13*$A$7+$B19*$B$7)))),$E$5)
-$C$8*LOG((1/(1+$E$5^(-(I$13*$A$8+$B19*$B$8)))),$E$5)-(1-$C$8)*LOG(1-(1/(1+$E$5^(-(I$13*$A$8+$B19*$B$8)))),$E$5)
-$C$9*LOG((1/(1+$E$5^(-(I$13*$A$9+$B19*$B$9)))),$E$5)-(1-$C$9)*LOG(1-(1/(1+$E$5^(-(I$13*$A$9+$B19*$B$9)))),$E$5))</f>
        <v>3.7111839915189955E-7</v>
      </c>
      <c r="J19" s="192" t="e">
        <f t="shared" si="2"/>
        <v>#NUM!</v>
      </c>
      <c r="K19" s="192" t="e">
        <f t="shared" si="2"/>
        <v>#NUM!</v>
      </c>
      <c r="L19" s="192" t="e">
        <f t="shared" si="2"/>
        <v>#NUM!</v>
      </c>
      <c r="M19" s="192" t="e">
        <f t="shared" si="2"/>
        <v>#NUM!</v>
      </c>
      <c r="N19" s="193" t="e">
        <f t="shared" si="2"/>
        <v>#NUM!</v>
      </c>
      <c r="AM19" s="76"/>
    </row>
    <row r="20" spans="1:46" ht="15.75" thickBot="1" x14ac:dyDescent="0.3">
      <c r="A20" s="170"/>
      <c r="B20" s="340">
        <f>B19*(1+E7)</f>
        <v>1.1101110000000001</v>
      </c>
      <c r="C20" s="194">
        <f t="shared" si="0"/>
        <v>14.423642752817191</v>
      </c>
      <c r="D20" s="195">
        <f t="shared" si="0"/>
        <v>9.123755791963152</v>
      </c>
      <c r="E20" s="195">
        <f t="shared" si="0"/>
        <v>4.5617417568188285</v>
      </c>
      <c r="F20" s="195">
        <f t="shared" si="0"/>
        <v>1.8984612603370048</v>
      </c>
      <c r="G20" s="195">
        <f t="shared" si="0"/>
        <v>1.2068123801721247E-2</v>
      </c>
      <c r="H20" s="194">
        <f>0.25*(
-$C$6*LOG((1/(1+$E$5^(-(H$13*$A$6+$B20*$B$6)))),$E$5)-(1-$C$6)*LOG(1-(1/(1+$E$5^(-(H$13*$A$6+$B20*$B$6)))),$E$5)
-$C$7*LOG((1/(1+$E$5^(-(H$13*$A$7+$B20*$B$7)))),$E$5)-(1-$C$7)*LOG(1-(1/(1+$E$5^(-(H$13*$A$7+$B20*$B$7)))),$E$5)
-$C$8*LOG((1/(1+$E$5^(-(H$13*$A$8+$B20*$B$8)))),$E$5)-(1-$C$8)*LOG(1-(1/(1+$E$5^(-(H$13*$A$8+$B20*$B$8)))),$E$5)
-$C$9*LOG((1/(1+$E$5^(-(H$13*$A$9+$B20*$B$9)))),$E$5)-(1-$C$9)*LOG(1-(1/(1+$E$5^(-(H$13*$A$9+$B20*$B$9)))),$E$5))</f>
        <v>3.6795247621116234E-7</v>
      </c>
      <c r="I20" s="196">
        <f>0.25*(
-$C$6*LOG((1/(1+$E$5^(-(I$13*$A$6+$B20*$B$6)))),$E$5)-(1-$C$6)*LOG(1-(1/(1+$E$5^(-(I$13*$A$6+$B20*$B$6)))),$E$5)
-$C$7*LOG((1/(1+$E$5^(-(I$13*$A$7+$B20*$B$7)))),$E$5)-(1-$C$7)*LOG(1-(1/(1+$E$5^(-(I$13*$A$7+$B20*$B$7)))),$E$5)
-$C$8*LOG((1/(1+$E$5^(-(I$13*$A$8+$B20*$B$8)))),$E$5)-(1-$C$8)*LOG(1-(1/(1+$E$5^(-(I$13*$A$8+$B20*$B$8)))),$E$5)
-$C$9*LOG((1/(1+$E$5^(-(I$13*$A$9+$B20*$B$9)))),$E$5)-(1-$C$9)*LOG(1-(1/(1+$E$5^(-(I$13*$A$9+$B20*$B$9)))),$E$5))</f>
        <v>3.6927299033176858E-7</v>
      </c>
      <c r="J20" s="192" t="e">
        <f t="shared" si="2"/>
        <v>#NUM!</v>
      </c>
      <c r="K20" s="192" t="e">
        <f t="shared" si="2"/>
        <v>#NUM!</v>
      </c>
      <c r="L20" s="192" t="e">
        <f t="shared" si="2"/>
        <v>#NUM!</v>
      </c>
      <c r="M20" s="192" t="e">
        <f t="shared" si="2"/>
        <v>#NUM!</v>
      </c>
      <c r="N20" s="193" t="e">
        <f t="shared" si="2"/>
        <v>#NUM!</v>
      </c>
      <c r="AM20" s="76"/>
    </row>
    <row r="21" spans="1:46" x14ac:dyDescent="0.25">
      <c r="A21" s="170"/>
      <c r="B21" s="180">
        <f>B19*0.8</f>
        <v>0.88800000000000012</v>
      </c>
      <c r="C21" s="191">
        <f t="shared" si="0"/>
        <v>22.141999999999996</v>
      </c>
      <c r="D21" s="192">
        <f t="shared" si="0"/>
        <v>16.842000000002706</v>
      </c>
      <c r="E21" s="192">
        <f t="shared" si="0"/>
        <v>11.542000108741261</v>
      </c>
      <c r="F21" s="192">
        <f t="shared" si="0"/>
        <v>6.246326656928761</v>
      </c>
      <c r="G21" s="192">
        <f t="shared" si="0"/>
        <v>2.5803648018080967</v>
      </c>
      <c r="H21" s="192">
        <f t="shared" si="3"/>
        <v>0.14072884231245675</v>
      </c>
      <c r="I21" s="192">
        <f t="shared" si="3"/>
        <v>0.14130005465311118</v>
      </c>
      <c r="J21" s="192">
        <f t="shared" si="2"/>
        <v>5.9910897328331261E-6</v>
      </c>
      <c r="K21" s="192" t="e">
        <f t="shared" si="2"/>
        <v>#NUM!</v>
      </c>
      <c r="L21" s="192" t="e">
        <f t="shared" si="2"/>
        <v>#NUM!</v>
      </c>
      <c r="M21" s="192" t="e">
        <f t="shared" si="2"/>
        <v>#NUM!</v>
      </c>
      <c r="N21" s="193" t="e">
        <f t="shared" si="2"/>
        <v>#NUM!</v>
      </c>
      <c r="AM21" s="76"/>
    </row>
    <row r="22" spans="1:46" x14ac:dyDescent="0.25">
      <c r="A22" s="170"/>
      <c r="B22" s="180">
        <f>B19*0.6</f>
        <v>0.66600000000000004</v>
      </c>
      <c r="C22" s="191">
        <f t="shared" si="0"/>
        <v>29.856499999999997</v>
      </c>
      <c r="D22" s="192">
        <f t="shared" si="0"/>
        <v>24.5565</v>
      </c>
      <c r="E22" s="192">
        <f t="shared" si="0"/>
        <v>19.256500000000006</v>
      </c>
      <c r="F22" s="192">
        <f t="shared" si="0"/>
        <v>13.956500000105494</v>
      </c>
      <c r="G22" s="192">
        <f t="shared" si="0"/>
        <v>8.6565042342699243</v>
      </c>
      <c r="H22" s="192">
        <f>0.25*(
-$C$6*LOG((1/(1+$E$5^(-(H$13*$A$6+$B22*$B$6)))),$E$5)-(1-$C$6)*LOG(1-(1/(1+$E$5^(-(H$13*$A$6+$B22*$B$6)))),$E$5)
-$C$7*LOG((1/(1+$E$5^(-(H$13*$A$7+$B22*$B$7)))),$E$5)-(1-$C$7)*LOG(1-(1/(1+$E$5^(-(H$13*$A$7+$B22*$B$7)))),$E$5)
-$C$8*LOG((1/(1+$E$5^(-(H$13*$A$8+$B22*$B$8)))),$E$5)-(1-$C$8)*LOG(1-(1/(1+$E$5^(-(H$13*$A$8+$B22*$B$8)))),$E$5)
-$C$9*LOG((1/(1+$E$5^(-(H$13*$A$9+$B22*$B$9)))),$E$5)-(1-$C$9)*LOG(1-(1/(1+$E$5^(-(H$13*$A$9+$B22*$B$9)))),$E$5))</f>
        <v>3.4861648409817572</v>
      </c>
      <c r="I22" s="192">
        <f t="shared" si="3"/>
        <v>3.4882794819557152</v>
      </c>
      <c r="J22" s="192">
        <f t="shared" si="2"/>
        <v>0.63090155757992361</v>
      </c>
      <c r="K22" s="192">
        <f t="shared" si="2"/>
        <v>9.9689301568554674E-5</v>
      </c>
      <c r="L22" s="192">
        <f t="shared" si="2"/>
        <v>0.478638542319134</v>
      </c>
      <c r="M22" s="192" t="e">
        <f t="shared" si="2"/>
        <v>#NUM!</v>
      </c>
      <c r="N22" s="193" t="e">
        <f t="shared" si="2"/>
        <v>#NUM!</v>
      </c>
      <c r="AM22" s="76"/>
    </row>
    <row r="23" spans="1:46" x14ac:dyDescent="0.25">
      <c r="A23" s="170"/>
      <c r="B23" s="180">
        <f>B19*0.4</f>
        <v>0.44400000000000006</v>
      </c>
      <c r="C23" s="191">
        <f t="shared" si="0"/>
        <v>37.570999999999998</v>
      </c>
      <c r="D23" s="192">
        <f t="shared" si="0"/>
        <v>32.271000000000001</v>
      </c>
      <c r="E23" s="192">
        <f t="shared" si="0"/>
        <v>26.971000000000004</v>
      </c>
      <c r="F23" s="192">
        <f t="shared" si="0"/>
        <v>21.670999999999992</v>
      </c>
      <c r="G23" s="192">
        <f t="shared" si="0"/>
        <v>16.371000000000098</v>
      </c>
      <c r="H23" s="192">
        <f t="shared" si="3"/>
        <v>11.071000004109033</v>
      </c>
      <c r="I23" s="192">
        <f t="shared" si="3"/>
        <v>11.073650004087312</v>
      </c>
      <c r="J23" s="192">
        <f t="shared" si="2"/>
        <v>5.7711648611318704</v>
      </c>
      <c r="K23" s="192">
        <f t="shared" si="2"/>
        <v>1.300702066334908</v>
      </c>
      <c r="L23" s="192">
        <f t="shared" si="2"/>
        <v>1.7351551007812127E-3</v>
      </c>
      <c r="M23" s="192">
        <f t="shared" si="2"/>
        <v>1.8227219288730716</v>
      </c>
      <c r="N23" s="193">
        <f t="shared" si="2"/>
        <v>4.4540961097034959</v>
      </c>
      <c r="AM23" s="76"/>
      <c r="AN23" s="76"/>
      <c r="AO23" s="76"/>
      <c r="AP23" s="76"/>
      <c r="AQ23" s="76"/>
      <c r="AR23" s="76"/>
      <c r="AS23" s="76"/>
      <c r="AT23" s="76"/>
    </row>
    <row r="24" spans="1:46" x14ac:dyDescent="0.25">
      <c r="A24" s="170"/>
      <c r="B24" s="180">
        <f>B19*0.2</f>
        <v>0.22200000000000003</v>
      </c>
      <c r="C24" s="191">
        <f t="shared" si="0"/>
        <v>45.285499999999999</v>
      </c>
      <c r="D24" s="192">
        <f t="shared" si="0"/>
        <v>39.985500000000002</v>
      </c>
      <c r="E24" s="192">
        <f t="shared" si="0"/>
        <v>34.685500000000005</v>
      </c>
      <c r="F24" s="192">
        <f t="shared" si="0"/>
        <v>29.385499999999993</v>
      </c>
      <c r="G24" s="192">
        <f t="shared" si="0"/>
        <v>24.085499999999996</v>
      </c>
      <c r="H24" s="192">
        <f t="shared" si="3"/>
        <v>18.785499999999999</v>
      </c>
      <c r="I24" s="192">
        <f t="shared" si="3"/>
        <v>18.788149999999998</v>
      </c>
      <c r="J24" s="192">
        <f t="shared" si="2"/>
        <v>13.485500000004047</v>
      </c>
      <c r="K24" s="192">
        <f t="shared" si="2"/>
        <v>8.1855001623339447</v>
      </c>
      <c r="L24" s="192">
        <f t="shared" si="2"/>
        <v>2.8919341756569845</v>
      </c>
      <c r="M24" s="192">
        <f t="shared" si="2"/>
        <v>3.2552104275205718E-2</v>
      </c>
      <c r="N24" s="193">
        <f t="shared" si="2"/>
        <v>0.98429726632708792</v>
      </c>
      <c r="AM24" s="76"/>
    </row>
    <row r="25" spans="1:46" ht="15.75" thickBot="1" x14ac:dyDescent="0.3">
      <c r="A25" s="172"/>
      <c r="B25" s="181">
        <f>B19*0.1</f>
        <v>0.11100000000000002</v>
      </c>
      <c r="C25" s="194">
        <f t="shared" si="0"/>
        <v>49.142749999999999</v>
      </c>
      <c r="D25" s="195">
        <f t="shared" si="0"/>
        <v>43.842750000000002</v>
      </c>
      <c r="E25" s="195">
        <f t="shared" si="0"/>
        <v>38.542750000000005</v>
      </c>
      <c r="F25" s="195">
        <f t="shared" si="0"/>
        <v>33.242749999999994</v>
      </c>
      <c r="G25" s="195">
        <f t="shared" si="0"/>
        <v>27.942749999999997</v>
      </c>
      <c r="H25" s="195">
        <f t="shared" si="3"/>
        <v>22.642749999999999</v>
      </c>
      <c r="I25" s="195">
        <f t="shared" si="3"/>
        <v>22.645399999999999</v>
      </c>
      <c r="J25" s="195">
        <f t="shared" si="2"/>
        <v>17.342750000000002</v>
      </c>
      <c r="K25" s="195">
        <f t="shared" si="2"/>
        <v>12.042750000028164</v>
      </c>
      <c r="L25" s="195">
        <f t="shared" si="2"/>
        <v>6.7427511304544776</v>
      </c>
      <c r="M25" s="195">
        <f t="shared" si="2"/>
        <v>1.4851700683550872</v>
      </c>
      <c r="N25" s="196">
        <f t="shared" si="2"/>
        <v>0.14660074616094843</v>
      </c>
      <c r="AM25" s="76"/>
    </row>
    <row r="26" spans="1:46" ht="15.75" thickBot="1" x14ac:dyDescent="0.3">
      <c r="AM26" s="76"/>
    </row>
    <row r="27" spans="1:46" ht="15.75" thickBot="1" x14ac:dyDescent="0.3">
      <c r="I27" s="147" t="s">
        <v>363</v>
      </c>
      <c r="J27" s="456" t="s">
        <v>364</v>
      </c>
      <c r="K27" s="456"/>
      <c r="L27" s="456"/>
      <c r="M27" s="456"/>
      <c r="N27" s="456"/>
      <c r="O27" s="457"/>
      <c r="P27" s="158" t="s">
        <v>451</v>
      </c>
      <c r="Q27" s="159">
        <f>(I19-H19)/E7</f>
        <v>1.3326443062731725E-5</v>
      </c>
      <c r="R27" s="158" t="s">
        <v>452</v>
      </c>
      <c r="S27" s="159">
        <f>(H20-H19)/E7</f>
        <v>-1.8332786344640369E-5</v>
      </c>
      <c r="AM27" s="76"/>
    </row>
    <row r="28" spans="1:46" ht="15.75" thickBot="1" x14ac:dyDescent="0.3">
      <c r="N28" s="6"/>
      <c r="O28" s="6"/>
      <c r="Q28"/>
      <c r="AM28" s="76"/>
    </row>
    <row r="29" spans="1:46" ht="15.75" thickBot="1" x14ac:dyDescent="0.3">
      <c r="I29" s="147" t="s">
        <v>367</v>
      </c>
      <c r="J29" s="453" t="s">
        <v>368</v>
      </c>
      <c r="K29" s="454"/>
      <c r="L29" s="454"/>
      <c r="M29" s="454"/>
      <c r="N29" s="454"/>
      <c r="O29" s="454"/>
      <c r="P29" s="454"/>
      <c r="Q29" s="455"/>
      <c r="AM29" s="76"/>
    </row>
    <row r="30" spans="1:46" ht="15.75" thickBot="1" x14ac:dyDescent="0.3">
      <c r="I30" s="138" t="s">
        <v>250</v>
      </c>
      <c r="J30" s="138" t="s">
        <v>249</v>
      </c>
      <c r="K30" s="138" t="s">
        <v>377</v>
      </c>
      <c r="L30" s="138" t="s">
        <v>378</v>
      </c>
      <c r="M30" s="168" t="s">
        <v>375</v>
      </c>
      <c r="N30" s="138" t="s">
        <v>342</v>
      </c>
      <c r="O30" s="187" t="s">
        <v>379</v>
      </c>
      <c r="P30" s="138" t="s">
        <v>320</v>
      </c>
      <c r="Q30" s="186" t="s">
        <v>314</v>
      </c>
      <c r="R30" s="186" t="s">
        <v>380</v>
      </c>
      <c r="AM30" s="76"/>
    </row>
    <row r="31" spans="1:46" ht="15.75" thickBot="1" x14ac:dyDescent="0.3">
      <c r="I31" s="142">
        <f>G6</f>
        <v>-53</v>
      </c>
      <c r="J31" s="142">
        <f>H6</f>
        <v>1.1100000000000001</v>
      </c>
      <c r="K31" s="185">
        <f>0.25*(
(1/(1+$E$5^(-($A$6*I31+$B$6*J31)))-$C$6)+
(1/(1+$E$5^(-($A$7*I31+$B$7*J31)))-$C$7)+
(1/(1+$E$5^(-($A$8*I31+$B$8*J31)))-$C$8)+
(1/(1+$E$5^(-($A$9*I31+$B$9*J31)))-$C$9))</f>
        <v>-2.5046121548607255E-7</v>
      </c>
      <c r="L31" s="185">
        <f>0.25*(
(1/(1+$E$5^(-($A$6*I31+$B$6*J31)))-$C$6)*$B$6+
(1/(1+$E$5^(-($A$7*I31+$B$7*J31)))-$C$7)*$B$7+
(1/(1+$E$5^(-($A$8*I31+$B$8*J31)))-$C$8)*$B$8+
(1/(1+$E$5^(-($A$9*I31+$B$9*J31)))-$C$9)*$B$9)</f>
        <v>-1.6581671620098907E-5</v>
      </c>
      <c r="M31" s="167">
        <f>I31-K31*$E$6</f>
        <v>-52.999999999749541</v>
      </c>
      <c r="N31" s="143">
        <f>J31-L31*$E$6</f>
        <v>1.1100000165816717</v>
      </c>
      <c r="O31" s="167">
        <f t="shared" ref="O31:O48" si="4">I31-M31</f>
        <v>-2.5045920892807771E-10</v>
      </c>
      <c r="P31" s="143">
        <f t="shared" ref="P31:P48" si="5">J31-N31</f>
        <v>-1.6581671591353597E-8</v>
      </c>
      <c r="Q31" s="146">
        <f t="shared" ref="Q31:Q48" si="6">0.25*(
-$C$6*LOG((1/(1+$E$5^(-(I31*$A$6+$J31*$B$6)))),$E$5)-(1-$C$6)*LOG(1-(1/(1+$E$5^(-(I31*$A$6+$J31*$B$6)))),$E$5)
-$C$7*LOG((1/(1+$E$5^(-(I31*$A$7+$J31*$B$7)))),$E$5)-(1-$C$7)*LOG(1-(1/(1+$E$5^(-(I31*$A$7+$J31*$B$7)))),$E$5)
-$C$8*LOG((1/(1+$E$5^(-(I31*$A$8+$J31*$B$8)))),$E$5)-(1-$C$8)*LOG(1-(1/(1+$E$5^(-(I31*$A$8+$J31*$B$8)))),$E$5)
-$C$9*LOG((1/(1+$E$5^(-(I31*$A$9+$J31*$B$9)))),$E$5)-(1-$C$9)*LOG(1-(1/(1+$E$5^(-(I31*$A$9+$J31*$B$9)))),$E$5))</f>
        <v>3.6978575484562638E-7</v>
      </c>
      <c r="R31" s="146">
        <f>I31*$A$6+J31*$B$6</f>
        <v>-15.259999999999998</v>
      </c>
      <c r="AM31" s="76"/>
    </row>
    <row r="32" spans="1:46" x14ac:dyDescent="0.25">
      <c r="I32" s="143">
        <f t="shared" ref="I32:I48" si="7">M31</f>
        <v>-52.999999999749541</v>
      </c>
      <c r="J32" s="143">
        <f t="shared" ref="J32:J48" si="8">N31</f>
        <v>1.1100000165816717</v>
      </c>
      <c r="K32" s="143">
        <f t="shared" ref="K32:K48" si="9">0.25*(
(1/(1+$E$5^(-($A$6*I32+$B$6*J32)))-$C$6)+
(1/(1+$E$5^(-($A$7*I32+$B$7*J32)))-$C$7)+
(1/(1+$E$5^(-($A$8*I32+$B$8*J32)))-$C$8)+
(1/(1+$E$5^(-($A$9*I32+$B$9*J32)))-$C$9))</f>
        <v>-2.5046087326686787E-7</v>
      </c>
      <c r="L32" s="143">
        <f t="shared" ref="L32:L48" si="10">0.25*(
(1/(1+$E$5^(-($A$6*I32+$B$6*J32)))-$C$6)*$B$6+
(1/(1+$E$5^(-($A$7*I32+$B$7*J32)))-$C$7)*$B$7+
(1/(1+$E$5^(-($A$8*I32+$B$8*J32)))-$C$8)*$B$8+
(1/(1+$E$5^(-($A$9*I32+$B$9*J32)))-$C$9)*$B$9)</f>
        <v>-1.658165196206031E-5</v>
      </c>
      <c r="M32" s="167">
        <f t="shared" ref="M32:M48" si="11">I32-L32*$E$6</f>
        <v>-52.999999983167889</v>
      </c>
      <c r="N32" s="143">
        <f t="shared" ref="N32:N48" si="12">J32-L32*$E$6</f>
        <v>1.1100000331633237</v>
      </c>
      <c r="O32" s="167">
        <f t="shared" si="4"/>
        <v>-1.6581651607339154E-8</v>
      </c>
      <c r="P32" s="143">
        <f t="shared" si="5"/>
        <v>-1.6581652051428364E-8</v>
      </c>
      <c r="Q32" s="146">
        <f t="shared" si="6"/>
        <v>3.6978547981525258E-7</v>
      </c>
      <c r="R32" s="146">
        <f>I32*$A$6+J32*$B$6</f>
        <v>-15.259999435972702</v>
      </c>
      <c r="AI32" s="76"/>
      <c r="AJ32" s="76"/>
      <c r="AK32" s="76"/>
      <c r="AL32" s="76"/>
      <c r="AM32" s="76"/>
    </row>
    <row r="33" spans="9:40" x14ac:dyDescent="0.25">
      <c r="I33" s="143">
        <f t="shared" si="7"/>
        <v>-52.999999983167889</v>
      </c>
      <c r="J33" s="143">
        <f t="shared" si="8"/>
        <v>1.1100000331633237</v>
      </c>
      <c r="K33" s="143">
        <f>0.25*(
(1/(1+$E$5^(-($A$6*I33+$B$6*J33)))-$C$6)+
(1/(1+$E$5^(-($A$7*I33+$B$7*J33)))-$C$7)+
(1/(1+$E$5^(-($A$8*I33+$B$8*J33)))-$C$8)+
(1/(1+$E$5^(-($A$9*I33+$B$9*J33)))-$C$9))</f>
        <v>-2.5046052499405841E-7</v>
      </c>
      <c r="L33" s="143">
        <f t="shared" si="10"/>
        <v>-1.6581631966183556E-5</v>
      </c>
      <c r="M33" s="167">
        <f t="shared" si="11"/>
        <v>-52.999999966586259</v>
      </c>
      <c r="N33" s="143">
        <f t="shared" si="12"/>
        <v>1.1100000497449558</v>
      </c>
      <c r="O33" s="167">
        <f t="shared" si="4"/>
        <v>-1.6581630291057081E-8</v>
      </c>
      <c r="P33" s="143">
        <f t="shared" si="5"/>
        <v>-1.6581632067413921E-8</v>
      </c>
      <c r="Q33" s="146">
        <f t="shared" si="6"/>
        <v>3.6978520070480313E-7</v>
      </c>
      <c r="R33" s="146" t="e">
        <f t="shared" ref="R33:R48" si="13">0.25*(
-$C$6*LOG((1/(1+$E$5^(-(J33*$A$6+$J33*$B$6)))),$E$5)-(1-$C$6)*LOG(1-(1/(1+$E$5^(-(J33*$A$6+$J33*$B$6)))),$E$5)
-$C$7*LOG((1/(1+$E$5^(-(J33*$A$7+$J33*$B$7)))),$E$5)-(1-$C$7)*LOG(1-(1/(1+$E$5^(-(J33*$A$7+$J33*$B$7)))),$E$5)
-$C$8*LOG((1/(1+$E$5^(-(J33*$A$8+$J33*$B$8)))),$E$5)-(1-$C$8)*LOG(1-(1/(1+$E$5^(-(J33*$A$8+$J33*$B$8)))),$E$5)
-$C$9*LOG((1/(1+$E$5^(-(J33*$A$9+$J33*$B$9)))),$E$5)-(1-$C$9)*LOG(1-(1/(1+$E$5^(-(J33*$A$9+$J33*$B$9)))),$E$5))</f>
        <v>#NUM!</v>
      </c>
    </row>
    <row r="34" spans="9:40" x14ac:dyDescent="0.25">
      <c r="I34" s="143">
        <f t="shared" si="7"/>
        <v>-52.999999966586259</v>
      </c>
      <c r="J34" s="143">
        <f t="shared" si="8"/>
        <v>1.1100000497449558</v>
      </c>
      <c r="K34" s="143">
        <f t="shared" si="9"/>
        <v>-2.5046017677678203E-7</v>
      </c>
      <c r="L34" s="143">
        <f t="shared" si="10"/>
        <v>-1.6581611973638214E-5</v>
      </c>
      <c r="M34" s="167">
        <f t="shared" si="11"/>
        <v>-52.99999995000465</v>
      </c>
      <c r="N34" s="143">
        <f t="shared" si="12"/>
        <v>1.1100000663265679</v>
      </c>
      <c r="O34" s="167">
        <f t="shared" si="4"/>
        <v>-1.6581608974775008E-8</v>
      </c>
      <c r="P34" s="143">
        <f t="shared" si="5"/>
        <v>-1.6581612083399477E-8</v>
      </c>
      <c r="Q34" s="146">
        <f t="shared" si="6"/>
        <v>3.6978492164986483E-7</v>
      </c>
      <c r="R34" s="146" t="e">
        <f t="shared" si="13"/>
        <v>#NUM!</v>
      </c>
    </row>
    <row r="35" spans="9:40" x14ac:dyDescent="0.25">
      <c r="I35" s="143">
        <f t="shared" si="7"/>
        <v>-52.99999995000465</v>
      </c>
      <c r="J35" s="143">
        <f t="shared" si="8"/>
        <v>1.1100000663265679</v>
      </c>
      <c r="K35" s="143">
        <f t="shared" si="9"/>
        <v>-2.5045982850401594E-7</v>
      </c>
      <c r="L35" s="143">
        <f t="shared" si="10"/>
        <v>-1.6581591977762931E-5</v>
      </c>
      <c r="M35" s="167">
        <f t="shared" si="11"/>
        <v>-52.999999933423055</v>
      </c>
      <c r="N35" s="143">
        <f t="shared" si="12"/>
        <v>1.1100000829081598</v>
      </c>
      <c r="O35" s="167">
        <f t="shared" si="4"/>
        <v>-1.6581594763920293E-8</v>
      </c>
      <c r="P35" s="143">
        <f t="shared" si="5"/>
        <v>-1.6581591877340429E-8</v>
      </c>
      <c r="Q35" s="146">
        <f t="shared" si="6"/>
        <v>3.6978464253941543E-7</v>
      </c>
      <c r="R35" s="146" t="e">
        <f t="shared" si="13"/>
        <v>#NUM!</v>
      </c>
    </row>
    <row r="36" spans="9:40" x14ac:dyDescent="0.25">
      <c r="I36" s="143">
        <f t="shared" si="7"/>
        <v>-52.999999933423055</v>
      </c>
      <c r="J36" s="143">
        <f t="shared" si="8"/>
        <v>1.1100000829081598</v>
      </c>
      <c r="K36" s="143">
        <f t="shared" si="9"/>
        <v>-2.5045948023127171E-7</v>
      </c>
      <c r="L36" s="143">
        <f t="shared" si="10"/>
        <v>-1.658157198188839E-5</v>
      </c>
      <c r="M36" s="167">
        <f t="shared" si="11"/>
        <v>-52.999999916841482</v>
      </c>
      <c r="N36" s="143">
        <f t="shared" si="12"/>
        <v>1.1100000994897317</v>
      </c>
      <c r="O36" s="167">
        <f t="shared" si="4"/>
        <v>-1.658157344763822E-8</v>
      </c>
      <c r="P36" s="143">
        <f t="shared" si="5"/>
        <v>-1.6581571893325986E-8</v>
      </c>
      <c r="Q36" s="146">
        <f t="shared" si="6"/>
        <v>3.6978436342896598E-7</v>
      </c>
      <c r="R36" s="146" t="e">
        <f t="shared" si="13"/>
        <v>#NUM!</v>
      </c>
    </row>
    <row r="37" spans="9:40" x14ac:dyDescent="0.25">
      <c r="I37" s="143">
        <f t="shared" si="7"/>
        <v>-52.999999916841482</v>
      </c>
      <c r="J37" s="143">
        <f t="shared" si="8"/>
        <v>1.1100000994897317</v>
      </c>
      <c r="K37" s="143">
        <f t="shared" si="9"/>
        <v>-2.5045913195854892E-7</v>
      </c>
      <c r="L37" s="143">
        <f t="shared" si="10"/>
        <v>-1.6581551986014577E-5</v>
      </c>
      <c r="M37" s="167">
        <f t="shared" si="11"/>
        <v>-52.99999990025993</v>
      </c>
      <c r="N37" s="143">
        <f t="shared" si="12"/>
        <v>1.1100001160712836</v>
      </c>
      <c r="O37" s="167">
        <f t="shared" si="4"/>
        <v>-1.6581552131356148E-8</v>
      </c>
      <c r="P37" s="143">
        <f t="shared" si="5"/>
        <v>-1.6581551909311543E-8</v>
      </c>
      <c r="Q37" s="146">
        <f t="shared" si="6"/>
        <v>3.6978408429076096E-7</v>
      </c>
      <c r="R37" s="146" t="e">
        <f t="shared" si="13"/>
        <v>#NUM!</v>
      </c>
    </row>
    <row r="38" spans="9:40" x14ac:dyDescent="0.25">
      <c r="I38" s="143">
        <f t="shared" si="7"/>
        <v>-52.99999990025993</v>
      </c>
      <c r="J38" s="143">
        <f t="shared" si="8"/>
        <v>1.1100001160712836</v>
      </c>
      <c r="K38" s="143">
        <f t="shared" si="9"/>
        <v>-2.5045878368584794E-7</v>
      </c>
      <c r="L38" s="143">
        <f t="shared" si="10"/>
        <v>-1.658153199014151E-5</v>
      </c>
      <c r="M38" s="167">
        <f t="shared" si="11"/>
        <v>-52.999999883678399</v>
      </c>
      <c r="N38" s="143">
        <f t="shared" si="12"/>
        <v>1.1100001326528155</v>
      </c>
      <c r="O38" s="167">
        <f t="shared" si="4"/>
        <v>-1.6581530815074075E-8</v>
      </c>
      <c r="P38" s="143">
        <f t="shared" si="5"/>
        <v>-1.6581531925297099E-8</v>
      </c>
      <c r="Q38" s="146">
        <f t="shared" si="6"/>
        <v>3.6978380518031151E-7</v>
      </c>
      <c r="R38" s="146" t="e">
        <f t="shared" si="13"/>
        <v>#NUM!</v>
      </c>
    </row>
    <row r="39" spans="9:40" x14ac:dyDescent="0.25">
      <c r="I39" s="143">
        <f t="shared" si="7"/>
        <v>-52.999999883678399</v>
      </c>
      <c r="J39" s="143">
        <f t="shared" si="8"/>
        <v>1.1100001326528155</v>
      </c>
      <c r="K39" s="143">
        <f t="shared" si="9"/>
        <v>-2.5045843546868003E-7</v>
      </c>
      <c r="L39" s="143">
        <f t="shared" si="10"/>
        <v>-1.6581511997599851E-5</v>
      </c>
      <c r="M39" s="167">
        <f t="shared" si="11"/>
        <v>-52.999999867096889</v>
      </c>
      <c r="N39" s="143">
        <f t="shared" si="12"/>
        <v>1.1100001492343274</v>
      </c>
      <c r="O39" s="167">
        <f t="shared" si="4"/>
        <v>-1.6581509498792002E-8</v>
      </c>
      <c r="P39" s="143">
        <f t="shared" si="5"/>
        <v>-1.6581511941282656E-8</v>
      </c>
      <c r="Q39" s="146">
        <f t="shared" si="6"/>
        <v>3.6978352612537326E-7</v>
      </c>
      <c r="R39" s="146" t="e">
        <f t="shared" si="13"/>
        <v>#NUM!</v>
      </c>
    </row>
    <row r="40" spans="9:40" x14ac:dyDescent="0.25">
      <c r="I40" s="143">
        <f t="shared" si="7"/>
        <v>-52.999999867096889</v>
      </c>
      <c r="J40" s="143">
        <f t="shared" si="8"/>
        <v>1.1100001492343274</v>
      </c>
      <c r="K40" s="143">
        <f t="shared" si="9"/>
        <v>-2.5045808719602246E-7</v>
      </c>
      <c r="L40" s="143">
        <f t="shared" si="10"/>
        <v>-1.6581492001728254E-5</v>
      </c>
      <c r="M40" s="167">
        <f t="shared" si="11"/>
        <v>-52.999999850515394</v>
      </c>
      <c r="N40" s="143">
        <f t="shared" si="12"/>
        <v>1.1100001658158194</v>
      </c>
      <c r="O40" s="167">
        <f t="shared" si="4"/>
        <v>-1.6581495287937287E-8</v>
      </c>
      <c r="P40" s="143">
        <f t="shared" si="5"/>
        <v>-1.6581491957268213E-8</v>
      </c>
      <c r="Q40" s="146">
        <f t="shared" si="6"/>
        <v>3.6978324701492381E-7</v>
      </c>
      <c r="R40" s="146" t="e">
        <f t="shared" si="13"/>
        <v>#NUM!</v>
      </c>
    </row>
    <row r="41" spans="9:40" x14ac:dyDescent="0.25">
      <c r="I41" s="143">
        <f t="shared" si="7"/>
        <v>-52.999999850515394</v>
      </c>
      <c r="J41" s="143">
        <f t="shared" si="8"/>
        <v>1.1100001658158194</v>
      </c>
      <c r="K41" s="143">
        <f t="shared" si="9"/>
        <v>-2.5045773892338628E-7</v>
      </c>
      <c r="L41" s="143">
        <f t="shared" si="10"/>
        <v>-1.6581472005857382E-5</v>
      </c>
      <c r="M41" s="167">
        <f t="shared" si="11"/>
        <v>-52.99999983393392</v>
      </c>
      <c r="N41" s="143">
        <f t="shared" si="12"/>
        <v>1.1100001823972914</v>
      </c>
      <c r="O41" s="167">
        <f t="shared" si="4"/>
        <v>-1.6581473971655214E-8</v>
      </c>
      <c r="P41" s="143">
        <f t="shared" si="5"/>
        <v>-1.658147197325377E-8</v>
      </c>
      <c r="Q41" s="146">
        <f t="shared" si="6"/>
        <v>3.6978296790447436E-7</v>
      </c>
      <c r="R41" s="146" t="e">
        <f t="shared" si="13"/>
        <v>#NUM!</v>
      </c>
      <c r="W41" s="6"/>
    </row>
    <row r="42" spans="9:40" x14ac:dyDescent="0.25">
      <c r="I42" s="143">
        <f t="shared" si="7"/>
        <v>-52.99999983393392</v>
      </c>
      <c r="J42" s="143">
        <f t="shared" si="8"/>
        <v>1.1100001823972914</v>
      </c>
      <c r="K42" s="143">
        <f t="shared" si="9"/>
        <v>-2.5045739070628274E-7</v>
      </c>
      <c r="L42" s="143">
        <f t="shared" si="10"/>
        <v>-1.6581452013317908E-5</v>
      </c>
      <c r="M42" s="167">
        <f t="shared" si="11"/>
        <v>-52.999999817352467</v>
      </c>
      <c r="N42" s="143">
        <f t="shared" si="12"/>
        <v>1.1100001989787434</v>
      </c>
      <c r="O42" s="167">
        <f t="shared" si="4"/>
        <v>-1.6581452655373141E-8</v>
      </c>
      <c r="P42" s="143">
        <f t="shared" si="5"/>
        <v>-1.6581451989239326E-8</v>
      </c>
      <c r="Q42" s="146">
        <f t="shared" si="6"/>
        <v>3.6978268884953617E-7</v>
      </c>
      <c r="R42" s="146" t="e">
        <f t="shared" si="13"/>
        <v>#NUM!</v>
      </c>
      <c r="W42" s="6"/>
    </row>
    <row r="43" spans="9:40" x14ac:dyDescent="0.25">
      <c r="I43" s="143">
        <f t="shared" si="7"/>
        <v>-52.999999817352467</v>
      </c>
      <c r="J43" s="143">
        <f t="shared" si="8"/>
        <v>1.1100001989787434</v>
      </c>
      <c r="K43" s="143">
        <f t="shared" si="9"/>
        <v>-2.5045704243369029E-7</v>
      </c>
      <c r="L43" s="143">
        <f t="shared" si="10"/>
        <v>-1.6581432017448524E-5</v>
      </c>
      <c r="M43" s="167">
        <f t="shared" si="11"/>
        <v>-52.999999800771036</v>
      </c>
      <c r="N43" s="143">
        <f t="shared" si="12"/>
        <v>1.1100002155601754</v>
      </c>
      <c r="O43" s="167">
        <f t="shared" si="4"/>
        <v>-1.6581431339091068E-8</v>
      </c>
      <c r="P43" s="143">
        <f t="shared" si="5"/>
        <v>-1.6581432005224883E-8</v>
      </c>
      <c r="Q43" s="146">
        <f t="shared" si="6"/>
        <v>3.6978240973908667E-7</v>
      </c>
      <c r="R43" s="146" t="e">
        <f t="shared" si="13"/>
        <v>#NUM!</v>
      </c>
      <c r="W43" s="6"/>
    </row>
    <row r="44" spans="9:40" x14ac:dyDescent="0.25">
      <c r="I44" s="143">
        <f t="shared" si="7"/>
        <v>-52.999999800771036</v>
      </c>
      <c r="J44" s="143">
        <f t="shared" si="8"/>
        <v>1.1100002155601754</v>
      </c>
      <c r="K44" s="143">
        <f t="shared" si="9"/>
        <v>-2.5045669416111891E-7</v>
      </c>
      <c r="L44" s="143">
        <f t="shared" si="10"/>
        <v>-1.6581412021579855E-5</v>
      </c>
      <c r="M44" s="167">
        <f t="shared" si="11"/>
        <v>-52.999999784189626</v>
      </c>
      <c r="N44" s="143">
        <f t="shared" si="12"/>
        <v>1.1100002321415874</v>
      </c>
      <c r="O44" s="167">
        <f t="shared" si="4"/>
        <v>-1.6581410022808996E-8</v>
      </c>
      <c r="P44" s="143">
        <f t="shared" si="5"/>
        <v>-1.658141202121044E-8</v>
      </c>
      <c r="Q44" s="146">
        <f t="shared" si="6"/>
        <v>3.697821306008817E-7</v>
      </c>
      <c r="R44" s="146" t="e">
        <f t="shared" si="13"/>
        <v>#NUM!</v>
      </c>
      <c r="W44" s="6"/>
    </row>
    <row r="45" spans="9:40" x14ac:dyDescent="0.25">
      <c r="I45" s="143">
        <f t="shared" si="7"/>
        <v>-52.999999784189626</v>
      </c>
      <c r="J45" s="143">
        <f t="shared" si="8"/>
        <v>1.1100002321415874</v>
      </c>
      <c r="K45" s="143">
        <f t="shared" si="9"/>
        <v>-2.5045634594408091E-7</v>
      </c>
      <c r="L45" s="143">
        <f t="shared" si="10"/>
        <v>-1.6581392029042607E-5</v>
      </c>
      <c r="M45" s="167">
        <f t="shared" si="11"/>
        <v>-52.999999767608237</v>
      </c>
      <c r="N45" s="143">
        <f t="shared" si="12"/>
        <v>1.1100002487229794</v>
      </c>
      <c r="O45" s="167">
        <f t="shared" si="4"/>
        <v>-1.6581388706526923E-8</v>
      </c>
      <c r="P45" s="143">
        <f t="shared" si="5"/>
        <v>-1.6581392037195997E-8</v>
      </c>
      <c r="Q45" s="146">
        <f t="shared" si="6"/>
        <v>3.6978185151818787E-7</v>
      </c>
      <c r="R45" s="146" t="e">
        <f t="shared" si="13"/>
        <v>#NUM!</v>
      </c>
      <c r="W45" s="6"/>
      <c r="AN45" s="6"/>
    </row>
    <row r="46" spans="9:40" x14ac:dyDescent="0.25">
      <c r="I46" s="143">
        <f t="shared" si="7"/>
        <v>-52.999999767608237</v>
      </c>
      <c r="J46" s="143">
        <f t="shared" si="8"/>
        <v>1.1100002487229794</v>
      </c>
      <c r="K46" s="143">
        <f t="shared" si="9"/>
        <v>-2.5045599767155326E-7</v>
      </c>
      <c r="L46" s="143">
        <f t="shared" si="10"/>
        <v>-1.6581372033175421E-5</v>
      </c>
      <c r="M46" s="167">
        <f t="shared" si="11"/>
        <v>-52.999999751026863</v>
      </c>
      <c r="N46" s="143">
        <f t="shared" si="12"/>
        <v>1.1100002653043515</v>
      </c>
      <c r="O46" s="167">
        <f t="shared" si="4"/>
        <v>-1.6581374495672208E-8</v>
      </c>
      <c r="P46" s="143">
        <f t="shared" si="5"/>
        <v>-1.6581372053181553E-8</v>
      </c>
      <c r="Q46" s="146">
        <f t="shared" si="6"/>
        <v>3.6978157240773837E-7</v>
      </c>
      <c r="R46" s="146" t="e">
        <f t="shared" si="13"/>
        <v>#NUM!</v>
      </c>
      <c r="W46" s="6"/>
    </row>
    <row r="47" spans="9:40" x14ac:dyDescent="0.25">
      <c r="I47" s="143">
        <f t="shared" si="7"/>
        <v>-52.999999751026863</v>
      </c>
      <c r="J47" s="143">
        <f t="shared" si="8"/>
        <v>1.1100002653043515</v>
      </c>
      <c r="K47" s="143">
        <f t="shared" si="9"/>
        <v>-2.5045564939904704E-7</v>
      </c>
      <c r="L47" s="143">
        <f t="shared" si="10"/>
        <v>-1.6581352037308961E-5</v>
      </c>
      <c r="M47" s="167">
        <f t="shared" si="11"/>
        <v>-52.99999973444551</v>
      </c>
      <c r="N47" s="143">
        <f t="shared" si="12"/>
        <v>1.1100002818857035</v>
      </c>
      <c r="O47" s="167">
        <f t="shared" si="4"/>
        <v>-1.6581353179390135E-8</v>
      </c>
      <c r="P47" s="143">
        <f t="shared" si="5"/>
        <v>-1.658135206916711E-8</v>
      </c>
      <c r="Q47" s="146">
        <f t="shared" si="6"/>
        <v>3.6978129329728898E-7</v>
      </c>
      <c r="R47" s="146" t="e">
        <f t="shared" si="13"/>
        <v>#NUM!</v>
      </c>
      <c r="W47" s="6"/>
    </row>
    <row r="48" spans="9:40" ht="15.75" thickBot="1" x14ac:dyDescent="0.3">
      <c r="I48" s="144">
        <f t="shared" si="7"/>
        <v>-52.99999973444551</v>
      </c>
      <c r="J48" s="144">
        <f t="shared" si="8"/>
        <v>1.1100002818857035</v>
      </c>
      <c r="K48" s="144">
        <f t="shared" si="9"/>
        <v>-2.5045530118207342E-7</v>
      </c>
      <c r="L48" s="144">
        <f t="shared" si="10"/>
        <v>-1.6581332044773902E-5</v>
      </c>
      <c r="M48" s="173">
        <f t="shared" si="11"/>
        <v>-52.999999717864178</v>
      </c>
      <c r="N48" s="144">
        <f t="shared" si="12"/>
        <v>1.1100002984670356</v>
      </c>
      <c r="O48" s="173">
        <f t="shared" si="4"/>
        <v>-1.6581331863108062E-8</v>
      </c>
      <c r="P48" s="144">
        <f t="shared" si="5"/>
        <v>-1.6581332085152667E-8</v>
      </c>
      <c r="Q48" s="153">
        <f t="shared" si="6"/>
        <v>3.6978101424235073E-7</v>
      </c>
      <c r="R48" s="153" t="e">
        <f t="shared" si="13"/>
        <v>#NUM!</v>
      </c>
      <c r="W48" s="6"/>
    </row>
    <row r="49" spans="1:23" ht="15.75" thickBot="1" x14ac:dyDescent="0.3">
      <c r="W49" s="6"/>
    </row>
    <row r="50" spans="1:23" ht="15.75" thickBot="1" x14ac:dyDescent="0.3">
      <c r="A50" s="326" t="s">
        <v>211</v>
      </c>
      <c r="B50" s="324" t="s">
        <v>330</v>
      </c>
      <c r="C50" s="326" t="s">
        <v>329</v>
      </c>
      <c r="D50" s="327" t="s">
        <v>450</v>
      </c>
      <c r="K50" s="325" t="s">
        <v>369</v>
      </c>
      <c r="L50" s="454" t="s">
        <v>370</v>
      </c>
      <c r="M50" s="454"/>
      <c r="N50" s="454"/>
      <c r="O50" s="454"/>
      <c r="P50" s="454"/>
      <c r="Q50" s="454"/>
      <c r="R50" s="455"/>
      <c r="W50" s="6"/>
    </row>
    <row r="51" spans="1:23" ht="15.75" thickBot="1" x14ac:dyDescent="0.3">
      <c r="A51" s="345">
        <v>-100</v>
      </c>
      <c r="B51" s="341">
        <f>1/(1+$E$5^(-(1*0.1+A51*0.1)))</f>
        <v>5.0172164683764205E-5</v>
      </c>
      <c r="C51" s="342">
        <f>-LOG(B51,$E$5)</f>
        <v>9.9000501734233488</v>
      </c>
      <c r="D51" s="341">
        <f>-LOG(1-B51,$E$5)</f>
        <v>5.0173423348880768E-5</v>
      </c>
      <c r="K51" s="164" t="s">
        <v>211</v>
      </c>
      <c r="L51" s="164" t="s">
        <v>251</v>
      </c>
      <c r="M51" s="343"/>
      <c r="N51" s="129"/>
      <c r="O51" s="129"/>
      <c r="P51" s="129"/>
      <c r="Q51" s="129"/>
      <c r="R51" s="344"/>
      <c r="W51" s="6"/>
    </row>
    <row r="52" spans="1:23" x14ac:dyDescent="0.25">
      <c r="A52" s="346">
        <v>-50</v>
      </c>
      <c r="B52" s="328">
        <f t="shared" ref="B52:B61" si="14">1/(1+$E$5^(-(1*0.1+A52*0.1)))</f>
        <v>7.3915413442819707E-3</v>
      </c>
      <c r="C52" s="329">
        <f t="shared" ref="C52:C61" si="15">-LOG(B52,$E$5)</f>
        <v>4.9074189941486868</v>
      </c>
      <c r="D52" s="328">
        <f t="shared" ref="D52:D61" si="16">-LOG(1-B52,$E$5)</f>
        <v>7.4189941486867304E-3</v>
      </c>
      <c r="K52" s="260">
        <v>30</v>
      </c>
      <c r="L52" s="142">
        <f t="shared" ref="L52:L61" si="17">1/(1+$E$5^(-($G$6+K52*$H$6)))</f>
        <v>2.7822663632748764E-9</v>
      </c>
      <c r="M52" s="78"/>
      <c r="N52" s="76"/>
      <c r="O52" s="76"/>
      <c r="P52" s="76"/>
      <c r="Q52" s="76"/>
      <c r="R52" s="77"/>
      <c r="W52" s="6"/>
    </row>
    <row r="53" spans="1:23" x14ac:dyDescent="0.25">
      <c r="A53" s="346">
        <v>-25</v>
      </c>
      <c r="B53" s="328">
        <f t="shared" si="14"/>
        <v>8.317269649392238E-2</v>
      </c>
      <c r="C53" s="329">
        <f t="shared" si="15"/>
        <v>2.4868361521539497</v>
      </c>
      <c r="D53" s="328">
        <f t="shared" si="16"/>
        <v>8.6836152153949644E-2</v>
      </c>
      <c r="K53" s="262">
        <v>35</v>
      </c>
      <c r="L53" s="143">
        <f t="shared" si="17"/>
        <v>7.1570288892796142E-7</v>
      </c>
      <c r="M53" s="78"/>
      <c r="N53" s="76"/>
      <c r="O53" s="76"/>
      <c r="P53" s="76"/>
      <c r="Q53" s="76"/>
      <c r="R53" s="77"/>
      <c r="W53" s="6"/>
    </row>
    <row r="54" spans="1:23" x14ac:dyDescent="0.25">
      <c r="A54" s="346">
        <v>-10</v>
      </c>
      <c r="B54" s="328">
        <f t="shared" si="14"/>
        <v>0.289050497374996</v>
      </c>
      <c r="C54" s="329">
        <f t="shared" si="15"/>
        <v>1.241153874732088</v>
      </c>
      <c r="D54" s="328">
        <f t="shared" si="16"/>
        <v>0.34115387473208775</v>
      </c>
      <c r="K54" s="262">
        <v>40</v>
      </c>
      <c r="L54" s="143">
        <f t="shared" si="17"/>
        <v>1.8407190496342495E-4</v>
      </c>
      <c r="M54" s="78"/>
      <c r="N54" s="76"/>
      <c r="O54" s="76"/>
      <c r="P54" s="76"/>
      <c r="Q54" s="76"/>
      <c r="R54" s="77"/>
      <c r="W54" s="6"/>
    </row>
    <row r="55" spans="1:23" x14ac:dyDescent="0.25">
      <c r="A55" s="346">
        <v>-5</v>
      </c>
      <c r="B55" s="328">
        <f t="shared" si="14"/>
        <v>0.401312339887548</v>
      </c>
      <c r="C55" s="329">
        <f t="shared" si="15"/>
        <v>0.91301525239995263</v>
      </c>
      <c r="D55" s="328">
        <f t="shared" si="16"/>
        <v>0.5130152523999526</v>
      </c>
      <c r="K55" s="262">
        <v>45</v>
      </c>
      <c r="L55" s="143">
        <f t="shared" si="17"/>
        <v>4.5217473483287612E-2</v>
      </c>
      <c r="M55" s="78"/>
      <c r="N55" s="76"/>
      <c r="O55" s="76"/>
      <c r="P55" s="76"/>
      <c r="Q55" s="76"/>
      <c r="R55" s="77"/>
      <c r="W55" s="6"/>
    </row>
    <row r="56" spans="1:23" x14ac:dyDescent="0.25">
      <c r="A56" s="347">
        <v>0</v>
      </c>
      <c r="B56" s="328">
        <f t="shared" si="14"/>
        <v>0.52497918747894001</v>
      </c>
      <c r="C56" s="329">
        <f t="shared" si="15"/>
        <v>0.64439666007357088</v>
      </c>
      <c r="D56" s="328">
        <f t="shared" si="16"/>
        <v>0.74439666007357097</v>
      </c>
      <c r="K56" s="262">
        <v>50</v>
      </c>
      <c r="L56" s="143">
        <f t="shared" si="17"/>
        <v>0.92414181997875688</v>
      </c>
      <c r="M56" s="78"/>
      <c r="N56" s="76"/>
      <c r="O56" s="76"/>
      <c r="P56" s="76"/>
      <c r="Q56" s="76"/>
      <c r="R56" s="77"/>
      <c r="W56" s="6"/>
    </row>
    <row r="57" spans="1:23" x14ac:dyDescent="0.25">
      <c r="A57" s="347">
        <v>5</v>
      </c>
      <c r="B57" s="328">
        <f t="shared" si="14"/>
        <v>0.6456563062257954</v>
      </c>
      <c r="C57" s="329">
        <f t="shared" si="15"/>
        <v>0.43748795048588573</v>
      </c>
      <c r="D57" s="328">
        <f t="shared" si="16"/>
        <v>1.0374879504858854</v>
      </c>
      <c r="K57" s="262">
        <v>55</v>
      </c>
      <c r="L57" s="143">
        <f t="shared" si="17"/>
        <v>0.99968099987107306</v>
      </c>
      <c r="M57" s="78"/>
      <c r="N57" s="76"/>
      <c r="O57" s="76"/>
      <c r="P57" s="76"/>
      <c r="Q57" s="76"/>
      <c r="R57" s="77"/>
      <c r="W57" s="6"/>
    </row>
    <row r="58" spans="1:23" x14ac:dyDescent="0.25">
      <c r="A58" s="347">
        <v>10</v>
      </c>
      <c r="B58" s="328">
        <f t="shared" si="14"/>
        <v>0.75026010559511769</v>
      </c>
      <c r="C58" s="329">
        <f t="shared" si="15"/>
        <v>0.2873353251154307</v>
      </c>
      <c r="D58" s="328">
        <f t="shared" si="16"/>
        <v>1.3873353251154312</v>
      </c>
      <c r="K58" s="262">
        <v>60</v>
      </c>
      <c r="L58" s="143">
        <f t="shared" si="17"/>
        <v>0.99999875950645889</v>
      </c>
      <c r="M58" s="78"/>
      <c r="N58" s="76"/>
      <c r="O58" s="76"/>
      <c r="P58" s="76"/>
      <c r="Q58" s="76"/>
      <c r="R58" s="77"/>
      <c r="W58" s="6"/>
    </row>
    <row r="59" spans="1:23" x14ac:dyDescent="0.25">
      <c r="A59" s="347">
        <v>25</v>
      </c>
      <c r="B59" s="328">
        <f t="shared" si="14"/>
        <v>0.93086157965665328</v>
      </c>
      <c r="C59" s="329">
        <f t="shared" si="15"/>
        <v>7.1644691967669705E-2</v>
      </c>
      <c r="D59" s="328">
        <f t="shared" si="16"/>
        <v>2.6716446919676713</v>
      </c>
      <c r="K59" s="262">
        <v>65</v>
      </c>
      <c r="L59" s="143">
        <f t="shared" si="17"/>
        <v>0.99999999517762839</v>
      </c>
      <c r="M59" s="78"/>
      <c r="N59" s="76"/>
      <c r="O59" s="76"/>
      <c r="P59" s="76"/>
      <c r="Q59" s="76"/>
      <c r="R59" s="77"/>
      <c r="W59" s="6"/>
    </row>
    <row r="60" spans="1:23" x14ac:dyDescent="0.25">
      <c r="A60" s="347">
        <v>50</v>
      </c>
      <c r="B60" s="328">
        <f t="shared" si="14"/>
        <v>0.99394019850841575</v>
      </c>
      <c r="C60" s="329">
        <f t="shared" si="15"/>
        <v>6.0782366017793311E-3</v>
      </c>
      <c r="D60" s="328">
        <f t="shared" si="16"/>
        <v>5.106078236601757</v>
      </c>
      <c r="K60" s="262">
        <v>70</v>
      </c>
      <c r="L60" s="143">
        <f t="shared" si="17"/>
        <v>0.99999999998125322</v>
      </c>
      <c r="M60" s="78"/>
      <c r="N60" s="76"/>
      <c r="O60" s="76"/>
      <c r="P60" s="76"/>
      <c r="Q60" s="76"/>
      <c r="R60" s="77"/>
      <c r="W60" s="6"/>
    </row>
    <row r="61" spans="1:23" ht="15.75" thickBot="1" x14ac:dyDescent="0.3">
      <c r="A61" s="348">
        <v>100</v>
      </c>
      <c r="B61" s="73">
        <f t="shared" si="14"/>
        <v>0.99995892213223525</v>
      </c>
      <c r="C61" s="330">
        <f t="shared" si="15"/>
        <v>4.1078711483464994E-5</v>
      </c>
      <c r="D61" s="73">
        <f t="shared" si="16"/>
        <v>10.100041078711822</v>
      </c>
      <c r="K61" s="261">
        <v>75</v>
      </c>
      <c r="L61" s="144">
        <f t="shared" si="17"/>
        <v>0.99999999999992717</v>
      </c>
      <c r="M61" s="79"/>
      <c r="N61" s="80"/>
      <c r="O61" s="80"/>
      <c r="P61" s="80"/>
      <c r="Q61" s="80"/>
      <c r="R61" s="82"/>
      <c r="W61" s="6"/>
    </row>
    <row r="62" spans="1:23" ht="15.75" thickBot="1" x14ac:dyDescent="0.3">
      <c r="G62" s="76"/>
      <c r="W62" s="6"/>
    </row>
    <row r="63" spans="1:23" ht="15.75" thickBot="1" x14ac:dyDescent="0.3">
      <c r="A63" s="160" t="s">
        <v>371</v>
      </c>
      <c r="B63" s="161" t="s">
        <v>454</v>
      </c>
      <c r="C63" s="162">
        <f>I48</f>
        <v>-52.99999973444551</v>
      </c>
      <c r="D63" s="161" t="s">
        <v>372</v>
      </c>
      <c r="E63" s="162">
        <f>J48</f>
        <v>1.1100002818857035</v>
      </c>
      <c r="F63" s="263"/>
      <c r="G63" s="161">
        <v>-60</v>
      </c>
      <c r="H63" s="161">
        <v>1.224</v>
      </c>
      <c r="I63" s="263"/>
      <c r="J63" s="263"/>
      <c r="K63" s="263"/>
      <c r="L63" s="263"/>
      <c r="M63" s="263"/>
      <c r="N63" s="263"/>
      <c r="O63" s="263"/>
      <c r="P63" s="263"/>
      <c r="Q63" s="263"/>
      <c r="R63" s="264"/>
      <c r="W63" s="6"/>
    </row>
    <row r="65" spans="1:19" ht="15.75" thickBot="1" x14ac:dyDescent="0.3">
      <c r="O65" s="76"/>
    </row>
    <row r="66" spans="1:19" ht="15.75" thickBot="1" x14ac:dyDescent="0.3">
      <c r="A66" s="461" t="s">
        <v>528</v>
      </c>
      <c r="B66" s="462"/>
      <c r="C66" s="462"/>
      <c r="D66" s="486"/>
      <c r="E66" s="486"/>
      <c r="F66" s="486"/>
      <c r="G66" s="462"/>
      <c r="H66" s="462"/>
      <c r="I66" s="462"/>
      <c r="J66" s="462"/>
      <c r="K66" s="462"/>
      <c r="L66" s="462"/>
      <c r="M66" s="462"/>
      <c r="N66" s="462"/>
      <c r="O66" s="462"/>
      <c r="P66" s="462"/>
      <c r="Q66" s="462"/>
      <c r="R66" s="462"/>
      <c r="S66" s="463"/>
    </row>
    <row r="67" spans="1:19" ht="15.75" thickBot="1" x14ac:dyDescent="0.3">
      <c r="A67" s="49" t="s">
        <v>525</v>
      </c>
      <c r="B67" s="88" t="s">
        <v>343</v>
      </c>
      <c r="C67" s="359">
        <f>EXP(1)</f>
        <v>2.7182818284590451</v>
      </c>
      <c r="D67" s="355" t="s">
        <v>539</v>
      </c>
      <c r="E67" s="360">
        <v>1E-3</v>
      </c>
      <c r="F67" s="355" t="s">
        <v>540</v>
      </c>
      <c r="G67" s="361">
        <v>0.01</v>
      </c>
    </row>
    <row r="68" spans="1:19" ht="15.75" thickBot="1" x14ac:dyDescent="0.3">
      <c r="A68" s="464" t="s">
        <v>529</v>
      </c>
      <c r="B68" s="466"/>
      <c r="C68" s="466"/>
      <c r="D68" s="475"/>
      <c r="E68" s="261" t="s">
        <v>352</v>
      </c>
      <c r="F68" s="261" t="s">
        <v>353</v>
      </c>
      <c r="G68" s="431" t="s">
        <v>354</v>
      </c>
      <c r="H68" s="432"/>
      <c r="I68" s="432"/>
      <c r="J68" s="137" t="s">
        <v>532</v>
      </c>
      <c r="K68" s="350" t="s">
        <v>531</v>
      </c>
      <c r="L68" s="137" t="s">
        <v>534</v>
      </c>
      <c r="M68" s="431" t="s">
        <v>536</v>
      </c>
      <c r="N68" s="432"/>
      <c r="O68" s="432"/>
      <c r="P68" s="432"/>
      <c r="Q68" s="432"/>
      <c r="R68" s="432"/>
      <c r="S68" s="433"/>
    </row>
    <row r="69" spans="1:19" ht="15.75" thickBot="1" x14ac:dyDescent="0.3">
      <c r="A69" s="13" t="s">
        <v>251</v>
      </c>
      <c r="B69" s="352" t="s">
        <v>374</v>
      </c>
      <c r="C69" s="354" t="s">
        <v>327</v>
      </c>
      <c r="D69" s="353" t="s">
        <v>480</v>
      </c>
      <c r="E69" s="164" t="s">
        <v>351</v>
      </c>
      <c r="F69" s="164" t="s">
        <v>330</v>
      </c>
      <c r="G69" s="164" t="s">
        <v>328</v>
      </c>
      <c r="H69" s="364" t="s">
        <v>527</v>
      </c>
      <c r="I69" s="388" t="s">
        <v>482</v>
      </c>
      <c r="J69" s="138" t="s">
        <v>339</v>
      </c>
      <c r="K69" s="389" t="s">
        <v>530</v>
      </c>
      <c r="L69" s="164" t="s">
        <v>533</v>
      </c>
      <c r="M69" s="138" t="s">
        <v>250</v>
      </c>
      <c r="N69" s="138" t="s">
        <v>249</v>
      </c>
      <c r="O69" s="138" t="s">
        <v>481</v>
      </c>
      <c r="P69" s="138" t="s">
        <v>377</v>
      </c>
      <c r="Q69" s="138" t="s">
        <v>378</v>
      </c>
      <c r="R69" s="138" t="s">
        <v>535</v>
      </c>
      <c r="S69" s="138" t="s">
        <v>328</v>
      </c>
    </row>
    <row r="70" spans="1:19" x14ac:dyDescent="0.25">
      <c r="A70" s="377">
        <v>0</v>
      </c>
      <c r="B70" s="100">
        <v>1</v>
      </c>
      <c r="C70" s="135">
        <v>34.623659624516897</v>
      </c>
      <c r="D70" s="362">
        <v>78.0246928153624</v>
      </c>
      <c r="E70" s="142">
        <f t="shared" ref="E70:E75" si="18">B70*$B$76+C70*$C$76+D70*$D$76</f>
        <v>-113.64835243987929</v>
      </c>
      <c r="F70" s="216">
        <f t="shared" ref="F70:F75" si="19">1/(1+$C$67^(-E70))</f>
        <v>4.3969108280923655E-50</v>
      </c>
      <c r="G70" s="142">
        <f t="shared" ref="G70:G75" si="20">-A70*LOG(F70,$C$67)-(1-A70)*LOG(1-F70,$C$67)</f>
        <v>0</v>
      </c>
      <c r="H70" s="381">
        <f t="shared" ref="H70:H75" si="21">-LOG(F70,$C$88)</f>
        <v>113.64835243987929</v>
      </c>
      <c r="I70" s="366">
        <f t="shared" ref="I70:I75" si="22">-LOG((1-F70),$C$88)</f>
        <v>0</v>
      </c>
      <c r="J70" s="142">
        <f>F70-A70</f>
        <v>4.3969108280923655E-50</v>
      </c>
      <c r="K70" s="265">
        <f>J70*C70</f>
        <v>1.5223714391122279E-48</v>
      </c>
      <c r="L70" s="142">
        <f>J70*D70</f>
        <v>3.4306761669844753E-48</v>
      </c>
      <c r="M70" s="167">
        <f>B76</f>
        <v>-1</v>
      </c>
      <c r="N70" s="143">
        <f>C76</f>
        <v>-1</v>
      </c>
      <c r="O70" s="146">
        <f>D76</f>
        <v>-1</v>
      </c>
      <c r="P70" s="143">
        <f>J76</f>
        <v>-0.33333333333333331</v>
      </c>
      <c r="Q70" s="143">
        <f>K76</f>
        <v>-23.202555906153304</v>
      </c>
      <c r="R70" s="143">
        <f>L76</f>
        <v>-26.942154755396416</v>
      </c>
      <c r="S70" s="143">
        <f>G76</f>
        <v>50.478043994883038</v>
      </c>
    </row>
    <row r="71" spans="1:19" x14ac:dyDescent="0.25">
      <c r="A71" s="377">
        <v>0</v>
      </c>
      <c r="B71" s="100">
        <v>1</v>
      </c>
      <c r="C71" s="135">
        <v>30.286710768226001</v>
      </c>
      <c r="D71" s="362">
        <v>43.894997524000999</v>
      </c>
      <c r="E71" s="143">
        <f t="shared" si="18"/>
        <v>-75.181708292227</v>
      </c>
      <c r="F71" s="213">
        <f t="shared" si="19"/>
        <v>2.2335668156302946E-33</v>
      </c>
      <c r="G71" s="143">
        <f t="shared" si="20"/>
        <v>0</v>
      </c>
      <c r="H71" s="382">
        <f t="shared" si="21"/>
        <v>75.181708292227</v>
      </c>
      <c r="I71" s="368">
        <f t="shared" si="22"/>
        <v>0</v>
      </c>
      <c r="J71" s="143">
        <f t="shared" ref="J71:J75" si="23">F71-A71</f>
        <v>2.2335668156302946E-33</v>
      </c>
      <c r="K71" s="167">
        <f t="shared" ref="K71:K75" si="24">J71*C71</f>
        <v>6.7647392126502307E-32</v>
      </c>
      <c r="L71" s="143">
        <f t="shared" ref="L71:L75" si="25">J71*D71</f>
        <v>9.8042409841782581E-32</v>
      </c>
      <c r="M71" s="167">
        <f>M70-$E$67*P70</f>
        <v>-0.9996666666666667</v>
      </c>
      <c r="N71" s="143">
        <f t="shared" ref="N71:O74" si="26">N70-$G$67*Q70</f>
        <v>-0.76797444093846701</v>
      </c>
      <c r="O71" s="167">
        <f t="shared" si="26"/>
        <v>-0.73057845244603581</v>
      </c>
      <c r="P71" s="143">
        <f>(1/6)*(
(1/(1+$C$67^(-($B$70*M71+$C$70*N71+$D$70*O71)))-$A$70)+
(1/(1+$C$67^(-($B$71*M71+$C$71*N71+$D$71*O71)))-$A$71)+
(1/(1+$C$67^(-($B$72*M71+$C$72*N71+$D$72*O71)))-$A$72)+
(1/(1+$C$67^(-($B$73*M71+$C$73*N71+$D$73*O71)))-$A$73)+
(1/(1+$C$67^(-($B$74*M71+$C$74*N71+$D$74*O71)))-$A$74)+
(1/(1+$C$67^(-($B$75*M71+$C$75*N71+$D$75*O71)))-$A$75))</f>
        <v>-0.33333333333333331</v>
      </c>
      <c r="Q71" s="143">
        <f>(1/6)*(
(1/(1+$C$67^(-($B$70*M71+$C$70*N71+$D$70*O71)))-$A$70)*$C$70+
(1/(1+$C$67^(-($B$71*M71+$C$71*N71+$D$71*O71)))-$A$71)*$C$71+
(1/(1+$C$67^(-($B$72*M71+$C$72*N71+$D$72*O71)))-$A$72)*$C$72+
(1/(1+$C$67^(-($B$73*M71+$C$73*N71+$D$73*O71)))-$A$73)*$C$73+
(1/(1+$C$67^(-($B$74*M71+$C$74*N71+$D$74*O71)))-$A$74)*$C$74+
(1/(1+$C$67^(-($B$75*M71+$C$75*N71+$D$75*O71)))-$A$75)*$C$75)</f>
        <v>-23.2025559061533</v>
      </c>
      <c r="R71" s="143">
        <f>(1/6)*(
(1/(1+$C$67^(-($B$70*M71+$C$70*N71+$D$70*O71)))-$A$70)*$D$70+
(1/(1+$C$67^(-($B$71*M71+$C$71*N71+$D$71*O71)))-$A$71)*$D$71+
(1/(1+$C$67^(-($B$72*M71+$C$72*N71+$D$72*O71)))-$A$72)*$D$72+
(1/(1+$C$67^(-($B$73*M71+$C$73*N71+$D$73*O71)))-$A$73)*$D$73+
(1/(1+$C$67^(-($B$74*M71+$C$74*N71+$D$74*O71)))-$A$74)*$D$74+
(1/(1+$C$67^(-($B$75*M71+$C$75*N71+$D$75*O71)))-$A$75)*$D$75)</f>
        <v>-26.942154755396416</v>
      </c>
      <c r="S71" s="143">
        <f>(1/6)*(
-$A$70*LOG((1/(1+$C$88^(-($B$70*M71+$C$70*N71+$D$70*O71)))),$C$88)-(1-$A$70)*LOG(1-(1/(1+$C$88^(-($B$70*M71+$C$70*N71+$D$70*O71)))),$C$88)+
-$A$71*LOG((1/(1+$C$88^(-($B$71*M71+$C$71*N71+$D$71*O71)))),$C$88)-(1-$A$71)*LOG(1-(1/(1+$C$88^(-($B$71*M71+$C$71*N71+$D$71*O71)))),$C$88)+
-$A$72*LOG((1/(1+$C$88^(-($B$72*M71+$C$72*N71+$D$72*O71)))),$C$88)-(1-$A$72)*LOG(1-(1/(1+$C$88^(-($B$72*M71+$C$72*N71+$D$72*O71)))),$C$88)+
-$A$73*LOG((1/(1+$C$88^(-($B$73*M71+$C$73*N71+$D$73*O71)))),$C$88)-(1-$A$73)*LOG(1-(1/(1+$C$88^(-($B$73*M71+$C$73*N71+$D$73*O71)))),$C$88)+
-$A$74*LOG((1/(1+$C$88^(-($B$74*M71+$C$74*N71+$D$74*O71)))),$C$88)-(1-$A$74)*LOG(1-(1/(1+$C$88^(-($B$74*M71+$C$74*N71+$D$74*O71)))),$C$88)+
-$A$75*LOG((1/(1+$C$88^(-($B$75*M71+$C$75*N71+$D$75*O71)))),$C$88)-(1-$A$75)*LOG(1-(1/(1+$C$88^(-($B$75*M71+$C$75*N71+$D$75*O71)))),$C$88))</f>
        <v>37.835549849352944</v>
      </c>
    </row>
    <row r="72" spans="1:19" x14ac:dyDescent="0.25">
      <c r="A72" s="377">
        <v>0</v>
      </c>
      <c r="B72" s="100">
        <v>1</v>
      </c>
      <c r="C72" s="135">
        <v>35.847408769938703</v>
      </c>
      <c r="D72" s="362">
        <v>72.9021980270836</v>
      </c>
      <c r="E72" s="143">
        <f t="shared" si="18"/>
        <v>-109.7496067970223</v>
      </c>
      <c r="F72" s="213">
        <f t="shared" si="19"/>
        <v>2.1694586506691487E-48</v>
      </c>
      <c r="G72" s="143">
        <f t="shared" si="20"/>
        <v>0</v>
      </c>
      <c r="H72" s="383">
        <f t="shared" si="21"/>
        <v>109.7496067970223</v>
      </c>
      <c r="I72" s="370">
        <f t="shared" si="22"/>
        <v>0</v>
      </c>
      <c r="J72" s="143">
        <f t="shared" si="23"/>
        <v>2.1694586506691487E-48</v>
      </c>
      <c r="K72" s="167">
        <f t="shared" si="24"/>
        <v>7.7769471060016629E-47</v>
      </c>
      <c r="L72" s="143">
        <f t="shared" si="25"/>
        <v>1.5815830416265187E-46</v>
      </c>
      <c r="M72" s="167">
        <f>M71-$E$67*P71</f>
        <v>-0.99933333333333341</v>
      </c>
      <c r="N72" s="143">
        <f t="shared" si="26"/>
        <v>-0.53594888187693401</v>
      </c>
      <c r="O72" s="167">
        <f t="shared" si="26"/>
        <v>-0.46115690489207162</v>
      </c>
      <c r="P72" s="143">
        <f>(1/6)*(
(1/(1+$C$67^(-($B$70*M72+$C$70*N72+$D$70*O72)))-$A$70)+
(1/(1+$C$67^(-($B$71*M72+$C$71*N72+$D$71*O72)))-$A$71)+
(1/(1+$C$67^(-($B$72*M72+$C$72*N72+$D$72*O72)))-$A$72)+
(1/(1+$C$67^(-($B$73*M72+$C$73*N72+$D$73*O72)))-$A$73)+
(1/(1+$C$67^(-($B$74*M72+$C$74*N72+$D$74*O72)))-$A$74)+
(1/(1+$C$67^(-($B$75*M72+$C$75*N72+$D$75*O72)))-$A$75))</f>
        <v>-0.33333333333333331</v>
      </c>
      <c r="Q72" s="143">
        <f>(1/6)*(
(1/(1+$C$67^(-($B$70*M72+$C$70*N72+$D$70*O72)))-$A$70)*$C$70+
(1/(1+$C$67^(-($B$71*M72+$C$71*N72+$D$71*O72)))-$A$71)*$C$71+
(1/(1+$C$67^(-($B$72*M72+$C$72*N72+$D$72*O72)))-$A$72)*$C$72+
(1/(1+$C$67^(-($B$73*M72+$C$73*N72+$D$73*O72)))-$A$73)*$C$73+
(1/(1+$C$67^(-($B$74*M72+$C$74*N72+$D$74*O72)))-$A$74)*$C$74+
(1/(1+$C$67^(-($B$75*M72+$C$75*N72+$D$75*O72)))-$A$75)*$C$75)</f>
        <v>-23.2025559061533</v>
      </c>
      <c r="R72" s="143">
        <f>(1/6)*(
(1/(1+$C$67^(-($B$70*M72+$C$70*N72+$D$70*O72)))-$A$70)*$D$70+
(1/(1+$C$67^(-($B$71*M72+$C$71*N72+$D$71*O72)))-$A$71)*$D$71+
(1/(1+$C$67^(-($B$72*M72+$C$72*N72+$D$72*O72)))-$A$72)*$D$72+
(1/(1+$C$67^(-($B$73*M72+$C$73*N72+$D$73*O72)))-$A$73)*$D$73+
(1/(1+$C$67^(-($B$74*M72+$C$74*N72+$D$74*O72)))-$A$74)*$D$74+
(1/(1+$C$67^(-($B$75*M72+$C$75*N72+$D$75*O72)))-$A$75)*$D$75)</f>
        <v>-26.942154755396416</v>
      </c>
      <c r="S72" s="143">
        <f>(1/6)*(
-$A$70*LOG((1/(1+$C$88^(-($B$70*M72+$C$70*N72+$D$70*O72)))),$C$88)-(1-$A$70)*LOG(1-(1/(1+$C$88^(-($B$70*M72+$C$70*N72+$D$70*O72)))),$C$88)+
-$A$71*LOG((1/(1+$C$88^(-($B$71*M72+$C$71*N72+$D$71*O72)))),$C$88)-(1-$A$71)*LOG(1-(1/(1+$C$88^(-($B$71*M72+$C$71*N72+$D$71*O72)))),$C$88)+
-$A$72*LOG((1/(1+$C$88^(-($B$72*M72+$C$72*N72+$D$72*O72)))),$C$88)-(1-$A$72)*LOG(1-(1/(1+$C$88^(-($B$72*M72+$C$72*N72+$D$72*O72)))),$C$88)+
-$A$73*LOG((1/(1+$C$88^(-($B$73*M72+$C$73*N72+$D$73*O72)))),$C$88)-(1-$A$73)*LOG(1-(1/(1+$C$88^(-($B$73*M72+$C$73*N72+$D$73*O72)))),$C$88)+
-$A$74*LOG((1/(1+$C$88^(-($B$74*M72+$C$74*N72+$D$74*O72)))),$C$88)-(1-$A$74)*LOG(1-(1/(1+$C$88^(-($B$74*M72+$C$74*N72+$D$74*O72)))),$C$88)+
-$A$75*LOG((1/(1+$C$88^(-($B$75*M72+$C$75*N72+$D$75*O72)))),$C$88)-(1-$A$75)*LOG(1-(1/(1+$C$88^(-($B$75*M72+$C$75*N72+$D$75*O72)))),$C$88))</f>
        <v>25.193055703822843</v>
      </c>
    </row>
    <row r="73" spans="1:19" x14ac:dyDescent="0.25">
      <c r="A73" s="377">
        <v>1</v>
      </c>
      <c r="B73" s="100">
        <v>1</v>
      </c>
      <c r="C73" s="135">
        <v>60.182599386209702</v>
      </c>
      <c r="D73" s="362">
        <v>86.308552095468201</v>
      </c>
      <c r="E73" s="143">
        <f t="shared" si="18"/>
        <v>-147.49115148167789</v>
      </c>
      <c r="F73" s="213">
        <f t="shared" si="19"/>
        <v>8.8187449408264989E-65</v>
      </c>
      <c r="G73" s="143">
        <f t="shared" si="20"/>
        <v>147.49115148167789</v>
      </c>
      <c r="H73" s="383">
        <f t="shared" si="21"/>
        <v>147.49115148167789</v>
      </c>
      <c r="I73" s="370">
        <f t="shared" si="22"/>
        <v>0</v>
      </c>
      <c r="J73" s="143">
        <f t="shared" si="23"/>
        <v>-1</v>
      </c>
      <c r="K73" s="167">
        <f t="shared" si="24"/>
        <v>-60.182599386209702</v>
      </c>
      <c r="L73" s="143">
        <f t="shared" si="25"/>
        <v>-86.308552095468201</v>
      </c>
      <c r="M73" s="167">
        <f>M72-$E$67*P72</f>
        <v>-0.99900000000000011</v>
      </c>
      <c r="N73" s="143">
        <f t="shared" si="26"/>
        <v>-0.30392332281540102</v>
      </c>
      <c r="O73" s="167">
        <f t="shared" si="26"/>
        <v>-0.19173535733810743</v>
      </c>
      <c r="P73" s="143">
        <f>(1/6)*(
(1/(1+$C$67^(-($B$70*M73+$C$70*N73+$D$70*O73)))-$A$70)+
(1/(1+$C$67^(-($B$71*M73+$C$71*N73+$D$71*O73)))-$A$71)+
(1/(1+$C$67^(-($B$72*M73+$C$72*N73+$D$72*O73)))-$A$72)+
(1/(1+$C$67^(-($B$73*M73+$C$73*N73+$D$73*O73)))-$A$73)+
(1/(1+$C$67^(-($B$74*M73+$C$74*N73+$D$74*O73)))-$A$74)+
(1/(1+$C$67^(-($B$75*M73+$C$75*N73+$D$75*O73)))-$A$75))</f>
        <v>-0.33333333196503628</v>
      </c>
      <c r="Q73" s="143">
        <f>(1/6)*(
(1/(1+$C$67^(-($B$70*M73+$C$70*N73+$D$70*O73)))-$A$70)*$C$70+
(1/(1+$C$67^(-($B$71*M73+$C$71*N73+$D$71*O73)))-$A$71)*$C$71+
(1/(1+$C$67^(-($B$72*M73+$C$72*N73+$D$72*O73)))-$A$72)*$C$72+
(1/(1+$C$67^(-($B$73*M73+$C$73*N73+$D$73*O73)))-$A$73)*$C$73+
(1/(1+$C$67^(-($B$74*M73+$C$74*N73+$D$74*O73)))-$A$74)*$C$74+
(1/(1+$C$67^(-($B$75*M73+$C$75*N73+$D$75*O73)))-$A$75)*$C$75)</f>
        <v>-23.202555864683617</v>
      </c>
      <c r="R73" s="143">
        <f>(1/6)*(
(1/(1+$C$67^(-($B$70*M73+$C$70*N73+$D$70*O73)))-$A$70)*$D$70+
(1/(1+$C$67^(-($B$71*M73+$C$71*N73+$D$71*O73)))-$A$71)*$D$71+
(1/(1+$C$67^(-($B$72*M73+$C$72*N73+$D$72*O73)))-$A$72)*$D$72+
(1/(1+$C$67^(-($B$73*M73+$C$73*N73+$D$73*O73)))-$A$73)*$D$73+
(1/(1+$C$67^(-($B$74*M73+$C$74*N73+$D$74*O73)))-$A$74)*$D$74+
(1/(1+$C$67^(-($B$75*M73+$C$75*N73+$D$75*O73)))-$A$75)*$D$75)</f>
        <v>-26.942154695271533</v>
      </c>
      <c r="S73" s="143">
        <f>(1/6)*(
-$A$70*LOG((1/(1+$C$88^(-($B$70*M73+$C$70*N73+$D$70*O73)))),$C$88)-(1-$A$70)*LOG(1-(1/(1+$C$88^(-($B$70*M73+$C$70*N73+$D$70*O73)))),$C$88)+
-$A$71*LOG((1/(1+$C$88^(-($B$71*M73+$C$71*N73+$D$71*O73)))),$C$88)-(1-$A$71)*LOG(1-(1/(1+$C$88^(-($B$71*M73+$C$71*N73+$D$71*O73)))),$C$88)+
-$A$72*LOG((1/(1+$C$88^(-($B$72*M73+$C$72*N73+$D$72*O73)))),$C$88)-(1-$A$72)*LOG(1-(1/(1+$C$88^(-($B$72*M73+$C$72*N73+$D$72*O73)))),$C$88)+
-$A$73*LOG((1/(1+$C$88^(-($B$73*M73+$C$73*N73+$D$73*O73)))),$C$88)-(1-$A$73)*LOG(1-(1/(1+$C$88^(-($B$73*M73+$C$73*N73+$D$73*O73)))),$C$88)+
-$A$74*LOG((1/(1+$C$88^(-($B$74*M73+$C$74*N73+$D$74*O73)))),$C$88)-(1-$A$74)*LOG(1-(1/(1+$C$88^(-($B$74*M73+$C$74*N73+$D$74*O73)))),$C$88)+
-$A$75*LOG((1/(1+$C$88^(-($B$75*M73+$C$75*N73+$D$75*O73)))),$C$88)-(1-$A$75)*LOG(1-(1/(1+$C$88^(-($B$75*M73+$C$75*N73+$D$75*O73)))),$C$88))</f>
        <v>12.550561559661038</v>
      </c>
    </row>
    <row r="74" spans="1:19" ht="15.75" thickBot="1" x14ac:dyDescent="0.3">
      <c r="A74" s="377">
        <v>1</v>
      </c>
      <c r="B74" s="100">
        <v>1</v>
      </c>
      <c r="C74" s="135">
        <v>79.032736050710099</v>
      </c>
      <c r="D74" s="362">
        <v>75.344376436910295</v>
      </c>
      <c r="E74" s="143">
        <f t="shared" si="18"/>
        <v>-155.37711248762039</v>
      </c>
      <c r="F74" s="213">
        <f t="shared" si="19"/>
        <v>3.3157168213868E-68</v>
      </c>
      <c r="G74" s="143">
        <f t="shared" si="20"/>
        <v>155.37711248762039</v>
      </c>
      <c r="H74" s="383">
        <f t="shared" si="21"/>
        <v>155.37711248762039</v>
      </c>
      <c r="I74" s="370">
        <f t="shared" si="22"/>
        <v>0</v>
      </c>
      <c r="J74" s="143">
        <f t="shared" si="23"/>
        <v>-1</v>
      </c>
      <c r="K74" s="167">
        <f t="shared" si="24"/>
        <v>-79.032736050710099</v>
      </c>
      <c r="L74" s="143">
        <f t="shared" si="25"/>
        <v>-75.344376436910295</v>
      </c>
      <c r="M74" s="167">
        <f>M73-$E$67*P73</f>
        <v>-0.99866666666803505</v>
      </c>
      <c r="N74" s="143">
        <f t="shared" si="26"/>
        <v>-7.1897764168564832E-2</v>
      </c>
      <c r="O74" s="167">
        <f t="shared" si="26"/>
        <v>7.7686189614607937E-2</v>
      </c>
      <c r="P74" s="143">
        <f>(1/6)*(
(1/(1+$C$67^(-($B$70*M74+$C$70*N74+$D$70*O74)))-$A$70)+
(1/(1+$C$67^(-($B$71*M74+$C$71*N74+$D$71*O74)))-$A$71)+
(1/(1+$C$67^(-($B$72*M74+$C$72*N74+$D$72*O74)))-$A$72)+
(1/(1+$C$67^(-($B$73*M74+$C$73*N74+$D$73*O74)))-$A$73)+
(1/(1+$C$67^(-($B$74*M74+$C$74*N74+$D$74*O74)))-$A$74)+
(1/(1+$C$67^(-($B$75*M74+$C$75*N74+$D$75*O74)))-$A$75))</f>
        <v>0.33561600644780487</v>
      </c>
      <c r="Q74" s="143">
        <f>(1/6)*(
(1/(1+$C$67^(-($B$70*M74+$C$70*N74+$D$70*O74)))-$A$70)*$C$70+
(1/(1+$C$67^(-($B$71*M74+$C$71*N74+$D$71*O74)))-$A$71)*$C$71+
(1/(1+$C$67^(-($B$72*M74+$C$72*N74+$D$72*O74)))-$A$72)*$C$72+
(1/(1+$C$67^(-($B$73*M74+$C$73*N74+$D$73*O74)))-$A$73)*$C$73+
(1/(1+$C$67^(-($B$74*M74+$C$74*N74+$D$74*O74)))-$A$74)*$C$74+
(1/(1+$C$67^(-($B$75*M74+$C$75*N74+$D$75*O74)))-$A$75)*$C$75)</f>
        <v>6.3213508055579837</v>
      </c>
      <c r="R74" s="143">
        <f>(1/6)*(
(1/(1+$C$67^(-($B$70*M74+$C$70*N74+$D$70*O74)))-$A$70)*$D$70+
(1/(1+$C$67^(-($B$71*M74+$C$71*N74+$D$71*O74)))-$A$71)*$D$71+
(1/(1+$C$67^(-($B$72*M74+$C$72*N74+$D$72*O74)))-$A$72)*$D$72+
(1/(1+$C$67^(-($B$73*M74+$C$73*N74+$D$73*O74)))-$A$73)*$D$73+
(1/(1+$C$67^(-($B$74*M74+$C$74*N74+$D$74*O74)))-$A$74)*$D$74+
(1/(1+$C$67^(-($B$75*M74+$C$75*N74+$D$75*O74)))-$A$75)*$D$75)</f>
        <v>20.353908165653969</v>
      </c>
      <c r="S74" s="143">
        <f>(1/6)*(
-$A$70*LOG((1/(1+$C$88^(-($B$70*M74+$C$70*N74+$D$70*O74)))),$C$88)-(1-$A$70)*LOG(1-(1/(1+$C$88^(-($B$70*M74+$C$70*N74+$D$70*O74)))),$C$88)+
-$A$71*LOG((1/(1+$C$88^(-($B$71*M74+$C$71*N74+$D$71*O74)))),$C$88)-(1-$A$71)*LOG(1-(1/(1+$C$88^(-($B$71*M74+$C$71*N74+$D$71*O74)))),$C$88)+
-$A$72*LOG((1/(1+$C$88^(-($B$72*M74+$C$72*N74+$D$72*O74)))),$C$88)-(1-$A$72)*LOG(1-(1/(1+$C$88^(-($B$72*M74+$C$72*N74+$D$72*O74)))),$C$88)+
-$A$73*LOG((1/(1+$C$88^(-($B$73*M74+$C$73*N74+$D$73*O74)))),$C$88)-(1-$A$73)*LOG(1-(1/(1+$C$88^(-($B$73*M74+$C$73*N74+$D$73*O74)))),$C$88)+
-$A$74*LOG((1/(1+$C$88^(-($B$74*M74+$C$74*N74+$D$74*O74)))),$C$88)-(1-$A$74)*LOG(1-(1/(1+$C$88^(-($B$74*M74+$C$74*N74+$D$74*O74)))),$C$88)+
-$A$75*LOG((1/(1+$C$88^(-($B$75*M74+$C$75*N74+$D$75*O74)))),$C$88)-(1-$A$75)*LOG(1-(1/(1+$C$88^(-($B$75*M74+$C$75*N74+$D$75*O74)))),$C$88))</f>
        <v>1.3076529120088598</v>
      </c>
    </row>
    <row r="75" spans="1:19" ht="15.75" thickBot="1" x14ac:dyDescent="0.3">
      <c r="A75" s="378">
        <v>0</v>
      </c>
      <c r="B75" s="357">
        <v>1</v>
      </c>
      <c r="C75" s="141">
        <v>45.0832774766833</v>
      </c>
      <c r="D75" s="363">
        <v>56.316371781530499</v>
      </c>
      <c r="E75" s="144">
        <f t="shared" si="18"/>
        <v>-102.3996492582138</v>
      </c>
      <c r="F75" s="214">
        <f t="shared" si="19"/>
        <v>3.3759606691017348E-45</v>
      </c>
      <c r="G75" s="144">
        <f t="shared" si="20"/>
        <v>0</v>
      </c>
      <c r="H75" s="384">
        <f t="shared" si="21"/>
        <v>102.3996492582138</v>
      </c>
      <c r="I75" s="372">
        <f t="shared" si="22"/>
        <v>0</v>
      </c>
      <c r="J75" s="143">
        <f t="shared" si="23"/>
        <v>3.3759606691017348E-45</v>
      </c>
      <c r="K75" s="167">
        <f t="shared" si="24"/>
        <v>1.5219937159548292E-43</v>
      </c>
      <c r="L75" s="143">
        <f t="shared" si="25"/>
        <v>1.9012185616095778E-43</v>
      </c>
      <c r="M75" s="481" t="s">
        <v>538</v>
      </c>
      <c r="N75" s="482"/>
      <c r="O75" s="482"/>
      <c r="P75" s="482"/>
      <c r="Q75" s="483"/>
      <c r="R75" s="355" t="s">
        <v>537</v>
      </c>
      <c r="S75" s="356">
        <v>100</v>
      </c>
    </row>
    <row r="76" spans="1:19" ht="15.75" thickBot="1" x14ac:dyDescent="0.3">
      <c r="A76" s="352" t="s">
        <v>523</v>
      </c>
      <c r="B76" s="354">
        <v>-1</v>
      </c>
      <c r="C76" s="354">
        <v>-1</v>
      </c>
      <c r="D76" s="353">
        <v>-1</v>
      </c>
      <c r="E76" s="379" t="s">
        <v>356</v>
      </c>
      <c r="F76" s="380" t="s">
        <v>357</v>
      </c>
      <c r="G76" s="385">
        <f>SUM(G70:G75)*(1/6)</f>
        <v>50.478043994883038</v>
      </c>
      <c r="J76" s="387">
        <f>SUM(J70:J75)/6</f>
        <v>-0.33333333333333331</v>
      </c>
      <c r="K76" s="375">
        <f>SUM(K70:K75)/6</f>
        <v>-23.202555906153304</v>
      </c>
      <c r="L76" s="387">
        <f>SUM(L70:L75)/6</f>
        <v>-26.942154755396416</v>
      </c>
      <c r="M76" s="390">
        <v>-1.0056205241881659</v>
      </c>
      <c r="N76" s="391">
        <v>0.55989190744454997</v>
      </c>
      <c r="O76" s="390">
        <v>-0.5518686494980769</v>
      </c>
      <c r="P76" s="390">
        <v>0.32227875268785583</v>
      </c>
      <c r="Q76" s="391">
        <v>12.224730288654097</v>
      </c>
      <c r="R76" s="390">
        <v>16.241057306499414</v>
      </c>
      <c r="S76" s="392">
        <f>(1/6)*(
-$A$70*LOG((1/(1+$C$88^(-($B$70*M76+$C$70*N76+$D$70*O76)))),$C$88)-(1-$A$70)*LOG(1-(1/(1+$C$88^(-($B$70*M76+$C$70*N76+$D$70*O76)))),$C$88)+
-$A$71*LOG((1/(1+$C$88^(-($B$71*M76+$C$71*N76+$D$71*O76)))),$C$88)-(1-$A$71)*LOG(1-(1/(1+$C$88^(-($B$71*M76+$C$71*N76+$D$71*O76)))),$C$88)+
-$A$72*LOG((1/(1+$C$88^(-($B$72*M76+$C$72*N76+$D$72*O76)))),$C$88)-(1-$A$72)*LOG(1-(1/(1+$C$88^(-($B$72*M76+$C$72*N76+$D$72*O76)))),$C$88)+
-$A$73*LOG((1/(1+$C$88^(-($B$73*M76+$C$73*N76+$D$73*O76)))),$C$88)-(1-$A$73)*LOG(1-(1/(1+$C$88^(-($B$73*M76+$C$73*N76+$D$73*O76)))),$C$88)+
-$A$74*LOG((1/(1+$C$88^(-($B$74*M76+$C$74*N76+$D$74*O76)))),$C$88)-(1-$A$74)*LOG(1-(1/(1+$C$88^(-($B$74*M76+$C$74*N76+$D$74*O76)))),$C$88)+
-$A$75*LOG((1/(1+$C$88^(-($B$75*M76+$C$75*N76+$D$75*O76)))),$C$88)-(1-$A$75)*LOG(1-(1/(1+$C$88^(-($B$75*M76+$C$75*N76+$D$75*O76)))),$C$88))</f>
        <v>2.5192688573022903</v>
      </c>
    </row>
    <row r="77" spans="1:19" x14ac:dyDescent="0.25">
      <c r="J77" s="386"/>
      <c r="O77" s="76"/>
    </row>
    <row r="78" spans="1:19" x14ac:dyDescent="0.25">
      <c r="J78" s="386"/>
      <c r="O78" s="76"/>
    </row>
    <row r="79" spans="1:19" x14ac:dyDescent="0.25">
      <c r="J79" s="386"/>
      <c r="O79" s="76"/>
    </row>
    <row r="80" spans="1:19" x14ac:dyDescent="0.25">
      <c r="J80" s="386"/>
      <c r="O80" s="76"/>
    </row>
    <row r="81" spans="1:19" x14ac:dyDescent="0.25">
      <c r="J81" s="386"/>
      <c r="O81" s="76"/>
    </row>
    <row r="82" spans="1:19" x14ac:dyDescent="0.25">
      <c r="J82" s="386"/>
      <c r="O82" s="76"/>
    </row>
    <row r="83" spans="1:19" x14ac:dyDescent="0.25">
      <c r="J83" s="386"/>
      <c r="O83" s="76"/>
    </row>
    <row r="84" spans="1:19" x14ac:dyDescent="0.25">
      <c r="J84" s="386"/>
      <c r="O84" s="76"/>
    </row>
    <row r="85" spans="1:19" x14ac:dyDescent="0.25">
      <c r="J85" s="386"/>
      <c r="O85" s="76"/>
    </row>
    <row r="86" spans="1:19" ht="15.75" thickBot="1" x14ac:dyDescent="0.3">
      <c r="O86" s="76"/>
    </row>
    <row r="87" spans="1:19" ht="15.75" thickBot="1" x14ac:dyDescent="0.3">
      <c r="A87" s="461" t="s">
        <v>526</v>
      </c>
      <c r="B87" s="462"/>
      <c r="C87" s="462"/>
      <c r="D87" s="462"/>
      <c r="E87" s="462"/>
      <c r="F87" s="462"/>
      <c r="G87" s="462"/>
      <c r="H87" s="462"/>
      <c r="I87" s="462"/>
      <c r="J87" s="462"/>
      <c r="K87" s="462"/>
      <c r="L87" s="462"/>
      <c r="M87" s="462"/>
      <c r="N87" s="462"/>
      <c r="O87" s="462"/>
      <c r="P87" s="462"/>
      <c r="Q87" s="462"/>
      <c r="R87" s="462"/>
      <c r="S87" s="463"/>
    </row>
    <row r="88" spans="1:19" ht="15.75" thickBot="1" x14ac:dyDescent="0.3">
      <c r="A88" s="49" t="s">
        <v>525</v>
      </c>
      <c r="B88" s="88" t="s">
        <v>343</v>
      </c>
      <c r="C88" s="359">
        <f>EXP(1)</f>
        <v>2.7182818284590451</v>
      </c>
    </row>
    <row r="89" spans="1:19" ht="15.75" thickBot="1" x14ac:dyDescent="0.3">
      <c r="A89" s="464" t="s">
        <v>347</v>
      </c>
      <c r="B89" s="466"/>
      <c r="C89" s="466"/>
      <c r="D89" s="465"/>
      <c r="E89" s="431" t="s">
        <v>524</v>
      </c>
      <c r="F89" s="432"/>
      <c r="G89" s="433"/>
      <c r="H89" s="137" t="s">
        <v>352</v>
      </c>
      <c r="I89" s="137" t="s">
        <v>353</v>
      </c>
      <c r="J89" s="431" t="s">
        <v>354</v>
      </c>
      <c r="K89" s="432"/>
      <c r="L89" s="433"/>
    </row>
    <row r="90" spans="1:19" ht="15.75" thickBot="1" x14ac:dyDescent="0.3">
      <c r="A90" s="353" t="s">
        <v>251</v>
      </c>
      <c r="B90" s="352" t="s">
        <v>374</v>
      </c>
      <c r="C90" s="354" t="s">
        <v>327</v>
      </c>
      <c r="D90" s="353" t="s">
        <v>480</v>
      </c>
      <c r="E90" s="349" t="s">
        <v>520</v>
      </c>
      <c r="F90" s="350" t="s">
        <v>521</v>
      </c>
      <c r="G90" s="351" t="s">
        <v>522</v>
      </c>
      <c r="H90" s="164" t="s">
        <v>351</v>
      </c>
      <c r="I90" s="164" t="s">
        <v>330</v>
      </c>
      <c r="J90" s="164" t="s">
        <v>328</v>
      </c>
      <c r="K90" s="364" t="s">
        <v>527</v>
      </c>
      <c r="L90" s="364" t="s">
        <v>482</v>
      </c>
    </row>
    <row r="91" spans="1:19" x14ac:dyDescent="0.25">
      <c r="A91" s="101">
        <v>1</v>
      </c>
      <c r="B91" s="100">
        <v>1</v>
      </c>
      <c r="C91" s="135">
        <v>5.1267E-2</v>
      </c>
      <c r="D91" s="362">
        <v>0.69955999999999996</v>
      </c>
      <c r="E91" s="174">
        <f>C91^2</f>
        <v>2.6283052890000002E-3</v>
      </c>
      <c r="F91" s="265">
        <f>C91*D91</f>
        <v>3.5864342519999995E-2</v>
      </c>
      <c r="G91" s="145">
        <f>D91^2</f>
        <v>0.48938419359999996</v>
      </c>
      <c r="H91" s="142">
        <f t="shared" ref="H91:H96" si="27">B91*$B$97+C91*$C$97+D91*$D$97+E91*$E$97+F91*$F$97+G91*$G$97</f>
        <v>2.278703841409</v>
      </c>
      <c r="I91" s="230">
        <f t="shared" ref="I91:I96" si="28">1/(1+$C$88^(-H91))</f>
        <v>0.90709787550878962</v>
      </c>
      <c r="J91" s="174">
        <f>-A91*LOG(I91,$C$88)-(1-A91)*LOG(1-I91,$C$88)</f>
        <v>9.7504923433444787E-2</v>
      </c>
      <c r="K91" s="365">
        <f>-LOG(I91,$C$88)</f>
        <v>9.7504923433444787E-2</v>
      </c>
      <c r="L91" s="366">
        <f>-LOG((1-I91),$C$88)</f>
        <v>2.3762087648424441</v>
      </c>
    </row>
    <row r="92" spans="1:19" x14ac:dyDescent="0.25">
      <c r="A92" s="101">
        <v>1</v>
      </c>
      <c r="B92" s="100">
        <v>1</v>
      </c>
      <c r="C92" s="135">
        <v>-9.2742000000000005E-2</v>
      </c>
      <c r="D92" s="362">
        <v>0.68493999999999999</v>
      </c>
      <c r="E92" s="175">
        <f t="shared" ref="E92:E96" si="29">C92^2</f>
        <v>8.6010785640000011E-3</v>
      </c>
      <c r="F92" s="167">
        <f t="shared" ref="F92:F96" si="30">C92*D92</f>
        <v>-6.3522705479999997E-2</v>
      </c>
      <c r="G92" s="146">
        <f t="shared" ref="G92:G96" si="31">D92^2</f>
        <v>0.46914280359999999</v>
      </c>
      <c r="H92" s="143">
        <f t="shared" si="27"/>
        <v>2.006419176684</v>
      </c>
      <c r="I92" s="231">
        <f t="shared" si="28"/>
        <v>0.88146940460691192</v>
      </c>
      <c r="J92" s="175">
        <f t="shared" ref="J92:J96" si="32">-A92*LOG(I92,$C$88)-(1-A92)*LOG(1-I92,$C$88)</f>
        <v>0.1261649860767792</v>
      </c>
      <c r="K92" s="367">
        <f t="shared" ref="K92:K96" si="33">-LOG(I92,$C$88)</f>
        <v>0.1261649860767792</v>
      </c>
      <c r="L92" s="368">
        <f t="shared" ref="L92:L96" si="34">-LOG((1-I92),$C$88)</f>
        <v>2.13258416276078</v>
      </c>
    </row>
    <row r="93" spans="1:19" x14ac:dyDescent="0.25">
      <c r="A93" s="101">
        <v>0</v>
      </c>
      <c r="B93" s="100">
        <v>1</v>
      </c>
      <c r="C93" s="135">
        <v>0.18376000000000001</v>
      </c>
      <c r="D93" s="362">
        <v>0.93347999999999998</v>
      </c>
      <c r="E93" s="175">
        <f t="shared" si="29"/>
        <v>3.37677376E-2</v>
      </c>
      <c r="F93" s="167">
        <f t="shared" si="30"/>
        <v>0.17153628479999999</v>
      </c>
      <c r="G93" s="146">
        <f t="shared" si="31"/>
        <v>0.87138491039999999</v>
      </c>
      <c r="H93" s="143">
        <f t="shared" si="27"/>
        <v>3.1939289327999996</v>
      </c>
      <c r="I93" s="231">
        <f t="shared" si="28"/>
        <v>0.960605171928124</v>
      </c>
      <c r="J93" s="175">
        <f t="shared" si="32"/>
        <v>3.2341207385058124</v>
      </c>
      <c r="K93" s="369">
        <f t="shared" si="33"/>
        <v>4.0191805705815438E-2</v>
      </c>
      <c r="L93" s="370">
        <f t="shared" si="34"/>
        <v>3.2341207385058124</v>
      </c>
    </row>
    <row r="94" spans="1:19" x14ac:dyDescent="0.25">
      <c r="A94" s="101">
        <v>0</v>
      </c>
      <c r="B94" s="100">
        <v>1</v>
      </c>
      <c r="C94" s="135">
        <v>0.86348000000000003</v>
      </c>
      <c r="D94" s="362">
        <v>-8.2601999999999995E-2</v>
      </c>
      <c r="E94" s="175">
        <f t="shared" si="29"/>
        <v>0.7455977104</v>
      </c>
      <c r="F94" s="167">
        <f t="shared" si="30"/>
        <v>-7.1325174960000001E-2</v>
      </c>
      <c r="G94" s="146">
        <f t="shared" si="31"/>
        <v>6.8230904039999988E-3</v>
      </c>
      <c r="H94" s="143">
        <f t="shared" si="27"/>
        <v>2.4619736258439997</v>
      </c>
      <c r="I94" s="231">
        <f t="shared" si="28"/>
        <v>0.92143266140182301</v>
      </c>
      <c r="J94" s="175">
        <f t="shared" si="32"/>
        <v>2.5437992053708212</v>
      </c>
      <c r="K94" s="369">
        <f t="shared" si="33"/>
        <v>8.1825579526822692E-2</v>
      </c>
      <c r="L94" s="370">
        <f t="shared" si="34"/>
        <v>2.5437992053708212</v>
      </c>
    </row>
    <row r="95" spans="1:19" x14ac:dyDescent="0.25">
      <c r="A95" s="101">
        <v>0</v>
      </c>
      <c r="B95" s="100">
        <v>1</v>
      </c>
      <c r="C95" s="135">
        <v>-0.13306000000000001</v>
      </c>
      <c r="D95" s="362">
        <v>-0.4481</v>
      </c>
      <c r="E95" s="175">
        <f t="shared" si="29"/>
        <v>1.7704963600000002E-2</v>
      </c>
      <c r="F95" s="167">
        <f t="shared" si="30"/>
        <v>5.9624186000000003E-2</v>
      </c>
      <c r="G95" s="146">
        <f t="shared" si="31"/>
        <v>0.20079361000000001</v>
      </c>
      <c r="H95" s="143">
        <f t="shared" si="27"/>
        <v>0.69696275960000009</v>
      </c>
      <c r="I95" s="231">
        <f t="shared" si="28"/>
        <v>0.66751403322628933</v>
      </c>
      <c r="J95" s="175">
        <f t="shared" si="32"/>
        <v>1.10115762496874</v>
      </c>
      <c r="K95" s="369">
        <f t="shared" si="33"/>
        <v>0.40419486536874039</v>
      </c>
      <c r="L95" s="370">
        <f t="shared" si="34"/>
        <v>1.10115762496874</v>
      </c>
    </row>
    <row r="96" spans="1:19" ht="15.75" thickBot="1" x14ac:dyDescent="0.3">
      <c r="A96" s="358">
        <v>0</v>
      </c>
      <c r="B96" s="357">
        <v>1</v>
      </c>
      <c r="C96" s="141">
        <v>-0.69757999999999998</v>
      </c>
      <c r="D96" s="363">
        <v>4.1667000000000003E-2</v>
      </c>
      <c r="E96" s="176">
        <f t="shared" si="29"/>
        <v>0.48661785639999999</v>
      </c>
      <c r="F96" s="173">
        <f t="shared" si="30"/>
        <v>-2.906606586E-2</v>
      </c>
      <c r="G96" s="153">
        <f t="shared" si="31"/>
        <v>1.7361388890000003E-3</v>
      </c>
      <c r="H96" s="144">
        <f t="shared" si="27"/>
        <v>0.80337492942900002</v>
      </c>
      <c r="I96" s="234">
        <f t="shared" si="28"/>
        <v>0.69069594800392142</v>
      </c>
      <c r="J96" s="176">
        <f t="shared" si="32"/>
        <v>1.1734304988399746</v>
      </c>
      <c r="K96" s="371">
        <f t="shared" si="33"/>
        <v>0.37005556941097434</v>
      </c>
      <c r="L96" s="372">
        <f t="shared" si="34"/>
        <v>1.1734304988399746</v>
      </c>
    </row>
    <row r="97" spans="1:25" ht="15.75" thickBot="1" x14ac:dyDescent="0.3">
      <c r="A97" s="352" t="s">
        <v>523</v>
      </c>
      <c r="B97" s="354">
        <v>1</v>
      </c>
      <c r="C97" s="354">
        <v>1</v>
      </c>
      <c r="D97" s="354">
        <v>1</v>
      </c>
      <c r="E97" s="354">
        <v>1</v>
      </c>
      <c r="F97" s="354">
        <v>1</v>
      </c>
      <c r="G97" s="353">
        <v>1</v>
      </c>
      <c r="H97" s="373" t="s">
        <v>356</v>
      </c>
      <c r="I97" s="374" t="s">
        <v>357</v>
      </c>
      <c r="J97" s="376">
        <f>SUM(J91:J96)*(1/6)</f>
        <v>1.3793629961992622</v>
      </c>
    </row>
    <row r="100" spans="1:25" x14ac:dyDescent="0.25">
      <c r="Y100" s="6"/>
    </row>
  </sheetData>
  <mergeCells count="18">
    <mergeCell ref="J29:Q29"/>
    <mergeCell ref="L50:R50"/>
    <mergeCell ref="A68:D68"/>
    <mergeCell ref="G68:I68"/>
    <mergeCell ref="A66:S66"/>
    <mergeCell ref="M68:S68"/>
    <mergeCell ref="A1:N1"/>
    <mergeCell ref="D4:F4"/>
    <mergeCell ref="K4:L4"/>
    <mergeCell ref="J27:O27"/>
    <mergeCell ref="A4:C4"/>
    <mergeCell ref="G4:H4"/>
    <mergeCell ref="B12:G12"/>
    <mergeCell ref="M75:Q75"/>
    <mergeCell ref="A89:D89"/>
    <mergeCell ref="E89:G89"/>
    <mergeCell ref="J89:L89"/>
    <mergeCell ref="A87:S87"/>
  </mergeCells>
  <conditionalFormatting sqref="C14:N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0" priority="2" percent="1" bottom="1" rank="1"/>
  </conditionalFormatting>
  <pageMargins left="0.7" right="0.7" top="0.75" bottom="0.75" header="0.3" footer="0.3"/>
  <pageSetup scale="6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</vt:lpstr>
      <vt:lpstr>hs17N</vt:lpstr>
      <vt:lpstr>hs17O</vt:lpstr>
      <vt:lpstr>hs17R</vt:lpstr>
      <vt:lpstr>ddN</vt:lpstr>
      <vt:lpstr>ddO</vt:lpstr>
      <vt:lpstr>ddR</vt:lpstr>
      <vt:lpstr>k3dN</vt:lpstr>
      <vt:lpstr>k3dO</vt:lpstr>
      <vt:lpstr>k3dR</vt:lpstr>
      <vt:lpstr>ml</vt:lpstr>
      <vt:lpstr>ml1</vt:lpstr>
      <vt:lpstr>ml2</vt:lpstr>
      <vt:lpstr>ddO!Extract</vt:lpstr>
    </vt:vector>
  </TitlesOfParts>
  <Company>The Boeing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Klimovskikh</dc:creator>
  <cp:lastModifiedBy>Alex Klimovskikh</cp:lastModifiedBy>
  <cp:lastPrinted>2017-10-10T07:54:29Z</cp:lastPrinted>
  <dcterms:created xsi:type="dcterms:W3CDTF">2017-03-28T12:51:58Z</dcterms:created>
  <dcterms:modified xsi:type="dcterms:W3CDTF">2018-01-31T08:06:38Z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allAvito_1" visible="true" label="allAvito" imageMso="ShapeCloud" onAction="allAvito"/>
      </mso:documentControls>
    </mso:qat>
  </mso:ribbon>
</mso:customUI>
</file>