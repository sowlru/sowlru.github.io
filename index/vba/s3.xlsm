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avk\index\vba\"/>
    </mc:Choice>
  </mc:AlternateContent>
  <bookViews>
    <workbookView xWindow="23250" yWindow="0" windowWidth="27870" windowHeight="13020" tabRatio="696" activeTab="2"/>
  </bookViews>
  <sheets>
    <sheet name="dat" sheetId="3" r:id="rId1"/>
    <sheet name="dtanal" sheetId="2" r:id="rId2"/>
    <sheet name="92.06" sheetId="6" r:id="rId3"/>
    <sheet name="mat" sheetId="7" r:id="rId4"/>
    <sheet name="fast" sheetId="8" r:id="rId5"/>
    <sheet name="J" sheetId="5" r:id="rId6"/>
    <sheet name="Sheet1" sheetId="9" r:id="rId7"/>
  </sheets>
  <functionGroups builtInGroupCount="18"/>
  <definedNames>
    <definedName name="D">dtanal!$P$2</definedName>
    <definedName name="E">dtanal!#REF!</definedName>
    <definedName name="E_A">dtanal!#REF!</definedName>
    <definedName name="E_B">dtanal!#REF!</definedName>
    <definedName name="E1_A">dtanal!#REF!</definedName>
    <definedName name="E1_B">dtanal!#REF!</definedName>
    <definedName name="T_A">dtanal!#REF!</definedName>
    <definedName name="T_B">dtanal!#REF!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6" i="6" l="1"/>
  <c r="F98" i="6"/>
  <c r="C97" i="6"/>
  <c r="C91" i="6"/>
  <c r="C85" i="6"/>
  <c r="C78" i="6"/>
  <c r="H100" i="6"/>
  <c r="E98" i="6"/>
  <c r="E92" i="6"/>
  <c r="E86" i="6"/>
  <c r="E80" i="6"/>
  <c r="C79" i="6"/>
  <c r="D98" i="6"/>
  <c r="B98" i="6"/>
  <c r="E97" i="6"/>
  <c r="D97" i="6"/>
  <c r="B97" i="6"/>
  <c r="E96" i="6"/>
  <c r="C96" i="6"/>
  <c r="B96" i="6"/>
  <c r="C95" i="6"/>
  <c r="B95" i="6"/>
  <c r="D94" i="6"/>
  <c r="C94" i="6"/>
  <c r="B94" i="6"/>
  <c r="H93" i="6"/>
  <c r="G93" i="6"/>
  <c r="F93" i="6"/>
  <c r="D93" i="6"/>
  <c r="C93" i="6"/>
  <c r="H87" i="6"/>
  <c r="G87" i="6"/>
  <c r="F87" i="6"/>
  <c r="D87" i="6"/>
  <c r="C87" i="6"/>
  <c r="H81" i="6"/>
  <c r="G81" i="6"/>
  <c r="F81" i="6"/>
  <c r="D81" i="6"/>
  <c r="C81" i="6"/>
  <c r="J2" i="7" l="1"/>
  <c r="J9" i="7"/>
  <c r="Q68" i="6"/>
  <c r="G2" i="7"/>
  <c r="J8" i="7"/>
  <c r="J6" i="7"/>
  <c r="J5" i="7"/>
  <c r="C2" i="7" l="1"/>
  <c r="C1" i="7"/>
  <c r="B2" i="7"/>
  <c r="B1" i="7"/>
  <c r="J1" i="7" l="1"/>
  <c r="I74" i="6" s="1"/>
  <c r="G1" i="7"/>
  <c r="F2" i="7"/>
  <c r="E2" i="7"/>
  <c r="F1" i="7"/>
  <c r="E1" i="7"/>
  <c r="C77" i="6"/>
  <c r="G74" i="6" l="1"/>
  <c r="F74" i="6"/>
  <c r="P67" i="6"/>
  <c r="H74" i="6"/>
  <c r="P68" i="6"/>
  <c r="AL43" i="6"/>
  <c r="AM42" i="6"/>
  <c r="AN36" i="6"/>
  <c r="AO35" i="6"/>
  <c r="P107" i="6"/>
  <c r="P106" i="6"/>
  <c r="P105" i="6"/>
  <c r="P104" i="6"/>
  <c r="P103" i="6" l="1"/>
  <c r="L11" i="5"/>
  <c r="K11" i="5"/>
  <c r="C89" i="6" l="1"/>
  <c r="D88" i="6"/>
  <c r="D86" i="6"/>
  <c r="Q69" i="6"/>
  <c r="C90" i="6"/>
  <c r="C84" i="6"/>
  <c r="P72" i="6"/>
  <c r="P91" i="6"/>
  <c r="J7" i="7"/>
  <c r="Q67" i="6"/>
  <c r="P65" i="6"/>
  <c r="P73" i="6" s="1"/>
  <c r="P69" i="6" l="1"/>
  <c r="C74" i="6"/>
  <c r="J74" i="6"/>
  <c r="A100" i="6"/>
  <c r="D92" i="6"/>
  <c r="E91" i="6"/>
  <c r="C83" i="6"/>
  <c r="D91" i="6"/>
  <c r="E90" i="6"/>
  <c r="E85" i="6"/>
  <c r="D85" i="6"/>
  <c r="E84" i="6"/>
  <c r="D82" i="6"/>
  <c r="Q2" i="2"/>
  <c r="P2" i="2"/>
  <c r="D80" i="6"/>
  <c r="F79" i="6"/>
  <c r="E79" i="6"/>
  <c r="E78" i="6"/>
  <c r="D78" i="6"/>
  <c r="E77" i="6"/>
  <c r="C76" i="6"/>
  <c r="D3" i="5"/>
  <c r="C3" i="5"/>
  <c r="C88" i="6" l="1"/>
  <c r="P70" i="6"/>
  <c r="B88" i="6"/>
  <c r="P101" i="6"/>
  <c r="B89" i="6"/>
  <c r="B86" i="6"/>
  <c r="P93" i="6"/>
  <c r="AM28" i="6"/>
  <c r="B77" i="6"/>
  <c r="C82" i="6"/>
  <c r="B84" i="6"/>
  <c r="B90" i="6"/>
  <c r="F100" i="6"/>
  <c r="B91" i="6"/>
  <c r="B85" i="6"/>
  <c r="B92" i="6"/>
  <c r="B83" i="6"/>
  <c r="B100" i="6"/>
  <c r="D100" i="6"/>
  <c r="B80" i="6"/>
  <c r="B78" i="6"/>
  <c r="B3" i="5"/>
  <c r="B82" i="6"/>
  <c r="B75" i="6"/>
  <c r="B79" i="6"/>
  <c r="B76" i="6"/>
  <c r="D79" i="6"/>
  <c r="F92" i="6" l="1"/>
  <c r="F80" i="6"/>
</calcChain>
</file>

<file path=xl/sharedStrings.xml><?xml version="1.0" encoding="utf-8"?>
<sst xmlns="http://schemas.openxmlformats.org/spreadsheetml/2006/main" count="401" uniqueCount="172">
  <si>
    <t>SEF</t>
  </si>
  <si>
    <t>n</t>
  </si>
  <si>
    <t>M</t>
  </si>
  <si>
    <t>p</t>
  </si>
  <si>
    <t>A</t>
  </si>
  <si>
    <t xml:space="preserve">WEB       </t>
  </si>
  <si>
    <t>*WEOF</t>
  </si>
  <si>
    <t>B</t>
  </si>
  <si>
    <t>T</t>
  </si>
  <si>
    <t xml:space="preserve">AL2       </t>
  </si>
  <si>
    <t>D</t>
  </si>
  <si>
    <t>ORI</t>
  </si>
  <si>
    <t xml:space="preserve">J11       </t>
  </si>
  <si>
    <t xml:space="preserve">J12       </t>
  </si>
  <si>
    <t xml:space="preserve">J13       </t>
  </si>
  <si>
    <t xml:space="preserve">B         </t>
  </si>
  <si>
    <t>FBRG</t>
  </si>
  <si>
    <t>FREF</t>
  </si>
  <si>
    <t>PTT</t>
  </si>
  <si>
    <t xml:space="preserve">J14       </t>
  </si>
  <si>
    <t>E</t>
  </si>
  <si>
    <t>W-5</t>
  </si>
  <si>
    <t xml:space="preserve">J15@A     </t>
  </si>
  <si>
    <t xml:space="preserve">J15@B     </t>
  </si>
  <si>
    <t xml:space="preserve">A         </t>
  </si>
  <si>
    <t>HE</t>
  </si>
  <si>
    <t>P</t>
  </si>
  <si>
    <t xml:space="preserve">J16.1     </t>
  </si>
  <si>
    <t>H-3</t>
  </si>
  <si>
    <t>F</t>
  </si>
  <si>
    <t>E1</t>
  </si>
  <si>
    <t xml:space="preserve">J74.1     </t>
  </si>
  <si>
    <t>mat</t>
  </si>
  <si>
    <t>AL2</t>
  </si>
  <si>
    <t>A              # Crack ID</t>
  </si>
  <si>
    <t>B              # Crack ID</t>
  </si>
  <si>
    <t xml:space="preserve">J74.2     </t>
  </si>
  <si>
    <t>J74.1</t>
  </si>
  <si>
    <t>J16.1</t>
  </si>
  <si>
    <t>J14</t>
  </si>
  <si>
    <t>J13</t>
  </si>
  <si>
    <t>J12</t>
  </si>
  <si>
    <t>J11</t>
  </si>
  <si>
    <t>eccentric crack at a hole</t>
  </si>
  <si>
    <t>description</t>
  </si>
  <si>
    <t>influence of an adjacent member on the center cracked panel</t>
  </si>
  <si>
    <t>effect of stress gradient on stress intensity factor at crack tip L</t>
  </si>
  <si>
    <t>book3</t>
  </si>
  <si>
    <t>load transfer</t>
  </si>
  <si>
    <t>influence of an opposing crack at a hole</t>
  </si>
  <si>
    <t>through crack at hole</t>
  </si>
  <si>
    <t>corner crack at a hole</t>
  </si>
  <si>
    <t>J15</t>
  </si>
  <si>
    <t>WEB</t>
  </si>
  <si>
    <t>ORI: 1 - open hole/ close rim | 2 - rivet/ transition fit | 3 - interference fit steel/titanium fasteners</t>
  </si>
  <si>
    <t>t=</t>
  </si>
  <si>
    <t>2024-T3 Clad Sheet</t>
  </si>
  <si>
    <t>HE=fn(t1/t2)=(8~32): book2,12-12 | P:pitch |</t>
  </si>
  <si>
    <t>BACB30MY6K +</t>
  </si>
  <si>
    <t>BACC30M6</t>
  </si>
  <si>
    <t>Outer Chord, 146N6603-175</t>
  </si>
  <si>
    <t>name</t>
  </si>
  <si>
    <t>P/N</t>
  </si>
  <si>
    <t>mat1</t>
  </si>
  <si>
    <t>t1</t>
  </si>
  <si>
    <t>fast</t>
  </si>
  <si>
    <t>t2</t>
  </si>
  <si>
    <t>MY6</t>
  </si>
  <si>
    <t>w2</t>
  </si>
  <si>
    <t>fbr/fref</t>
  </si>
  <si>
    <t>w1</t>
  </si>
  <si>
    <t>Srat</t>
  </si>
  <si>
    <t>Outer Chord</t>
  </si>
  <si>
    <t>thk</t>
  </si>
  <si>
    <t>code</t>
  </si>
  <si>
    <t xml:space="preserve">BACB30MY6K </t>
  </si>
  <si>
    <t>transition fit</t>
  </si>
  <si>
    <t>J16</t>
  </si>
  <si>
    <t>J11_A</t>
  </si>
  <si>
    <t>C</t>
  </si>
  <si>
    <t>J15@A</t>
  </si>
  <si>
    <t>J15@B</t>
  </si>
  <si>
    <t>AL7</t>
  </si>
  <si>
    <t>J74.2</t>
  </si>
  <si>
    <t>S</t>
  </si>
  <si>
    <t>2024-T3 Bare Sheet</t>
  </si>
  <si>
    <t>Ftyp</t>
  </si>
  <si>
    <t>7075-T6 Clad Sheet</t>
  </si>
  <si>
    <t>C              # Crack ID</t>
  </si>
  <si>
    <t xml:space="preserve">CHORD     </t>
  </si>
  <si>
    <t xml:space="preserve">D         </t>
  </si>
  <si>
    <t>D              # Crack ID</t>
  </si>
  <si>
    <t xml:space="preserve">C         </t>
  </si>
  <si>
    <t xml:space="preserve">A </t>
  </si>
  <si>
    <t xml:space="preserve">WEB </t>
  </si>
  <si>
    <t xml:space="preserve">AL7 </t>
  </si>
  <si>
    <t xml:space="preserve">J12 </t>
  </si>
  <si>
    <t xml:space="preserve">J13 </t>
  </si>
  <si>
    <t xml:space="preserve">B </t>
  </si>
  <si>
    <t xml:space="preserve">J14 </t>
  </si>
  <si>
    <t xml:space="preserve">J15@A </t>
  </si>
  <si>
    <t xml:space="preserve">J16 </t>
  </si>
  <si>
    <t xml:space="preserve">J74.1 </t>
  </si>
  <si>
    <t xml:space="preserve">*WEOF </t>
  </si>
  <si>
    <t xml:space="preserve">J11 </t>
  </si>
  <si>
    <t xml:space="preserve">J15@B </t>
  </si>
  <si>
    <t xml:space="preserve">J74.2 </t>
  </si>
  <si>
    <t xml:space="preserve">C </t>
  </si>
  <si>
    <t xml:space="preserve">AL2 </t>
  </si>
  <si>
    <t xml:space="preserve">D </t>
  </si>
  <si>
    <t>_x000D_</t>
  </si>
  <si>
    <t>CHORD</t>
  </si>
  <si>
    <t>G</t>
  </si>
  <si>
    <t>H</t>
  </si>
  <si>
    <t>S=</t>
  </si>
  <si>
    <t>ksi (see fatigue analysis)</t>
  </si>
  <si>
    <t>constant</t>
  </si>
  <si>
    <t>Mweb=</t>
  </si>
  <si>
    <t>Mchord=</t>
  </si>
  <si>
    <t>mat2</t>
  </si>
  <si>
    <t>Fty=</t>
  </si>
  <si>
    <t>FtyA</t>
  </si>
  <si>
    <t>FtyB</t>
  </si>
  <si>
    <t>E=</t>
  </si>
  <si>
    <t>2*D</t>
  </si>
  <si>
    <t>t1/t2=</t>
  </si>
  <si>
    <t>he=</t>
  </si>
  <si>
    <t>HE=</t>
  </si>
  <si>
    <t>f=</t>
  </si>
  <si>
    <t>fmin=</t>
  </si>
  <si>
    <t>from chart</t>
  </si>
  <si>
    <t>fbrg=</t>
  </si>
  <si>
    <t>=5*D</t>
  </si>
  <si>
    <t>=MAX((S+fmin)/2,0)</t>
  </si>
  <si>
    <t>P=</t>
  </si>
  <si>
    <t>LA</t>
  </si>
  <si>
    <t>LB</t>
  </si>
  <si>
    <t>D+LA+LB</t>
  </si>
  <si>
    <t>2*E-LA+LB</t>
  </si>
  <si>
    <t>Eopp=</t>
  </si>
  <si>
    <t>ksi (=-51.4*0.473 - see fatigue analysis)</t>
  </si>
  <si>
    <t>~ spacing</t>
  </si>
  <si>
    <t>RSW=</t>
  </si>
  <si>
    <t>web stiffening ratio</t>
  </si>
  <si>
    <t>H*tweb/2=</t>
  </si>
  <si>
    <t>146N6619, Outer Skin</t>
  </si>
  <si>
    <t>Ws*ts=</t>
  </si>
  <si>
    <t>Wf*tf=</t>
  </si>
  <si>
    <t>Ww*tw=</t>
  </si>
  <si>
    <t>C34</t>
  </si>
  <si>
    <t>H-1</t>
  </si>
  <si>
    <t>RSW-3</t>
  </si>
  <si>
    <t>single angle chord with strap attached to web - chord load redistribution</t>
  </si>
  <si>
    <t xml:space="preserve">CHORD </t>
  </si>
  <si>
    <t xml:space="preserve">C34 </t>
  </si>
  <si>
    <t xml:space="preserve">B          </t>
  </si>
  <si>
    <t xml:space="preserve">_ </t>
  </si>
  <si>
    <t>BAC1490-2816</t>
  </si>
  <si>
    <t>146N6603-175</t>
  </si>
  <si>
    <t>Web</t>
  </si>
  <si>
    <t>146N6603-173</t>
  </si>
  <si>
    <t>Repair Doubler</t>
  </si>
  <si>
    <t>Y</t>
  </si>
  <si>
    <t>7075-T6 Bare Sheet</t>
  </si>
  <si>
    <t>t_max</t>
  </si>
  <si>
    <t>t_min</t>
  </si>
  <si>
    <t>m1</t>
  </si>
  <si>
    <t>m2</t>
  </si>
  <si>
    <t xml:space="preserve">C36.2 </t>
  </si>
  <si>
    <t>a</t>
  </si>
  <si>
    <t>b</t>
  </si>
  <si>
    <t>B &amp;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</si>
</sst>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1" fillId="0" borderId="9" xfId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0" xfId="0" applyNumberFormat="1"/>
    <xf numFmtId="1" fontId="0" fillId="0" borderId="0" xfId="0" applyNumberFormat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4" borderId="0" xfId="0" applyNumberFormat="1" applyFill="1"/>
    <xf numFmtId="164" fontId="0" fillId="3" borderId="0" xfId="0" applyNumberFormat="1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right"/>
    </xf>
    <xf numFmtId="164" fontId="0" fillId="2" borderId="10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164" fontId="0" fillId="0" borderId="10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2" fontId="0" fillId="0" borderId="11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2" xfId="0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2" borderId="10" xfId="0" applyNumberFormat="1" applyFill="1" applyBorder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0" borderId="0" xfId="0" quotePrefix="1" applyAlignment="1">
      <alignment horizontal="center"/>
    </xf>
    <xf numFmtId="2" fontId="0" fillId="3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0" fillId="0" borderId="0" xfId="0" quotePrefix="1" applyAlignment="1">
      <alignment horizontal="left"/>
    </xf>
    <xf numFmtId="164" fontId="0" fillId="5" borderId="0" xfId="0" applyNumberFormat="1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0" fillId="0" borderId="2" xfId="0" quotePrefix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5" borderId="12" xfId="0" applyNumberFormat="1" applyFill="1" applyBorder="1"/>
    <xf numFmtId="2" fontId="0" fillId="0" borderId="0" xfId="0" applyNumberFormat="1" applyBorder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1" fontId="0" fillId="4" borderId="0" xfId="0" applyNumberFormat="1" applyFill="1" applyAlignment="1">
      <alignment horizontal="center"/>
    </xf>
    <xf numFmtId="0" fontId="0" fillId="4" borderId="12" xfId="0" applyFill="1" applyBorder="1" applyAlignment="1">
      <alignment horizontal="center"/>
    </xf>
    <xf numFmtId="164" fontId="0" fillId="4" borderId="12" xfId="0" applyNumberForma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2" fontId="0" fillId="0" borderId="12" xfId="0" applyNumberFormat="1" applyBorder="1" applyAlignment="1">
      <alignment horizontal="center"/>
    </xf>
    <xf numFmtId="0" fontId="0" fillId="0" borderId="0" xfId="0" quotePrefix="1" applyBorder="1" applyAlignment="1">
      <alignment horizontal="center"/>
    </xf>
    <xf numFmtId="2" fontId="0" fillId="4" borderId="12" xfId="0" applyNumberForma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164" fontId="0" fillId="0" borderId="1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3" xfId="0" applyNumberFormat="1" applyBorder="1" applyAlignment="1">
      <alignment horizontal="left"/>
    </xf>
    <xf numFmtId="164" fontId="0" fillId="0" borderId="6" xfId="0" applyNumberFormat="1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1" xfId="0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323196</xdr:colOff>
      <xdr:row>0</xdr:row>
      <xdr:rowOff>22412</xdr:rowOff>
    </xdr:from>
    <xdr:to>
      <xdr:col>10</xdr:col>
      <xdr:colOff>190500</xdr:colOff>
      <xdr:row>35</xdr:row>
      <xdr:rowOff>97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255" y="22412"/>
          <a:ext cx="5346980" cy="6645185"/>
        </a:xfrm>
        <a:prstGeom prst="rect">
          <a:avLst/>
        </a:prstGeom>
      </xdr:spPr>
    </xdr:pic>
    <xdr:clientData/>
  </xdr:twoCellAnchor>
  <xdr:twoCellAnchor editAs="oneCell">
    <xdr:from>
      <xdr:col>4</xdr:col>
      <xdr:colOff>437029</xdr:colOff>
      <xdr:row>33</xdr:row>
      <xdr:rowOff>146193</xdr:rowOff>
    </xdr:from>
    <xdr:to>
      <xdr:col>12</xdr:col>
      <xdr:colOff>382253</xdr:colOff>
      <xdr:row>62</xdr:row>
      <xdr:rowOff>56028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5941" y="6432693"/>
          <a:ext cx="4315518" cy="5434335"/>
        </a:xfrm>
        <a:prstGeom prst="rect">
          <a:avLst/>
        </a:prstGeom>
      </xdr:spPr>
    </xdr:pic>
    <xdr:clientData/>
  </xdr:twoCellAnchor>
  <xdr:twoCellAnchor>
    <xdr:from>
      <xdr:col>8</xdr:col>
      <xdr:colOff>460915</xdr:colOff>
      <xdr:row>50</xdr:row>
      <xdr:rowOff>145746</xdr:rowOff>
    </xdr:from>
    <xdr:to>
      <xdr:col>12</xdr:col>
      <xdr:colOff>246528</xdr:colOff>
      <xdr:row>52</xdr:row>
      <xdr:rowOff>156882</xdr:rowOff>
    </xdr:to>
    <xdr:sp macro="" textlink="">
      <xdr:nvSpPr>
        <xdr:cNvPr id="5" name="Oval 4"/>
        <xdr:cNvSpPr/>
      </xdr:nvSpPr>
      <xdr:spPr>
        <a:xfrm>
          <a:off x="5380297" y="9670746"/>
          <a:ext cx="1735437" cy="392136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6</xdr:col>
      <xdr:colOff>30299</xdr:colOff>
      <xdr:row>58</xdr:row>
      <xdr:rowOff>146337</xdr:rowOff>
    </xdr:from>
    <xdr:to>
      <xdr:col>8</xdr:col>
      <xdr:colOff>392206</xdr:colOff>
      <xdr:row>61</xdr:row>
      <xdr:rowOff>56029</xdr:rowOff>
    </xdr:to>
    <xdr:sp macro="" textlink="">
      <xdr:nvSpPr>
        <xdr:cNvPr id="6" name="Oval 5"/>
        <xdr:cNvSpPr/>
      </xdr:nvSpPr>
      <xdr:spPr>
        <a:xfrm>
          <a:off x="3739446" y="11195337"/>
          <a:ext cx="1572142" cy="481192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6</xdr:col>
      <xdr:colOff>33744</xdr:colOff>
      <xdr:row>54</xdr:row>
      <xdr:rowOff>161953</xdr:rowOff>
    </xdr:from>
    <xdr:to>
      <xdr:col>8</xdr:col>
      <xdr:colOff>347382</xdr:colOff>
      <xdr:row>57</xdr:row>
      <xdr:rowOff>22412</xdr:rowOff>
    </xdr:to>
    <xdr:sp macro="" textlink="">
      <xdr:nvSpPr>
        <xdr:cNvPr id="7" name="Oval 6"/>
        <xdr:cNvSpPr/>
      </xdr:nvSpPr>
      <xdr:spPr>
        <a:xfrm>
          <a:off x="3742891" y="10448953"/>
          <a:ext cx="1523873" cy="431959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35</xdr:col>
      <xdr:colOff>35644</xdr:colOff>
      <xdr:row>19</xdr:row>
      <xdr:rowOff>124750</xdr:rowOff>
    </xdr:from>
    <xdr:to>
      <xdr:col>35</xdr:col>
      <xdr:colOff>302798</xdr:colOff>
      <xdr:row>35</xdr:row>
      <xdr:rowOff>158369</xdr:rowOff>
    </xdr:to>
    <xdr:sp macro="" textlink="">
      <xdr:nvSpPr>
        <xdr:cNvPr id="9" name="Freeform 8"/>
        <xdr:cNvSpPr/>
      </xdr:nvSpPr>
      <xdr:spPr>
        <a:xfrm rot="10800000">
          <a:off x="9642287" y="2982250"/>
          <a:ext cx="267154" cy="3081619"/>
        </a:xfrm>
        <a:custGeom>
          <a:avLst/>
          <a:gdLst>
            <a:gd name="connsiteX0" fmla="*/ 459223 w 459223"/>
            <a:gd name="connsiteY0" fmla="*/ 5028543 h 5028543"/>
            <a:gd name="connsiteX1" fmla="*/ 2023 w 459223"/>
            <a:gd name="connsiteY1" fmla="*/ 5028543 h 5028543"/>
            <a:gd name="connsiteX2" fmla="*/ 2023 w 459223"/>
            <a:gd name="connsiteY2" fmla="*/ 4777849 h 5028543"/>
            <a:gd name="connsiteX3" fmla="*/ 0 w 459223"/>
            <a:gd name="connsiteY3" fmla="*/ 4778927 h 5028543"/>
            <a:gd name="connsiteX4" fmla="*/ 0 w 459223"/>
            <a:gd name="connsiteY4" fmla="*/ 62489 h 5028543"/>
            <a:gd name="connsiteX5" fmla="*/ 457200 w 459223"/>
            <a:gd name="connsiteY5" fmla="*/ 62489 h 5028543"/>
            <a:gd name="connsiteX6" fmla="*/ 457200 w 459223"/>
            <a:gd name="connsiteY6" fmla="*/ 3753459 h 5028543"/>
            <a:gd name="connsiteX7" fmla="*/ 459223 w 459223"/>
            <a:gd name="connsiteY7" fmla="*/ 3753459 h 50285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59223" h="5028543">
              <a:moveTo>
                <a:pt x="459223" y="5028543"/>
              </a:moveTo>
              <a:lnTo>
                <a:pt x="2023" y="5028543"/>
              </a:lnTo>
              <a:lnTo>
                <a:pt x="2023" y="4777849"/>
              </a:lnTo>
              <a:lnTo>
                <a:pt x="0" y="4778927"/>
              </a:lnTo>
              <a:lnTo>
                <a:pt x="0" y="62489"/>
              </a:lnTo>
              <a:cubicBezTo>
                <a:pt x="152400" y="-153980"/>
                <a:pt x="304800" y="278958"/>
                <a:pt x="457200" y="62489"/>
              </a:cubicBezTo>
              <a:lnTo>
                <a:pt x="457200" y="3753459"/>
              </a:lnTo>
              <a:lnTo>
                <a:pt x="459223" y="3753459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35</xdr:col>
      <xdr:colOff>301677</xdr:colOff>
      <xdr:row>19</xdr:row>
      <xdr:rowOff>126215</xdr:rowOff>
    </xdr:from>
    <xdr:to>
      <xdr:col>36</xdr:col>
      <xdr:colOff>128410</xdr:colOff>
      <xdr:row>35</xdr:row>
      <xdr:rowOff>159834</xdr:rowOff>
    </xdr:to>
    <xdr:sp macro="" textlink="">
      <xdr:nvSpPr>
        <xdr:cNvPr id="10" name="Freeform 9"/>
        <xdr:cNvSpPr/>
      </xdr:nvSpPr>
      <xdr:spPr>
        <a:xfrm rot="10800000">
          <a:off x="9908320" y="2983715"/>
          <a:ext cx="275769" cy="3081619"/>
        </a:xfrm>
        <a:custGeom>
          <a:avLst/>
          <a:gdLst>
            <a:gd name="connsiteX0" fmla="*/ 459223 w 459223"/>
            <a:gd name="connsiteY0" fmla="*/ 5028543 h 5028543"/>
            <a:gd name="connsiteX1" fmla="*/ 2023 w 459223"/>
            <a:gd name="connsiteY1" fmla="*/ 5028543 h 5028543"/>
            <a:gd name="connsiteX2" fmla="*/ 2023 w 459223"/>
            <a:gd name="connsiteY2" fmla="*/ 4777849 h 5028543"/>
            <a:gd name="connsiteX3" fmla="*/ 0 w 459223"/>
            <a:gd name="connsiteY3" fmla="*/ 4778927 h 5028543"/>
            <a:gd name="connsiteX4" fmla="*/ 0 w 459223"/>
            <a:gd name="connsiteY4" fmla="*/ 62489 h 5028543"/>
            <a:gd name="connsiteX5" fmla="*/ 457200 w 459223"/>
            <a:gd name="connsiteY5" fmla="*/ 62489 h 5028543"/>
            <a:gd name="connsiteX6" fmla="*/ 457200 w 459223"/>
            <a:gd name="connsiteY6" fmla="*/ 3753459 h 5028543"/>
            <a:gd name="connsiteX7" fmla="*/ 459223 w 459223"/>
            <a:gd name="connsiteY7" fmla="*/ 3753459 h 50285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59223" h="5028543">
              <a:moveTo>
                <a:pt x="459223" y="5028543"/>
              </a:moveTo>
              <a:lnTo>
                <a:pt x="2023" y="5028543"/>
              </a:lnTo>
              <a:lnTo>
                <a:pt x="2023" y="4777849"/>
              </a:lnTo>
              <a:lnTo>
                <a:pt x="0" y="4778927"/>
              </a:lnTo>
              <a:lnTo>
                <a:pt x="0" y="62489"/>
              </a:lnTo>
              <a:cubicBezTo>
                <a:pt x="152400" y="-153980"/>
                <a:pt x="304800" y="278958"/>
                <a:pt x="457200" y="62489"/>
              </a:cubicBezTo>
              <a:lnTo>
                <a:pt x="457200" y="3753459"/>
              </a:lnTo>
              <a:lnTo>
                <a:pt x="459223" y="3753459"/>
              </a:ln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36</xdr:col>
      <xdr:colOff>131191</xdr:colOff>
      <xdr:row>15</xdr:row>
      <xdr:rowOff>115370</xdr:rowOff>
    </xdr:from>
    <xdr:to>
      <xdr:col>42</xdr:col>
      <xdr:colOff>89737</xdr:colOff>
      <xdr:row>30</xdr:row>
      <xdr:rowOff>121938</xdr:rowOff>
    </xdr:to>
    <xdr:sp macro="" textlink="">
      <xdr:nvSpPr>
        <xdr:cNvPr id="11" name="Freeform 10"/>
        <xdr:cNvSpPr/>
      </xdr:nvSpPr>
      <xdr:spPr>
        <a:xfrm rot="16200000">
          <a:off x="10081216" y="2316524"/>
          <a:ext cx="2864068" cy="2652760"/>
        </a:xfrm>
        <a:custGeom>
          <a:avLst/>
          <a:gdLst>
            <a:gd name="connsiteX0" fmla="*/ 3069315 w 3069315"/>
            <a:gd name="connsiteY0" fmla="*/ 915627 h 3086873"/>
            <a:gd name="connsiteX1" fmla="*/ 3068312 w 3069315"/>
            <a:gd name="connsiteY1" fmla="*/ 915627 h 3086873"/>
            <a:gd name="connsiteX2" fmla="*/ 3068312 w 3069315"/>
            <a:gd name="connsiteY2" fmla="*/ 3086873 h 3086873"/>
            <a:gd name="connsiteX3" fmla="*/ 2741311 w 3069315"/>
            <a:gd name="connsiteY3" fmla="*/ 3086873 h 3086873"/>
            <a:gd name="connsiteX4" fmla="*/ 2741311 w 3069315"/>
            <a:gd name="connsiteY4" fmla="*/ 915627 h 3086873"/>
            <a:gd name="connsiteX5" fmla="*/ 2739125 w 3069315"/>
            <a:gd name="connsiteY5" fmla="*/ 915627 h 3086873"/>
            <a:gd name="connsiteX6" fmla="*/ 2154915 w 3069315"/>
            <a:gd name="connsiteY6" fmla="*/ 331417 h 3086873"/>
            <a:gd name="connsiteX7" fmla="*/ 2154915 w 3069315"/>
            <a:gd name="connsiteY7" fmla="*/ 330972 h 3086873"/>
            <a:gd name="connsiteX8" fmla="*/ 0 w 3069315"/>
            <a:gd name="connsiteY8" fmla="*/ 330972 h 3086873"/>
            <a:gd name="connsiteX9" fmla="*/ 0 w 3069315"/>
            <a:gd name="connsiteY9" fmla="*/ 0 h 3086873"/>
            <a:gd name="connsiteX10" fmla="*/ 2159165 w 3069315"/>
            <a:gd name="connsiteY10" fmla="*/ 0 h 3086873"/>
            <a:gd name="connsiteX11" fmla="*/ 2159165 w 3069315"/>
            <a:gd name="connsiteY11" fmla="*/ 1441 h 3086873"/>
            <a:gd name="connsiteX12" fmla="*/ 2248407 w 3069315"/>
            <a:gd name="connsiteY12" fmla="*/ 5948 h 3086873"/>
            <a:gd name="connsiteX13" fmla="*/ 3069315 w 3069315"/>
            <a:gd name="connsiteY13" fmla="*/ 915627 h 308687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3069315" h="3086873">
              <a:moveTo>
                <a:pt x="3069315" y="915627"/>
              </a:moveTo>
              <a:lnTo>
                <a:pt x="3068312" y="915627"/>
              </a:lnTo>
              <a:lnTo>
                <a:pt x="3068312" y="3086873"/>
              </a:lnTo>
              <a:lnTo>
                <a:pt x="2741311" y="3086873"/>
              </a:lnTo>
              <a:lnTo>
                <a:pt x="2741311" y="915627"/>
              </a:lnTo>
              <a:lnTo>
                <a:pt x="2739125" y="915627"/>
              </a:lnTo>
              <a:cubicBezTo>
                <a:pt x="2739125" y="592977"/>
                <a:pt x="2477565" y="331417"/>
                <a:pt x="2154915" y="331417"/>
              </a:cubicBezTo>
              <a:lnTo>
                <a:pt x="2154915" y="330972"/>
              </a:lnTo>
              <a:lnTo>
                <a:pt x="0" y="330972"/>
              </a:lnTo>
              <a:lnTo>
                <a:pt x="0" y="0"/>
              </a:lnTo>
              <a:lnTo>
                <a:pt x="2159165" y="0"/>
              </a:lnTo>
              <a:lnTo>
                <a:pt x="2159165" y="1441"/>
              </a:lnTo>
              <a:lnTo>
                <a:pt x="2248407" y="5948"/>
              </a:lnTo>
              <a:cubicBezTo>
                <a:pt x="2709499" y="52774"/>
                <a:pt x="3069315" y="442181"/>
                <a:pt x="3069315" y="915627"/>
              </a:cubicBezTo>
              <a:close/>
            </a:path>
          </a:pathLst>
        </a:cu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36</xdr:col>
      <xdr:colOff>321914</xdr:colOff>
      <xdr:row>29</xdr:row>
      <xdr:rowOff>174668</xdr:rowOff>
    </xdr:from>
    <xdr:to>
      <xdr:col>39</xdr:col>
      <xdr:colOff>14027</xdr:colOff>
      <xdr:row>33</xdr:row>
      <xdr:rowOff>57468</xdr:rowOff>
    </xdr:to>
    <xdr:cxnSp macro="">
      <xdr:nvCxnSpPr>
        <xdr:cNvPr id="12" name="Straight Arrow Connector 11"/>
        <xdr:cNvCxnSpPr/>
      </xdr:nvCxnSpPr>
      <xdr:spPr>
        <a:xfrm flipH="1" flipV="1">
          <a:off x="10377593" y="4937168"/>
          <a:ext cx="1039220" cy="644800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358396</xdr:colOff>
      <xdr:row>14</xdr:row>
      <xdr:rowOff>40031</xdr:rowOff>
    </xdr:from>
    <xdr:to>
      <xdr:col>42</xdr:col>
      <xdr:colOff>527139</xdr:colOff>
      <xdr:row>15</xdr:row>
      <xdr:rowOff>116513</xdr:rowOff>
    </xdr:to>
    <xdr:sp macro="" textlink="">
      <xdr:nvSpPr>
        <xdr:cNvPr id="13" name="Wave 12"/>
        <xdr:cNvSpPr/>
      </xdr:nvSpPr>
      <xdr:spPr>
        <a:xfrm rot="5400000">
          <a:off x="11487545" y="422525"/>
          <a:ext cx="266982" cy="3311993"/>
        </a:xfrm>
        <a:prstGeom prst="wave">
          <a:avLst>
            <a:gd name="adj1" fmla="val 1340"/>
            <a:gd name="adj2" fmla="val 0"/>
          </a:avLst>
        </a:prstGeom>
        <a:noFill/>
        <a:ln w="12700"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38</xdr:col>
      <xdr:colOff>198426</xdr:colOff>
      <xdr:row>14</xdr:row>
      <xdr:rowOff>44892</xdr:rowOff>
    </xdr:from>
    <xdr:to>
      <xdr:col>39</xdr:col>
      <xdr:colOff>181260</xdr:colOff>
      <xdr:row>19</xdr:row>
      <xdr:rowOff>88876</xdr:rowOff>
    </xdr:to>
    <xdr:sp macro="" textlink="">
      <xdr:nvSpPr>
        <xdr:cNvPr id="14" name="Freeform 13"/>
        <xdr:cNvSpPr/>
      </xdr:nvSpPr>
      <xdr:spPr>
        <a:xfrm rot="10800000">
          <a:off x="11152176" y="1949892"/>
          <a:ext cx="431870" cy="996484"/>
        </a:xfrm>
        <a:custGeom>
          <a:avLst/>
          <a:gdLst>
            <a:gd name="connsiteX0" fmla="*/ 824707 w 1064419"/>
            <a:gd name="connsiteY0" fmla="*/ 60324 h 2236790"/>
            <a:gd name="connsiteX1" fmla="*/ 234949 w 1064419"/>
            <a:gd name="connsiteY1" fmla="*/ 60324 h 2236790"/>
            <a:gd name="connsiteX2" fmla="*/ 287552 w 1064419"/>
            <a:gd name="connsiteY2" fmla="*/ 0 h 2236790"/>
            <a:gd name="connsiteX3" fmla="*/ 772104 w 1064419"/>
            <a:gd name="connsiteY3" fmla="*/ 0 h 2236790"/>
            <a:gd name="connsiteX4" fmla="*/ 874710 w 1064419"/>
            <a:gd name="connsiteY4" fmla="*/ 948531 h 2236790"/>
            <a:gd name="connsiteX5" fmla="*/ 188913 w 1064419"/>
            <a:gd name="connsiteY5" fmla="*/ 948531 h 2236790"/>
            <a:gd name="connsiteX6" fmla="*/ 236669 w 1064419"/>
            <a:gd name="connsiteY6" fmla="*/ 893766 h 2236790"/>
            <a:gd name="connsiteX7" fmla="*/ 229391 w 1064419"/>
            <a:gd name="connsiteY7" fmla="*/ 893766 h 2236790"/>
            <a:gd name="connsiteX8" fmla="*/ 229391 w 1064419"/>
            <a:gd name="connsiteY8" fmla="*/ 60325 h 2236790"/>
            <a:gd name="connsiteX9" fmla="*/ 827086 w 1064419"/>
            <a:gd name="connsiteY9" fmla="*/ 60325 h 2236790"/>
            <a:gd name="connsiteX10" fmla="*/ 827086 w 1064419"/>
            <a:gd name="connsiteY10" fmla="*/ 893766 h 2236790"/>
            <a:gd name="connsiteX11" fmla="*/ 826955 w 1064419"/>
            <a:gd name="connsiteY11" fmla="*/ 893766 h 2236790"/>
            <a:gd name="connsiteX12" fmla="*/ 877094 w 1064419"/>
            <a:gd name="connsiteY12" fmla="*/ 1996285 h 2236790"/>
            <a:gd name="connsiteX13" fmla="*/ 186530 w 1064419"/>
            <a:gd name="connsiteY13" fmla="*/ 1996285 h 2236790"/>
            <a:gd name="connsiteX14" fmla="*/ 186530 w 1064419"/>
            <a:gd name="connsiteY14" fmla="*/ 948532 h 2236790"/>
            <a:gd name="connsiteX15" fmla="*/ 877094 w 1064419"/>
            <a:gd name="connsiteY15" fmla="*/ 948532 h 2236790"/>
            <a:gd name="connsiteX16" fmla="*/ 1059654 w 1064419"/>
            <a:gd name="connsiteY16" fmla="*/ 2189163 h 2236790"/>
            <a:gd name="connsiteX17" fmla="*/ 4764 w 1064419"/>
            <a:gd name="connsiteY17" fmla="*/ 2189163 h 2236790"/>
            <a:gd name="connsiteX18" fmla="*/ 187624 w 1064419"/>
            <a:gd name="connsiteY18" fmla="*/ 1996330 h 2236790"/>
            <a:gd name="connsiteX19" fmla="*/ 876794 w 1064419"/>
            <a:gd name="connsiteY19" fmla="*/ 1996330 h 2236790"/>
            <a:gd name="connsiteX20" fmla="*/ 1064419 w 1064419"/>
            <a:gd name="connsiteY20" fmla="*/ 2236790 h 2236790"/>
            <a:gd name="connsiteX21" fmla="*/ 0 w 1064419"/>
            <a:gd name="connsiteY21" fmla="*/ 2236790 h 2236790"/>
            <a:gd name="connsiteX22" fmla="*/ 0 w 1064419"/>
            <a:gd name="connsiteY22" fmla="*/ 2191071 h 2236790"/>
            <a:gd name="connsiteX23" fmla="*/ 1064419 w 1064419"/>
            <a:gd name="connsiteY23" fmla="*/ 2191071 h 22367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</a:cxnLst>
          <a:rect l="l" t="t" r="r" b="b"/>
          <a:pathLst>
            <a:path w="1064419" h="2236790">
              <a:moveTo>
                <a:pt x="824707" y="60324"/>
              </a:moveTo>
              <a:lnTo>
                <a:pt x="234949" y="60324"/>
              </a:lnTo>
              <a:lnTo>
                <a:pt x="287552" y="0"/>
              </a:lnTo>
              <a:lnTo>
                <a:pt x="772104" y="0"/>
              </a:lnTo>
              <a:close/>
              <a:moveTo>
                <a:pt x="874710" y="948531"/>
              </a:moveTo>
              <a:lnTo>
                <a:pt x="188913" y="948531"/>
              </a:lnTo>
              <a:lnTo>
                <a:pt x="236669" y="893766"/>
              </a:lnTo>
              <a:lnTo>
                <a:pt x="229391" y="893766"/>
              </a:lnTo>
              <a:lnTo>
                <a:pt x="229391" y="60325"/>
              </a:lnTo>
              <a:lnTo>
                <a:pt x="827086" y="60325"/>
              </a:lnTo>
              <a:lnTo>
                <a:pt x="827086" y="893766"/>
              </a:lnTo>
              <a:lnTo>
                <a:pt x="826955" y="893766"/>
              </a:lnTo>
              <a:close/>
              <a:moveTo>
                <a:pt x="877094" y="1996285"/>
              </a:moveTo>
              <a:lnTo>
                <a:pt x="186530" y="1996285"/>
              </a:lnTo>
              <a:lnTo>
                <a:pt x="186530" y="948532"/>
              </a:lnTo>
              <a:lnTo>
                <a:pt x="877094" y="948532"/>
              </a:lnTo>
              <a:close/>
              <a:moveTo>
                <a:pt x="1059654" y="2189163"/>
              </a:moveTo>
              <a:lnTo>
                <a:pt x="4764" y="2189163"/>
              </a:lnTo>
              <a:lnTo>
                <a:pt x="187624" y="1996330"/>
              </a:lnTo>
              <a:lnTo>
                <a:pt x="876794" y="1996330"/>
              </a:lnTo>
              <a:close/>
              <a:moveTo>
                <a:pt x="1064419" y="2236790"/>
              </a:moveTo>
              <a:lnTo>
                <a:pt x="0" y="2236790"/>
              </a:lnTo>
              <a:lnTo>
                <a:pt x="0" y="2191071"/>
              </a:lnTo>
              <a:lnTo>
                <a:pt x="1064419" y="2191071"/>
              </a:lnTo>
              <a:close/>
            </a:path>
          </a:pathLst>
        </a:custGeom>
        <a:solidFill>
          <a:schemeClr val="bg1">
            <a:lumMod val="95000"/>
          </a:schemeClr>
        </a:solidFill>
        <a:ln w="9525"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36</xdr:col>
      <xdr:colOff>27214</xdr:colOff>
      <xdr:row>12</xdr:row>
      <xdr:rowOff>176893</xdr:rowOff>
    </xdr:from>
    <xdr:to>
      <xdr:col>37</xdr:col>
      <xdr:colOff>116954</xdr:colOff>
      <xdr:row>14</xdr:row>
      <xdr:rowOff>163284</xdr:rowOff>
    </xdr:to>
    <xdr:cxnSp macro="">
      <xdr:nvCxnSpPr>
        <xdr:cNvPr id="15" name="Straight Arrow Connector 14"/>
        <xdr:cNvCxnSpPr/>
      </xdr:nvCxnSpPr>
      <xdr:spPr>
        <a:xfrm>
          <a:off x="10082893" y="1700893"/>
          <a:ext cx="538775" cy="367391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168033</xdr:colOff>
      <xdr:row>17</xdr:row>
      <xdr:rowOff>30766</xdr:rowOff>
    </xdr:from>
    <xdr:to>
      <xdr:col>39</xdr:col>
      <xdr:colOff>221791</xdr:colOff>
      <xdr:row>18</xdr:row>
      <xdr:rowOff>189054</xdr:rowOff>
    </xdr:to>
    <xdr:sp macro="" textlink="">
      <xdr:nvSpPr>
        <xdr:cNvPr id="16" name="Freeform 15"/>
        <xdr:cNvSpPr/>
      </xdr:nvSpPr>
      <xdr:spPr>
        <a:xfrm rot="10800000">
          <a:off x="11121783" y="2507266"/>
          <a:ext cx="502794" cy="348788"/>
        </a:xfrm>
        <a:custGeom>
          <a:avLst/>
          <a:gdLst>
            <a:gd name="connsiteX0" fmla="*/ 958844 w 1081085"/>
            <a:gd name="connsiteY0" fmla="*/ 47620 h 1307302"/>
            <a:gd name="connsiteX1" fmla="*/ 115888 w 1081085"/>
            <a:gd name="connsiteY1" fmla="*/ 47620 h 1307302"/>
            <a:gd name="connsiteX2" fmla="*/ 185578 w 1081085"/>
            <a:gd name="connsiteY2" fmla="*/ 0 h 1307302"/>
            <a:gd name="connsiteX3" fmla="*/ 889154 w 1081085"/>
            <a:gd name="connsiteY3" fmla="*/ 0 h 1307302"/>
            <a:gd name="connsiteX4" fmla="*/ 1038223 w 1081085"/>
            <a:gd name="connsiteY4" fmla="*/ 231771 h 1307302"/>
            <a:gd name="connsiteX5" fmla="*/ 47624 w 1081085"/>
            <a:gd name="connsiteY5" fmla="*/ 231771 h 1307302"/>
            <a:gd name="connsiteX6" fmla="*/ 47624 w 1081085"/>
            <a:gd name="connsiteY6" fmla="*/ 47620 h 1307302"/>
            <a:gd name="connsiteX7" fmla="*/ 115888 w 1081085"/>
            <a:gd name="connsiteY7" fmla="*/ 47620 h 1307302"/>
            <a:gd name="connsiteX8" fmla="*/ 115885 w 1081085"/>
            <a:gd name="connsiteY8" fmla="*/ 47622 h 1307302"/>
            <a:gd name="connsiteX9" fmla="*/ 958847 w 1081085"/>
            <a:gd name="connsiteY9" fmla="*/ 47622 h 1307302"/>
            <a:gd name="connsiteX10" fmla="*/ 958844 w 1081085"/>
            <a:gd name="connsiteY10" fmla="*/ 47620 h 1307302"/>
            <a:gd name="connsiteX11" fmla="*/ 1038223 w 1081085"/>
            <a:gd name="connsiteY11" fmla="*/ 47620 h 1307302"/>
            <a:gd name="connsiteX12" fmla="*/ 955673 w 1081085"/>
            <a:gd name="connsiteY12" fmla="*/ 364327 h 1307302"/>
            <a:gd name="connsiteX13" fmla="*/ 130173 w 1081085"/>
            <a:gd name="connsiteY13" fmla="*/ 364327 h 1307302"/>
            <a:gd name="connsiteX14" fmla="*/ 130173 w 1081085"/>
            <a:gd name="connsiteY14" fmla="*/ 234151 h 1307302"/>
            <a:gd name="connsiteX15" fmla="*/ 955673 w 1081085"/>
            <a:gd name="connsiteY15" fmla="*/ 234151 h 1307302"/>
            <a:gd name="connsiteX16" fmla="*/ 890724 w 1081085"/>
            <a:gd name="connsiteY16" fmla="*/ 455607 h 1307302"/>
            <a:gd name="connsiteX17" fmla="*/ 195123 w 1081085"/>
            <a:gd name="connsiteY17" fmla="*/ 455607 h 1307302"/>
            <a:gd name="connsiteX18" fmla="*/ 135730 w 1081085"/>
            <a:gd name="connsiteY18" fmla="*/ 365119 h 1307302"/>
            <a:gd name="connsiteX19" fmla="*/ 950117 w 1081085"/>
            <a:gd name="connsiteY19" fmla="*/ 365119 h 1307302"/>
            <a:gd name="connsiteX20" fmla="*/ 966785 w 1081085"/>
            <a:gd name="connsiteY20" fmla="*/ 646106 h 1307302"/>
            <a:gd name="connsiteX21" fmla="*/ 116678 w 1081085"/>
            <a:gd name="connsiteY21" fmla="*/ 646106 h 1307302"/>
            <a:gd name="connsiteX22" fmla="*/ 85722 w 1081085"/>
            <a:gd name="connsiteY22" fmla="*/ 615150 h 1307302"/>
            <a:gd name="connsiteX23" fmla="*/ 85722 w 1081085"/>
            <a:gd name="connsiteY23" fmla="*/ 491326 h 1307302"/>
            <a:gd name="connsiteX24" fmla="*/ 116678 w 1081085"/>
            <a:gd name="connsiteY24" fmla="*/ 460370 h 1307302"/>
            <a:gd name="connsiteX25" fmla="*/ 966785 w 1081085"/>
            <a:gd name="connsiteY25" fmla="*/ 460370 h 1307302"/>
            <a:gd name="connsiteX26" fmla="*/ 997741 w 1081085"/>
            <a:gd name="connsiteY26" fmla="*/ 491326 h 1307302"/>
            <a:gd name="connsiteX27" fmla="*/ 997741 w 1081085"/>
            <a:gd name="connsiteY27" fmla="*/ 615150 h 1307302"/>
            <a:gd name="connsiteX28" fmla="*/ 966785 w 1081085"/>
            <a:gd name="connsiteY28" fmla="*/ 646106 h 1307302"/>
            <a:gd name="connsiteX29" fmla="*/ 1078704 w 1081085"/>
            <a:gd name="connsiteY29" fmla="*/ 1193796 h 1307302"/>
            <a:gd name="connsiteX30" fmla="*/ 1077932 w 1081085"/>
            <a:gd name="connsiteY30" fmla="*/ 1193796 h 1307302"/>
            <a:gd name="connsiteX31" fmla="*/ 1077932 w 1081085"/>
            <a:gd name="connsiteY31" fmla="*/ 1193795 h 1307302"/>
            <a:gd name="connsiteX32" fmla="*/ 3153 w 1081085"/>
            <a:gd name="connsiteY32" fmla="*/ 1193795 h 1307302"/>
            <a:gd name="connsiteX33" fmla="*/ 3153 w 1081085"/>
            <a:gd name="connsiteY33" fmla="*/ 1193796 h 1307302"/>
            <a:gd name="connsiteX34" fmla="*/ 2378 w 1081085"/>
            <a:gd name="connsiteY34" fmla="*/ 1193796 h 1307302"/>
            <a:gd name="connsiteX35" fmla="*/ 116839 w 1081085"/>
            <a:gd name="connsiteY35" fmla="*/ 646108 h 1307302"/>
            <a:gd name="connsiteX36" fmla="*/ 964243 w 1081085"/>
            <a:gd name="connsiteY36" fmla="*/ 646108 h 1307302"/>
            <a:gd name="connsiteX37" fmla="*/ 1081085 w 1081085"/>
            <a:gd name="connsiteY37" fmla="*/ 1307302 h 1307302"/>
            <a:gd name="connsiteX38" fmla="*/ 0 w 1081085"/>
            <a:gd name="connsiteY38" fmla="*/ 1307302 h 1307302"/>
            <a:gd name="connsiteX39" fmla="*/ 3153 w 1081085"/>
            <a:gd name="connsiteY39" fmla="*/ 1193796 h 1307302"/>
            <a:gd name="connsiteX40" fmla="*/ 1077932 w 1081085"/>
            <a:gd name="connsiteY40" fmla="*/ 1193796 h 130730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1081085" h="1307302">
              <a:moveTo>
                <a:pt x="958844" y="47620"/>
              </a:moveTo>
              <a:lnTo>
                <a:pt x="115888" y="47620"/>
              </a:lnTo>
              <a:lnTo>
                <a:pt x="185578" y="0"/>
              </a:lnTo>
              <a:lnTo>
                <a:pt x="889154" y="0"/>
              </a:lnTo>
              <a:close/>
              <a:moveTo>
                <a:pt x="1038223" y="231771"/>
              </a:moveTo>
              <a:lnTo>
                <a:pt x="47624" y="231771"/>
              </a:lnTo>
              <a:lnTo>
                <a:pt x="47624" y="47620"/>
              </a:lnTo>
              <a:lnTo>
                <a:pt x="115888" y="47620"/>
              </a:lnTo>
              <a:lnTo>
                <a:pt x="115885" y="47622"/>
              </a:lnTo>
              <a:lnTo>
                <a:pt x="958847" y="47622"/>
              </a:lnTo>
              <a:lnTo>
                <a:pt x="958844" y="47620"/>
              </a:lnTo>
              <a:lnTo>
                <a:pt x="1038223" y="47620"/>
              </a:lnTo>
              <a:close/>
              <a:moveTo>
                <a:pt x="955673" y="364327"/>
              </a:moveTo>
              <a:lnTo>
                <a:pt x="130173" y="364327"/>
              </a:lnTo>
              <a:lnTo>
                <a:pt x="130173" y="234151"/>
              </a:lnTo>
              <a:lnTo>
                <a:pt x="955673" y="234151"/>
              </a:lnTo>
              <a:close/>
              <a:moveTo>
                <a:pt x="890724" y="455607"/>
              </a:moveTo>
              <a:lnTo>
                <a:pt x="195123" y="455607"/>
              </a:lnTo>
              <a:lnTo>
                <a:pt x="135730" y="365119"/>
              </a:lnTo>
              <a:lnTo>
                <a:pt x="950117" y="365119"/>
              </a:lnTo>
              <a:close/>
              <a:moveTo>
                <a:pt x="966785" y="646106"/>
              </a:moveTo>
              <a:lnTo>
                <a:pt x="116678" y="646106"/>
              </a:lnTo>
              <a:cubicBezTo>
                <a:pt x="99581" y="646106"/>
                <a:pt x="85722" y="632247"/>
                <a:pt x="85722" y="615150"/>
              </a:cubicBezTo>
              <a:lnTo>
                <a:pt x="85722" y="491326"/>
              </a:lnTo>
              <a:cubicBezTo>
                <a:pt x="85722" y="474229"/>
                <a:pt x="99581" y="460370"/>
                <a:pt x="116678" y="460370"/>
              </a:cubicBezTo>
              <a:lnTo>
                <a:pt x="966785" y="460370"/>
              </a:lnTo>
              <a:cubicBezTo>
                <a:pt x="983882" y="460370"/>
                <a:pt x="997741" y="474229"/>
                <a:pt x="997741" y="491326"/>
              </a:cubicBezTo>
              <a:lnTo>
                <a:pt x="997741" y="615150"/>
              </a:lnTo>
              <a:cubicBezTo>
                <a:pt x="997741" y="632247"/>
                <a:pt x="983882" y="646106"/>
                <a:pt x="966785" y="646106"/>
              </a:cubicBezTo>
              <a:close/>
              <a:moveTo>
                <a:pt x="1078704" y="1193796"/>
              </a:moveTo>
              <a:lnTo>
                <a:pt x="1077932" y="1193796"/>
              </a:lnTo>
              <a:lnTo>
                <a:pt x="1077932" y="1193795"/>
              </a:lnTo>
              <a:lnTo>
                <a:pt x="3153" y="1193795"/>
              </a:lnTo>
              <a:lnTo>
                <a:pt x="3153" y="1193796"/>
              </a:lnTo>
              <a:lnTo>
                <a:pt x="2378" y="1193796"/>
              </a:lnTo>
              <a:lnTo>
                <a:pt x="116839" y="646108"/>
              </a:lnTo>
              <a:lnTo>
                <a:pt x="964243" y="646108"/>
              </a:lnTo>
              <a:close/>
              <a:moveTo>
                <a:pt x="1081085" y="1307302"/>
              </a:moveTo>
              <a:lnTo>
                <a:pt x="0" y="1307302"/>
              </a:lnTo>
              <a:lnTo>
                <a:pt x="3153" y="1193796"/>
              </a:lnTo>
              <a:lnTo>
                <a:pt x="1077932" y="1193796"/>
              </a:lnTo>
              <a:close/>
            </a:path>
          </a:pathLst>
        </a:custGeom>
        <a:solidFill>
          <a:schemeClr val="bg1">
            <a:lumMod val="95000"/>
            <a:alpha val="90000"/>
          </a:schemeClr>
        </a:solidFill>
        <a:ln w="9525"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34</xdr:col>
      <xdr:colOff>3999</xdr:colOff>
      <xdr:row>19</xdr:row>
      <xdr:rowOff>145915</xdr:rowOff>
    </xdr:from>
    <xdr:to>
      <xdr:col>34</xdr:col>
      <xdr:colOff>3999</xdr:colOff>
      <xdr:row>25</xdr:row>
      <xdr:rowOff>99947</xdr:rowOff>
    </xdr:to>
    <xdr:cxnSp macro="">
      <xdr:nvCxnSpPr>
        <xdr:cNvPr id="17" name="Straight Connector 16"/>
        <xdr:cNvCxnSpPr/>
      </xdr:nvCxnSpPr>
      <xdr:spPr>
        <a:xfrm>
          <a:off x="9161606" y="3003415"/>
          <a:ext cx="0" cy="1097032"/>
        </a:xfrm>
        <a:prstGeom prst="line">
          <a:avLst/>
        </a:prstGeom>
        <a:ln w="3175">
          <a:prstDash val="solid"/>
          <a:headEnd type="arrow" w="med" len="med"/>
          <a:tailEnd type="arrow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321767</xdr:colOff>
      <xdr:row>19</xdr:row>
      <xdr:rowOff>126865</xdr:rowOff>
    </xdr:from>
    <xdr:to>
      <xdr:col>35</xdr:col>
      <xdr:colOff>301625</xdr:colOff>
      <xdr:row>19</xdr:row>
      <xdr:rowOff>126865</xdr:rowOff>
    </xdr:to>
    <xdr:cxnSp macro="">
      <xdr:nvCxnSpPr>
        <xdr:cNvPr id="18" name="Straight Connector 17"/>
        <xdr:cNvCxnSpPr/>
      </xdr:nvCxnSpPr>
      <xdr:spPr>
        <a:xfrm flipH="1" flipV="1">
          <a:off x="9030338" y="2984365"/>
          <a:ext cx="877930" cy="0"/>
        </a:xfrm>
        <a:prstGeom prst="line">
          <a:avLst/>
        </a:prstGeom>
        <a:ln w="9525"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118109</xdr:colOff>
      <xdr:row>25</xdr:row>
      <xdr:rowOff>124794</xdr:rowOff>
    </xdr:from>
    <xdr:to>
      <xdr:col>38</xdr:col>
      <xdr:colOff>118109</xdr:colOff>
      <xdr:row>30</xdr:row>
      <xdr:rowOff>79913</xdr:rowOff>
    </xdr:to>
    <xdr:cxnSp macro="">
      <xdr:nvCxnSpPr>
        <xdr:cNvPr id="19" name="Straight Connector 18"/>
        <xdr:cNvCxnSpPr/>
      </xdr:nvCxnSpPr>
      <xdr:spPr>
        <a:xfrm flipH="1">
          <a:off x="11071859" y="4125294"/>
          <a:ext cx="0" cy="907619"/>
        </a:xfrm>
        <a:prstGeom prst="line">
          <a:avLst/>
        </a:prstGeom>
        <a:ln w="3175">
          <a:prstDash val="solid"/>
          <a:headEnd type="arrow" w="med" len="med"/>
          <a:tailEnd type="arrow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273466</xdr:colOff>
      <xdr:row>30</xdr:row>
      <xdr:rowOff>115570</xdr:rowOff>
    </xdr:from>
    <xdr:to>
      <xdr:col>38</xdr:col>
      <xdr:colOff>252023</xdr:colOff>
      <xdr:row>30</xdr:row>
      <xdr:rowOff>115956</xdr:rowOff>
    </xdr:to>
    <xdr:cxnSp macro="">
      <xdr:nvCxnSpPr>
        <xdr:cNvPr id="20" name="Straight Connector 19"/>
        <xdr:cNvCxnSpPr/>
      </xdr:nvCxnSpPr>
      <xdr:spPr>
        <a:xfrm flipH="1">
          <a:off x="10329145" y="5068570"/>
          <a:ext cx="876628" cy="386"/>
        </a:xfrm>
        <a:prstGeom prst="line">
          <a:avLst/>
        </a:prstGeom>
        <a:ln w="9525">
          <a:prstDash val="soli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375932</xdr:colOff>
      <xdr:row>24</xdr:row>
      <xdr:rowOff>32775</xdr:rowOff>
    </xdr:from>
    <xdr:to>
      <xdr:col>37</xdr:col>
      <xdr:colOff>426440</xdr:colOff>
      <xdr:row>26</xdr:row>
      <xdr:rowOff>152916</xdr:rowOff>
    </xdr:to>
    <xdr:sp macro="" textlink="">
      <xdr:nvSpPr>
        <xdr:cNvPr id="21" name="Freeform 20"/>
        <xdr:cNvSpPr/>
      </xdr:nvSpPr>
      <xdr:spPr>
        <a:xfrm rot="5400000">
          <a:off x="9981776" y="3394538"/>
          <a:ext cx="501141" cy="1397615"/>
        </a:xfrm>
        <a:custGeom>
          <a:avLst/>
          <a:gdLst>
            <a:gd name="connsiteX0" fmla="*/ 742953 w 926941"/>
            <a:gd name="connsiteY0" fmla="*/ 92869 h 2856706"/>
            <a:gd name="connsiteX1" fmla="*/ 173831 w 926941"/>
            <a:gd name="connsiteY1" fmla="*/ 92869 h 2856706"/>
            <a:gd name="connsiteX2" fmla="*/ 266009 w 926941"/>
            <a:gd name="connsiteY2" fmla="*/ 0 h 2856706"/>
            <a:gd name="connsiteX3" fmla="*/ 650775 w 926941"/>
            <a:gd name="connsiteY3" fmla="*/ 0 h 2856706"/>
            <a:gd name="connsiteX4" fmla="*/ 747712 w 926941"/>
            <a:gd name="connsiteY4" fmla="*/ 772320 h 2856706"/>
            <a:gd name="connsiteX5" fmla="*/ 746660 w 926941"/>
            <a:gd name="connsiteY5" fmla="*/ 772320 h 2856706"/>
            <a:gd name="connsiteX6" fmla="*/ 746219 w 926941"/>
            <a:gd name="connsiteY6" fmla="*/ 771369 h 2856706"/>
            <a:gd name="connsiteX7" fmla="*/ 171449 w 926941"/>
            <a:gd name="connsiteY7" fmla="*/ 771369 h 2856706"/>
            <a:gd name="connsiteX8" fmla="*/ 171449 w 926941"/>
            <a:gd name="connsiteY8" fmla="*/ 92871 h 2856706"/>
            <a:gd name="connsiteX9" fmla="*/ 747712 w 926941"/>
            <a:gd name="connsiteY9" fmla="*/ 92871 h 2856706"/>
            <a:gd name="connsiteX10" fmla="*/ 767394 w 926941"/>
            <a:gd name="connsiteY10" fmla="*/ 817088 h 2856706"/>
            <a:gd name="connsiteX11" fmla="*/ 149224 w 926941"/>
            <a:gd name="connsiteY11" fmla="*/ 817088 h 2856706"/>
            <a:gd name="connsiteX12" fmla="*/ 170399 w 926941"/>
            <a:gd name="connsiteY12" fmla="*/ 771369 h 2856706"/>
            <a:gd name="connsiteX13" fmla="*/ 171449 w 926941"/>
            <a:gd name="connsiteY13" fmla="*/ 771369 h 2856706"/>
            <a:gd name="connsiteX14" fmla="*/ 171449 w 926941"/>
            <a:gd name="connsiteY14" fmla="*/ 772320 h 2856706"/>
            <a:gd name="connsiteX15" fmla="*/ 746660 w 926941"/>
            <a:gd name="connsiteY15" fmla="*/ 772320 h 2856706"/>
            <a:gd name="connsiteX16" fmla="*/ 831377 w 926941"/>
            <a:gd name="connsiteY16" fmla="*/ 2632871 h 2856706"/>
            <a:gd name="connsiteX17" fmla="*/ 81155 w 926941"/>
            <a:gd name="connsiteY17" fmla="*/ 2632871 h 2856706"/>
            <a:gd name="connsiteX18" fmla="*/ 99944 w 926941"/>
            <a:gd name="connsiteY18" fmla="*/ 2628982 h 2856706"/>
            <a:gd name="connsiteX19" fmla="*/ 149155 w 926941"/>
            <a:gd name="connsiteY19" fmla="*/ 2552858 h 2856706"/>
            <a:gd name="connsiteX20" fmla="*/ 150813 w 926941"/>
            <a:gd name="connsiteY20" fmla="*/ 2552858 h 2856706"/>
            <a:gd name="connsiteX21" fmla="*/ 150813 w 926941"/>
            <a:gd name="connsiteY21" fmla="*/ 817723 h 2856706"/>
            <a:gd name="connsiteX22" fmla="*/ 768192 w 926941"/>
            <a:gd name="connsiteY22" fmla="*/ 817723 h 2856706"/>
            <a:gd name="connsiteX23" fmla="*/ 768192 w 926941"/>
            <a:gd name="connsiteY23" fmla="*/ 2581764 h 2856706"/>
            <a:gd name="connsiteX24" fmla="*/ 768304 w 926941"/>
            <a:gd name="connsiteY24" fmla="*/ 2582430 h 2856706"/>
            <a:gd name="connsiteX25" fmla="*/ 831377 w 926941"/>
            <a:gd name="connsiteY25" fmla="*/ 2632570 h 2856706"/>
            <a:gd name="connsiteX26" fmla="*/ 926941 w 926941"/>
            <a:gd name="connsiteY26" fmla="*/ 2732410 h 2856706"/>
            <a:gd name="connsiteX27" fmla="*/ 0 w 926941"/>
            <a:gd name="connsiteY27" fmla="*/ 2732410 h 2856706"/>
            <a:gd name="connsiteX28" fmla="*/ 0 w 926941"/>
            <a:gd name="connsiteY28" fmla="*/ 2632871 h 2856706"/>
            <a:gd name="connsiteX29" fmla="*/ 81155 w 926941"/>
            <a:gd name="connsiteY29" fmla="*/ 2632871 h 2856706"/>
            <a:gd name="connsiteX30" fmla="*/ 68581 w 926941"/>
            <a:gd name="connsiteY30" fmla="*/ 2635474 h 2856706"/>
            <a:gd name="connsiteX31" fmla="*/ 68581 w 926941"/>
            <a:gd name="connsiteY31" fmla="*/ 2636203 h 2856706"/>
            <a:gd name="connsiteX32" fmla="*/ 150813 w 926941"/>
            <a:gd name="connsiteY32" fmla="*/ 2636203 h 2856706"/>
            <a:gd name="connsiteX33" fmla="*/ 150813 w 926941"/>
            <a:gd name="connsiteY33" fmla="*/ 2636367 h 2856706"/>
            <a:gd name="connsiteX34" fmla="*/ 768192 w 926941"/>
            <a:gd name="connsiteY34" fmla="*/ 2636367 h 2856706"/>
            <a:gd name="connsiteX35" fmla="*/ 768192 w 926941"/>
            <a:gd name="connsiteY35" fmla="*/ 2636202 h 2856706"/>
            <a:gd name="connsiteX36" fmla="*/ 831377 w 926941"/>
            <a:gd name="connsiteY36" fmla="*/ 2636202 h 2856706"/>
            <a:gd name="connsiteX37" fmla="*/ 831377 w 926941"/>
            <a:gd name="connsiteY37" fmla="*/ 2632871 h 2856706"/>
            <a:gd name="connsiteX38" fmla="*/ 926941 w 926941"/>
            <a:gd name="connsiteY38" fmla="*/ 2632871 h 2856706"/>
            <a:gd name="connsiteX39" fmla="*/ 796023 w 926941"/>
            <a:gd name="connsiteY39" fmla="*/ 2856706 h 2856706"/>
            <a:gd name="connsiteX40" fmla="*/ 129326 w 926941"/>
            <a:gd name="connsiteY40" fmla="*/ 2856706 h 2856706"/>
            <a:gd name="connsiteX41" fmla="*/ 4761 w 926941"/>
            <a:gd name="connsiteY41" fmla="*/ 2732881 h 2856706"/>
            <a:gd name="connsiteX42" fmla="*/ 920588 w 926941"/>
            <a:gd name="connsiteY42" fmla="*/ 2732881 h 285670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</a:cxnLst>
          <a:rect l="l" t="t" r="r" b="b"/>
          <a:pathLst>
            <a:path w="926941" h="2856706">
              <a:moveTo>
                <a:pt x="742953" y="92869"/>
              </a:moveTo>
              <a:lnTo>
                <a:pt x="173831" y="92869"/>
              </a:lnTo>
              <a:lnTo>
                <a:pt x="266009" y="0"/>
              </a:lnTo>
              <a:lnTo>
                <a:pt x="650775" y="0"/>
              </a:lnTo>
              <a:close/>
              <a:moveTo>
                <a:pt x="747712" y="772320"/>
              </a:moveTo>
              <a:lnTo>
                <a:pt x="746660" y="772320"/>
              </a:lnTo>
              <a:lnTo>
                <a:pt x="746219" y="771369"/>
              </a:lnTo>
              <a:lnTo>
                <a:pt x="171449" y="771369"/>
              </a:lnTo>
              <a:lnTo>
                <a:pt x="171449" y="92871"/>
              </a:lnTo>
              <a:lnTo>
                <a:pt x="747712" y="92871"/>
              </a:lnTo>
              <a:close/>
              <a:moveTo>
                <a:pt x="767394" y="817088"/>
              </a:moveTo>
              <a:lnTo>
                <a:pt x="149224" y="817088"/>
              </a:lnTo>
              <a:lnTo>
                <a:pt x="170399" y="771369"/>
              </a:lnTo>
              <a:lnTo>
                <a:pt x="171449" y="771369"/>
              </a:lnTo>
              <a:lnTo>
                <a:pt x="171449" y="772320"/>
              </a:lnTo>
              <a:lnTo>
                <a:pt x="746660" y="772320"/>
              </a:lnTo>
              <a:close/>
              <a:moveTo>
                <a:pt x="831377" y="2632871"/>
              </a:moveTo>
              <a:lnTo>
                <a:pt x="81155" y="2632871"/>
              </a:lnTo>
              <a:lnTo>
                <a:pt x="99944" y="2628982"/>
              </a:lnTo>
              <a:cubicBezTo>
                <a:pt x="128863" y="2616440"/>
                <a:pt x="149155" y="2587078"/>
                <a:pt x="149155" y="2552858"/>
              </a:cubicBezTo>
              <a:lnTo>
                <a:pt x="150813" y="2552858"/>
              </a:lnTo>
              <a:lnTo>
                <a:pt x="150813" y="817723"/>
              </a:lnTo>
              <a:lnTo>
                <a:pt x="768192" y="817723"/>
              </a:lnTo>
              <a:lnTo>
                <a:pt x="768192" y="2581764"/>
              </a:lnTo>
              <a:lnTo>
                <a:pt x="768304" y="2582430"/>
              </a:lnTo>
              <a:cubicBezTo>
                <a:pt x="778695" y="2611895"/>
                <a:pt x="803023" y="2632570"/>
                <a:pt x="831377" y="2632570"/>
              </a:cubicBezTo>
              <a:close/>
              <a:moveTo>
                <a:pt x="926941" y="2732410"/>
              </a:moveTo>
              <a:lnTo>
                <a:pt x="0" y="2732410"/>
              </a:lnTo>
              <a:lnTo>
                <a:pt x="0" y="2632871"/>
              </a:lnTo>
              <a:lnTo>
                <a:pt x="81155" y="2632871"/>
              </a:lnTo>
              <a:lnTo>
                <a:pt x="68581" y="2635474"/>
              </a:lnTo>
              <a:lnTo>
                <a:pt x="68581" y="2636203"/>
              </a:lnTo>
              <a:lnTo>
                <a:pt x="150813" y="2636203"/>
              </a:lnTo>
              <a:lnTo>
                <a:pt x="150813" y="2636367"/>
              </a:lnTo>
              <a:lnTo>
                <a:pt x="768192" y="2636367"/>
              </a:lnTo>
              <a:lnTo>
                <a:pt x="768192" y="2636202"/>
              </a:lnTo>
              <a:lnTo>
                <a:pt x="831377" y="2636202"/>
              </a:lnTo>
              <a:lnTo>
                <a:pt x="831377" y="2632871"/>
              </a:lnTo>
              <a:lnTo>
                <a:pt x="926941" y="2632871"/>
              </a:lnTo>
              <a:close/>
              <a:moveTo>
                <a:pt x="796023" y="2856706"/>
              </a:moveTo>
              <a:lnTo>
                <a:pt x="129326" y="2856706"/>
              </a:lnTo>
              <a:lnTo>
                <a:pt x="4761" y="2732881"/>
              </a:lnTo>
              <a:lnTo>
                <a:pt x="920588" y="2732881"/>
              </a:lnTo>
              <a:close/>
            </a:path>
          </a:pathLst>
        </a:custGeom>
        <a:solidFill>
          <a:schemeClr val="bg1">
            <a:lumMod val="95000"/>
          </a:schemeClr>
        </a:solidFill>
        <a:ln w="9525"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36</xdr:col>
      <xdr:colOff>423689</xdr:colOff>
      <xdr:row>24</xdr:row>
      <xdr:rowOff>16524</xdr:rowOff>
    </xdr:from>
    <xdr:to>
      <xdr:col>37</xdr:col>
      <xdr:colOff>335032</xdr:colOff>
      <xdr:row>26</xdr:row>
      <xdr:rowOff>161356</xdr:rowOff>
    </xdr:to>
    <xdr:sp macro="" textlink="">
      <xdr:nvSpPr>
        <xdr:cNvPr id="22" name="Freeform 21"/>
        <xdr:cNvSpPr/>
      </xdr:nvSpPr>
      <xdr:spPr>
        <a:xfrm rot="5400000">
          <a:off x="10396641" y="3909251"/>
          <a:ext cx="525832" cy="360378"/>
        </a:xfrm>
        <a:custGeom>
          <a:avLst/>
          <a:gdLst>
            <a:gd name="connsiteX0" fmla="*/ 958844 w 1081085"/>
            <a:gd name="connsiteY0" fmla="*/ 47620 h 1307302"/>
            <a:gd name="connsiteX1" fmla="*/ 115888 w 1081085"/>
            <a:gd name="connsiteY1" fmla="*/ 47620 h 1307302"/>
            <a:gd name="connsiteX2" fmla="*/ 185578 w 1081085"/>
            <a:gd name="connsiteY2" fmla="*/ 0 h 1307302"/>
            <a:gd name="connsiteX3" fmla="*/ 889154 w 1081085"/>
            <a:gd name="connsiteY3" fmla="*/ 0 h 1307302"/>
            <a:gd name="connsiteX4" fmla="*/ 1038223 w 1081085"/>
            <a:gd name="connsiteY4" fmla="*/ 231771 h 1307302"/>
            <a:gd name="connsiteX5" fmla="*/ 47624 w 1081085"/>
            <a:gd name="connsiteY5" fmla="*/ 231771 h 1307302"/>
            <a:gd name="connsiteX6" fmla="*/ 47624 w 1081085"/>
            <a:gd name="connsiteY6" fmla="*/ 47620 h 1307302"/>
            <a:gd name="connsiteX7" fmla="*/ 115888 w 1081085"/>
            <a:gd name="connsiteY7" fmla="*/ 47620 h 1307302"/>
            <a:gd name="connsiteX8" fmla="*/ 115885 w 1081085"/>
            <a:gd name="connsiteY8" fmla="*/ 47622 h 1307302"/>
            <a:gd name="connsiteX9" fmla="*/ 958847 w 1081085"/>
            <a:gd name="connsiteY9" fmla="*/ 47622 h 1307302"/>
            <a:gd name="connsiteX10" fmla="*/ 958844 w 1081085"/>
            <a:gd name="connsiteY10" fmla="*/ 47620 h 1307302"/>
            <a:gd name="connsiteX11" fmla="*/ 1038223 w 1081085"/>
            <a:gd name="connsiteY11" fmla="*/ 47620 h 1307302"/>
            <a:gd name="connsiteX12" fmla="*/ 955673 w 1081085"/>
            <a:gd name="connsiteY12" fmla="*/ 364327 h 1307302"/>
            <a:gd name="connsiteX13" fmla="*/ 130173 w 1081085"/>
            <a:gd name="connsiteY13" fmla="*/ 364327 h 1307302"/>
            <a:gd name="connsiteX14" fmla="*/ 130173 w 1081085"/>
            <a:gd name="connsiteY14" fmla="*/ 234151 h 1307302"/>
            <a:gd name="connsiteX15" fmla="*/ 955673 w 1081085"/>
            <a:gd name="connsiteY15" fmla="*/ 234151 h 1307302"/>
            <a:gd name="connsiteX16" fmla="*/ 890724 w 1081085"/>
            <a:gd name="connsiteY16" fmla="*/ 455607 h 1307302"/>
            <a:gd name="connsiteX17" fmla="*/ 195123 w 1081085"/>
            <a:gd name="connsiteY17" fmla="*/ 455607 h 1307302"/>
            <a:gd name="connsiteX18" fmla="*/ 135730 w 1081085"/>
            <a:gd name="connsiteY18" fmla="*/ 365119 h 1307302"/>
            <a:gd name="connsiteX19" fmla="*/ 950117 w 1081085"/>
            <a:gd name="connsiteY19" fmla="*/ 365119 h 1307302"/>
            <a:gd name="connsiteX20" fmla="*/ 966785 w 1081085"/>
            <a:gd name="connsiteY20" fmla="*/ 646106 h 1307302"/>
            <a:gd name="connsiteX21" fmla="*/ 116678 w 1081085"/>
            <a:gd name="connsiteY21" fmla="*/ 646106 h 1307302"/>
            <a:gd name="connsiteX22" fmla="*/ 85722 w 1081085"/>
            <a:gd name="connsiteY22" fmla="*/ 615150 h 1307302"/>
            <a:gd name="connsiteX23" fmla="*/ 85722 w 1081085"/>
            <a:gd name="connsiteY23" fmla="*/ 491326 h 1307302"/>
            <a:gd name="connsiteX24" fmla="*/ 116678 w 1081085"/>
            <a:gd name="connsiteY24" fmla="*/ 460370 h 1307302"/>
            <a:gd name="connsiteX25" fmla="*/ 966785 w 1081085"/>
            <a:gd name="connsiteY25" fmla="*/ 460370 h 1307302"/>
            <a:gd name="connsiteX26" fmla="*/ 997741 w 1081085"/>
            <a:gd name="connsiteY26" fmla="*/ 491326 h 1307302"/>
            <a:gd name="connsiteX27" fmla="*/ 997741 w 1081085"/>
            <a:gd name="connsiteY27" fmla="*/ 615150 h 1307302"/>
            <a:gd name="connsiteX28" fmla="*/ 966785 w 1081085"/>
            <a:gd name="connsiteY28" fmla="*/ 646106 h 1307302"/>
            <a:gd name="connsiteX29" fmla="*/ 1078704 w 1081085"/>
            <a:gd name="connsiteY29" fmla="*/ 1193796 h 1307302"/>
            <a:gd name="connsiteX30" fmla="*/ 1077932 w 1081085"/>
            <a:gd name="connsiteY30" fmla="*/ 1193796 h 1307302"/>
            <a:gd name="connsiteX31" fmla="*/ 1077932 w 1081085"/>
            <a:gd name="connsiteY31" fmla="*/ 1193795 h 1307302"/>
            <a:gd name="connsiteX32" fmla="*/ 3153 w 1081085"/>
            <a:gd name="connsiteY32" fmla="*/ 1193795 h 1307302"/>
            <a:gd name="connsiteX33" fmla="*/ 3153 w 1081085"/>
            <a:gd name="connsiteY33" fmla="*/ 1193796 h 1307302"/>
            <a:gd name="connsiteX34" fmla="*/ 2378 w 1081085"/>
            <a:gd name="connsiteY34" fmla="*/ 1193796 h 1307302"/>
            <a:gd name="connsiteX35" fmla="*/ 116839 w 1081085"/>
            <a:gd name="connsiteY35" fmla="*/ 646108 h 1307302"/>
            <a:gd name="connsiteX36" fmla="*/ 964243 w 1081085"/>
            <a:gd name="connsiteY36" fmla="*/ 646108 h 1307302"/>
            <a:gd name="connsiteX37" fmla="*/ 1081085 w 1081085"/>
            <a:gd name="connsiteY37" fmla="*/ 1307302 h 1307302"/>
            <a:gd name="connsiteX38" fmla="*/ 0 w 1081085"/>
            <a:gd name="connsiteY38" fmla="*/ 1307302 h 1307302"/>
            <a:gd name="connsiteX39" fmla="*/ 3153 w 1081085"/>
            <a:gd name="connsiteY39" fmla="*/ 1193796 h 1307302"/>
            <a:gd name="connsiteX40" fmla="*/ 1077932 w 1081085"/>
            <a:gd name="connsiteY40" fmla="*/ 1193796 h 130730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1081085" h="1307302">
              <a:moveTo>
                <a:pt x="958844" y="47620"/>
              </a:moveTo>
              <a:lnTo>
                <a:pt x="115888" y="47620"/>
              </a:lnTo>
              <a:lnTo>
                <a:pt x="185578" y="0"/>
              </a:lnTo>
              <a:lnTo>
                <a:pt x="889154" y="0"/>
              </a:lnTo>
              <a:close/>
              <a:moveTo>
                <a:pt x="1038223" y="231771"/>
              </a:moveTo>
              <a:lnTo>
                <a:pt x="47624" y="231771"/>
              </a:lnTo>
              <a:lnTo>
                <a:pt x="47624" y="47620"/>
              </a:lnTo>
              <a:lnTo>
                <a:pt x="115888" y="47620"/>
              </a:lnTo>
              <a:lnTo>
                <a:pt x="115885" y="47622"/>
              </a:lnTo>
              <a:lnTo>
                <a:pt x="958847" y="47622"/>
              </a:lnTo>
              <a:lnTo>
                <a:pt x="958844" y="47620"/>
              </a:lnTo>
              <a:lnTo>
                <a:pt x="1038223" y="47620"/>
              </a:lnTo>
              <a:close/>
              <a:moveTo>
                <a:pt x="955673" y="364327"/>
              </a:moveTo>
              <a:lnTo>
                <a:pt x="130173" y="364327"/>
              </a:lnTo>
              <a:lnTo>
                <a:pt x="130173" y="234151"/>
              </a:lnTo>
              <a:lnTo>
                <a:pt x="955673" y="234151"/>
              </a:lnTo>
              <a:close/>
              <a:moveTo>
                <a:pt x="890724" y="455607"/>
              </a:moveTo>
              <a:lnTo>
                <a:pt x="195123" y="455607"/>
              </a:lnTo>
              <a:lnTo>
                <a:pt x="135730" y="365119"/>
              </a:lnTo>
              <a:lnTo>
                <a:pt x="950117" y="365119"/>
              </a:lnTo>
              <a:close/>
              <a:moveTo>
                <a:pt x="966785" y="646106"/>
              </a:moveTo>
              <a:lnTo>
                <a:pt x="116678" y="646106"/>
              </a:lnTo>
              <a:cubicBezTo>
                <a:pt x="99581" y="646106"/>
                <a:pt x="85722" y="632247"/>
                <a:pt x="85722" y="615150"/>
              </a:cubicBezTo>
              <a:lnTo>
                <a:pt x="85722" y="491326"/>
              </a:lnTo>
              <a:cubicBezTo>
                <a:pt x="85722" y="474229"/>
                <a:pt x="99581" y="460370"/>
                <a:pt x="116678" y="460370"/>
              </a:cubicBezTo>
              <a:lnTo>
                <a:pt x="966785" y="460370"/>
              </a:lnTo>
              <a:cubicBezTo>
                <a:pt x="983882" y="460370"/>
                <a:pt x="997741" y="474229"/>
                <a:pt x="997741" y="491326"/>
              </a:cubicBezTo>
              <a:lnTo>
                <a:pt x="997741" y="615150"/>
              </a:lnTo>
              <a:cubicBezTo>
                <a:pt x="997741" y="632247"/>
                <a:pt x="983882" y="646106"/>
                <a:pt x="966785" y="646106"/>
              </a:cubicBezTo>
              <a:close/>
              <a:moveTo>
                <a:pt x="1078704" y="1193796"/>
              </a:moveTo>
              <a:lnTo>
                <a:pt x="1077932" y="1193796"/>
              </a:lnTo>
              <a:lnTo>
                <a:pt x="1077932" y="1193795"/>
              </a:lnTo>
              <a:lnTo>
                <a:pt x="3153" y="1193795"/>
              </a:lnTo>
              <a:lnTo>
                <a:pt x="3153" y="1193796"/>
              </a:lnTo>
              <a:lnTo>
                <a:pt x="2378" y="1193796"/>
              </a:lnTo>
              <a:lnTo>
                <a:pt x="116839" y="646108"/>
              </a:lnTo>
              <a:lnTo>
                <a:pt x="964243" y="646108"/>
              </a:lnTo>
              <a:close/>
              <a:moveTo>
                <a:pt x="1081085" y="1307302"/>
              </a:moveTo>
              <a:lnTo>
                <a:pt x="0" y="1307302"/>
              </a:lnTo>
              <a:lnTo>
                <a:pt x="3153" y="1193796"/>
              </a:lnTo>
              <a:lnTo>
                <a:pt x="1077932" y="1193796"/>
              </a:lnTo>
              <a:close/>
            </a:path>
          </a:pathLst>
        </a:custGeom>
        <a:solidFill>
          <a:schemeClr val="bg1">
            <a:lumMod val="95000"/>
            <a:alpha val="90000"/>
          </a:schemeClr>
        </a:solidFill>
        <a:ln w="9525"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33</xdr:col>
      <xdr:colOff>332762</xdr:colOff>
      <xdr:row>25</xdr:row>
      <xdr:rowOff>94564</xdr:rowOff>
    </xdr:from>
    <xdr:to>
      <xdr:col>38</xdr:col>
      <xdr:colOff>174423</xdr:colOff>
      <xdr:row>25</xdr:row>
      <xdr:rowOff>94564</xdr:rowOff>
    </xdr:to>
    <xdr:cxnSp macro="">
      <xdr:nvCxnSpPr>
        <xdr:cNvPr id="23" name="Straight Connector 22"/>
        <xdr:cNvCxnSpPr/>
      </xdr:nvCxnSpPr>
      <xdr:spPr>
        <a:xfrm>
          <a:off x="9041333" y="4095064"/>
          <a:ext cx="2086840" cy="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299726</xdr:colOff>
      <xdr:row>24</xdr:row>
      <xdr:rowOff>32845</xdr:rowOff>
    </xdr:from>
    <xdr:to>
      <xdr:col>39</xdr:col>
      <xdr:colOff>440120</xdr:colOff>
      <xdr:row>25</xdr:row>
      <xdr:rowOff>62817</xdr:rowOff>
    </xdr:to>
    <xdr:cxnSp macro="">
      <xdr:nvCxnSpPr>
        <xdr:cNvPr id="24" name="Straight Arrow Connector 23"/>
        <xdr:cNvCxnSpPr/>
      </xdr:nvCxnSpPr>
      <xdr:spPr>
        <a:xfrm flipH="1">
          <a:off x="18495760" y="4604845"/>
          <a:ext cx="1033774" cy="220472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354739</xdr:colOff>
      <xdr:row>13</xdr:row>
      <xdr:rowOff>181141</xdr:rowOff>
    </xdr:from>
    <xdr:to>
      <xdr:col>40</xdr:col>
      <xdr:colOff>354739</xdr:colOff>
      <xdr:row>19</xdr:row>
      <xdr:rowOff>135421</xdr:rowOff>
    </xdr:to>
    <xdr:cxnSp macro="">
      <xdr:nvCxnSpPr>
        <xdr:cNvPr id="25" name="Straight Connector 24"/>
        <xdr:cNvCxnSpPr/>
      </xdr:nvCxnSpPr>
      <xdr:spPr>
        <a:xfrm>
          <a:off x="12206560" y="1895641"/>
          <a:ext cx="0" cy="109728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143233</xdr:colOff>
      <xdr:row>14</xdr:row>
      <xdr:rowOff>36997</xdr:rowOff>
    </xdr:from>
    <xdr:to>
      <xdr:col>41</xdr:col>
      <xdr:colOff>126067</xdr:colOff>
      <xdr:row>19</xdr:row>
      <xdr:rowOff>91664</xdr:rowOff>
    </xdr:to>
    <xdr:sp macro="" textlink="">
      <xdr:nvSpPr>
        <xdr:cNvPr id="26" name="Freeform 25"/>
        <xdr:cNvSpPr/>
      </xdr:nvSpPr>
      <xdr:spPr>
        <a:xfrm rot="10800000">
          <a:off x="11995054" y="1941997"/>
          <a:ext cx="431870" cy="1007167"/>
        </a:xfrm>
        <a:custGeom>
          <a:avLst/>
          <a:gdLst>
            <a:gd name="connsiteX0" fmla="*/ 824707 w 1064419"/>
            <a:gd name="connsiteY0" fmla="*/ 60324 h 2236790"/>
            <a:gd name="connsiteX1" fmla="*/ 234949 w 1064419"/>
            <a:gd name="connsiteY1" fmla="*/ 60324 h 2236790"/>
            <a:gd name="connsiteX2" fmla="*/ 287552 w 1064419"/>
            <a:gd name="connsiteY2" fmla="*/ 0 h 2236790"/>
            <a:gd name="connsiteX3" fmla="*/ 772104 w 1064419"/>
            <a:gd name="connsiteY3" fmla="*/ 0 h 2236790"/>
            <a:gd name="connsiteX4" fmla="*/ 874710 w 1064419"/>
            <a:gd name="connsiteY4" fmla="*/ 948531 h 2236790"/>
            <a:gd name="connsiteX5" fmla="*/ 188913 w 1064419"/>
            <a:gd name="connsiteY5" fmla="*/ 948531 h 2236790"/>
            <a:gd name="connsiteX6" fmla="*/ 236669 w 1064419"/>
            <a:gd name="connsiteY6" fmla="*/ 893766 h 2236790"/>
            <a:gd name="connsiteX7" fmla="*/ 229391 w 1064419"/>
            <a:gd name="connsiteY7" fmla="*/ 893766 h 2236790"/>
            <a:gd name="connsiteX8" fmla="*/ 229391 w 1064419"/>
            <a:gd name="connsiteY8" fmla="*/ 60325 h 2236790"/>
            <a:gd name="connsiteX9" fmla="*/ 827086 w 1064419"/>
            <a:gd name="connsiteY9" fmla="*/ 60325 h 2236790"/>
            <a:gd name="connsiteX10" fmla="*/ 827086 w 1064419"/>
            <a:gd name="connsiteY10" fmla="*/ 893766 h 2236790"/>
            <a:gd name="connsiteX11" fmla="*/ 826955 w 1064419"/>
            <a:gd name="connsiteY11" fmla="*/ 893766 h 2236790"/>
            <a:gd name="connsiteX12" fmla="*/ 877094 w 1064419"/>
            <a:gd name="connsiteY12" fmla="*/ 1996285 h 2236790"/>
            <a:gd name="connsiteX13" fmla="*/ 186530 w 1064419"/>
            <a:gd name="connsiteY13" fmla="*/ 1996285 h 2236790"/>
            <a:gd name="connsiteX14" fmla="*/ 186530 w 1064419"/>
            <a:gd name="connsiteY14" fmla="*/ 948532 h 2236790"/>
            <a:gd name="connsiteX15" fmla="*/ 877094 w 1064419"/>
            <a:gd name="connsiteY15" fmla="*/ 948532 h 2236790"/>
            <a:gd name="connsiteX16" fmla="*/ 1059654 w 1064419"/>
            <a:gd name="connsiteY16" fmla="*/ 2189163 h 2236790"/>
            <a:gd name="connsiteX17" fmla="*/ 4764 w 1064419"/>
            <a:gd name="connsiteY17" fmla="*/ 2189163 h 2236790"/>
            <a:gd name="connsiteX18" fmla="*/ 187624 w 1064419"/>
            <a:gd name="connsiteY18" fmla="*/ 1996330 h 2236790"/>
            <a:gd name="connsiteX19" fmla="*/ 876794 w 1064419"/>
            <a:gd name="connsiteY19" fmla="*/ 1996330 h 2236790"/>
            <a:gd name="connsiteX20" fmla="*/ 1064419 w 1064419"/>
            <a:gd name="connsiteY20" fmla="*/ 2236790 h 2236790"/>
            <a:gd name="connsiteX21" fmla="*/ 0 w 1064419"/>
            <a:gd name="connsiteY21" fmla="*/ 2236790 h 2236790"/>
            <a:gd name="connsiteX22" fmla="*/ 0 w 1064419"/>
            <a:gd name="connsiteY22" fmla="*/ 2191071 h 2236790"/>
            <a:gd name="connsiteX23" fmla="*/ 1064419 w 1064419"/>
            <a:gd name="connsiteY23" fmla="*/ 2191071 h 22367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</a:cxnLst>
          <a:rect l="l" t="t" r="r" b="b"/>
          <a:pathLst>
            <a:path w="1064419" h="2236790">
              <a:moveTo>
                <a:pt x="824707" y="60324"/>
              </a:moveTo>
              <a:lnTo>
                <a:pt x="234949" y="60324"/>
              </a:lnTo>
              <a:lnTo>
                <a:pt x="287552" y="0"/>
              </a:lnTo>
              <a:lnTo>
                <a:pt x="772104" y="0"/>
              </a:lnTo>
              <a:close/>
              <a:moveTo>
                <a:pt x="874710" y="948531"/>
              </a:moveTo>
              <a:lnTo>
                <a:pt x="188913" y="948531"/>
              </a:lnTo>
              <a:lnTo>
                <a:pt x="236669" y="893766"/>
              </a:lnTo>
              <a:lnTo>
                <a:pt x="229391" y="893766"/>
              </a:lnTo>
              <a:lnTo>
                <a:pt x="229391" y="60325"/>
              </a:lnTo>
              <a:lnTo>
                <a:pt x="827086" y="60325"/>
              </a:lnTo>
              <a:lnTo>
                <a:pt x="827086" y="893766"/>
              </a:lnTo>
              <a:lnTo>
                <a:pt x="826955" y="893766"/>
              </a:lnTo>
              <a:close/>
              <a:moveTo>
                <a:pt x="877094" y="1996285"/>
              </a:moveTo>
              <a:lnTo>
                <a:pt x="186530" y="1996285"/>
              </a:lnTo>
              <a:lnTo>
                <a:pt x="186530" y="948532"/>
              </a:lnTo>
              <a:lnTo>
                <a:pt x="877094" y="948532"/>
              </a:lnTo>
              <a:close/>
              <a:moveTo>
                <a:pt x="1059654" y="2189163"/>
              </a:moveTo>
              <a:lnTo>
                <a:pt x="4764" y="2189163"/>
              </a:lnTo>
              <a:lnTo>
                <a:pt x="187624" y="1996330"/>
              </a:lnTo>
              <a:lnTo>
                <a:pt x="876794" y="1996330"/>
              </a:lnTo>
              <a:close/>
              <a:moveTo>
                <a:pt x="1064419" y="2236790"/>
              </a:moveTo>
              <a:lnTo>
                <a:pt x="0" y="2236790"/>
              </a:lnTo>
              <a:lnTo>
                <a:pt x="0" y="2191071"/>
              </a:lnTo>
              <a:lnTo>
                <a:pt x="1064419" y="2191071"/>
              </a:lnTo>
              <a:close/>
            </a:path>
          </a:pathLst>
        </a:custGeom>
        <a:solidFill>
          <a:schemeClr val="bg1">
            <a:lumMod val="95000"/>
          </a:schemeClr>
        </a:solidFill>
        <a:ln w="9525"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40</xdr:col>
      <xdr:colOff>109017</xdr:colOff>
      <xdr:row>17</xdr:row>
      <xdr:rowOff>41972</xdr:rowOff>
    </xdr:from>
    <xdr:to>
      <xdr:col>41</xdr:col>
      <xdr:colOff>162775</xdr:colOff>
      <xdr:row>19</xdr:row>
      <xdr:rowOff>9760</xdr:rowOff>
    </xdr:to>
    <xdr:sp macro="" textlink="">
      <xdr:nvSpPr>
        <xdr:cNvPr id="27" name="Freeform 26"/>
        <xdr:cNvSpPr/>
      </xdr:nvSpPr>
      <xdr:spPr>
        <a:xfrm rot="10800000">
          <a:off x="11960838" y="2518472"/>
          <a:ext cx="502794" cy="348788"/>
        </a:xfrm>
        <a:custGeom>
          <a:avLst/>
          <a:gdLst>
            <a:gd name="connsiteX0" fmla="*/ 958844 w 1081085"/>
            <a:gd name="connsiteY0" fmla="*/ 47620 h 1307302"/>
            <a:gd name="connsiteX1" fmla="*/ 115888 w 1081085"/>
            <a:gd name="connsiteY1" fmla="*/ 47620 h 1307302"/>
            <a:gd name="connsiteX2" fmla="*/ 185578 w 1081085"/>
            <a:gd name="connsiteY2" fmla="*/ 0 h 1307302"/>
            <a:gd name="connsiteX3" fmla="*/ 889154 w 1081085"/>
            <a:gd name="connsiteY3" fmla="*/ 0 h 1307302"/>
            <a:gd name="connsiteX4" fmla="*/ 1038223 w 1081085"/>
            <a:gd name="connsiteY4" fmla="*/ 231771 h 1307302"/>
            <a:gd name="connsiteX5" fmla="*/ 47624 w 1081085"/>
            <a:gd name="connsiteY5" fmla="*/ 231771 h 1307302"/>
            <a:gd name="connsiteX6" fmla="*/ 47624 w 1081085"/>
            <a:gd name="connsiteY6" fmla="*/ 47620 h 1307302"/>
            <a:gd name="connsiteX7" fmla="*/ 115888 w 1081085"/>
            <a:gd name="connsiteY7" fmla="*/ 47620 h 1307302"/>
            <a:gd name="connsiteX8" fmla="*/ 115885 w 1081085"/>
            <a:gd name="connsiteY8" fmla="*/ 47622 h 1307302"/>
            <a:gd name="connsiteX9" fmla="*/ 958847 w 1081085"/>
            <a:gd name="connsiteY9" fmla="*/ 47622 h 1307302"/>
            <a:gd name="connsiteX10" fmla="*/ 958844 w 1081085"/>
            <a:gd name="connsiteY10" fmla="*/ 47620 h 1307302"/>
            <a:gd name="connsiteX11" fmla="*/ 1038223 w 1081085"/>
            <a:gd name="connsiteY11" fmla="*/ 47620 h 1307302"/>
            <a:gd name="connsiteX12" fmla="*/ 955673 w 1081085"/>
            <a:gd name="connsiteY12" fmla="*/ 364327 h 1307302"/>
            <a:gd name="connsiteX13" fmla="*/ 130173 w 1081085"/>
            <a:gd name="connsiteY13" fmla="*/ 364327 h 1307302"/>
            <a:gd name="connsiteX14" fmla="*/ 130173 w 1081085"/>
            <a:gd name="connsiteY14" fmla="*/ 234151 h 1307302"/>
            <a:gd name="connsiteX15" fmla="*/ 955673 w 1081085"/>
            <a:gd name="connsiteY15" fmla="*/ 234151 h 1307302"/>
            <a:gd name="connsiteX16" fmla="*/ 890724 w 1081085"/>
            <a:gd name="connsiteY16" fmla="*/ 455607 h 1307302"/>
            <a:gd name="connsiteX17" fmla="*/ 195123 w 1081085"/>
            <a:gd name="connsiteY17" fmla="*/ 455607 h 1307302"/>
            <a:gd name="connsiteX18" fmla="*/ 135730 w 1081085"/>
            <a:gd name="connsiteY18" fmla="*/ 365119 h 1307302"/>
            <a:gd name="connsiteX19" fmla="*/ 950117 w 1081085"/>
            <a:gd name="connsiteY19" fmla="*/ 365119 h 1307302"/>
            <a:gd name="connsiteX20" fmla="*/ 966785 w 1081085"/>
            <a:gd name="connsiteY20" fmla="*/ 646106 h 1307302"/>
            <a:gd name="connsiteX21" fmla="*/ 116678 w 1081085"/>
            <a:gd name="connsiteY21" fmla="*/ 646106 h 1307302"/>
            <a:gd name="connsiteX22" fmla="*/ 85722 w 1081085"/>
            <a:gd name="connsiteY22" fmla="*/ 615150 h 1307302"/>
            <a:gd name="connsiteX23" fmla="*/ 85722 w 1081085"/>
            <a:gd name="connsiteY23" fmla="*/ 491326 h 1307302"/>
            <a:gd name="connsiteX24" fmla="*/ 116678 w 1081085"/>
            <a:gd name="connsiteY24" fmla="*/ 460370 h 1307302"/>
            <a:gd name="connsiteX25" fmla="*/ 966785 w 1081085"/>
            <a:gd name="connsiteY25" fmla="*/ 460370 h 1307302"/>
            <a:gd name="connsiteX26" fmla="*/ 997741 w 1081085"/>
            <a:gd name="connsiteY26" fmla="*/ 491326 h 1307302"/>
            <a:gd name="connsiteX27" fmla="*/ 997741 w 1081085"/>
            <a:gd name="connsiteY27" fmla="*/ 615150 h 1307302"/>
            <a:gd name="connsiteX28" fmla="*/ 966785 w 1081085"/>
            <a:gd name="connsiteY28" fmla="*/ 646106 h 1307302"/>
            <a:gd name="connsiteX29" fmla="*/ 1078704 w 1081085"/>
            <a:gd name="connsiteY29" fmla="*/ 1193796 h 1307302"/>
            <a:gd name="connsiteX30" fmla="*/ 1077932 w 1081085"/>
            <a:gd name="connsiteY30" fmla="*/ 1193796 h 1307302"/>
            <a:gd name="connsiteX31" fmla="*/ 1077932 w 1081085"/>
            <a:gd name="connsiteY31" fmla="*/ 1193795 h 1307302"/>
            <a:gd name="connsiteX32" fmla="*/ 3153 w 1081085"/>
            <a:gd name="connsiteY32" fmla="*/ 1193795 h 1307302"/>
            <a:gd name="connsiteX33" fmla="*/ 3153 w 1081085"/>
            <a:gd name="connsiteY33" fmla="*/ 1193796 h 1307302"/>
            <a:gd name="connsiteX34" fmla="*/ 2378 w 1081085"/>
            <a:gd name="connsiteY34" fmla="*/ 1193796 h 1307302"/>
            <a:gd name="connsiteX35" fmla="*/ 116839 w 1081085"/>
            <a:gd name="connsiteY35" fmla="*/ 646108 h 1307302"/>
            <a:gd name="connsiteX36" fmla="*/ 964243 w 1081085"/>
            <a:gd name="connsiteY36" fmla="*/ 646108 h 1307302"/>
            <a:gd name="connsiteX37" fmla="*/ 1081085 w 1081085"/>
            <a:gd name="connsiteY37" fmla="*/ 1307302 h 1307302"/>
            <a:gd name="connsiteX38" fmla="*/ 0 w 1081085"/>
            <a:gd name="connsiteY38" fmla="*/ 1307302 h 1307302"/>
            <a:gd name="connsiteX39" fmla="*/ 3153 w 1081085"/>
            <a:gd name="connsiteY39" fmla="*/ 1193796 h 1307302"/>
            <a:gd name="connsiteX40" fmla="*/ 1077932 w 1081085"/>
            <a:gd name="connsiteY40" fmla="*/ 1193796 h 130730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1081085" h="1307302">
              <a:moveTo>
                <a:pt x="958844" y="47620"/>
              </a:moveTo>
              <a:lnTo>
                <a:pt x="115888" y="47620"/>
              </a:lnTo>
              <a:lnTo>
                <a:pt x="185578" y="0"/>
              </a:lnTo>
              <a:lnTo>
                <a:pt x="889154" y="0"/>
              </a:lnTo>
              <a:close/>
              <a:moveTo>
                <a:pt x="1038223" y="231771"/>
              </a:moveTo>
              <a:lnTo>
                <a:pt x="47624" y="231771"/>
              </a:lnTo>
              <a:lnTo>
                <a:pt x="47624" y="47620"/>
              </a:lnTo>
              <a:lnTo>
                <a:pt x="115888" y="47620"/>
              </a:lnTo>
              <a:lnTo>
                <a:pt x="115885" y="47622"/>
              </a:lnTo>
              <a:lnTo>
                <a:pt x="958847" y="47622"/>
              </a:lnTo>
              <a:lnTo>
                <a:pt x="958844" y="47620"/>
              </a:lnTo>
              <a:lnTo>
                <a:pt x="1038223" y="47620"/>
              </a:lnTo>
              <a:close/>
              <a:moveTo>
                <a:pt x="955673" y="364327"/>
              </a:moveTo>
              <a:lnTo>
                <a:pt x="130173" y="364327"/>
              </a:lnTo>
              <a:lnTo>
                <a:pt x="130173" y="234151"/>
              </a:lnTo>
              <a:lnTo>
                <a:pt x="955673" y="234151"/>
              </a:lnTo>
              <a:close/>
              <a:moveTo>
                <a:pt x="890724" y="455607"/>
              </a:moveTo>
              <a:lnTo>
                <a:pt x="195123" y="455607"/>
              </a:lnTo>
              <a:lnTo>
                <a:pt x="135730" y="365119"/>
              </a:lnTo>
              <a:lnTo>
                <a:pt x="950117" y="365119"/>
              </a:lnTo>
              <a:close/>
              <a:moveTo>
                <a:pt x="966785" y="646106"/>
              </a:moveTo>
              <a:lnTo>
                <a:pt x="116678" y="646106"/>
              </a:lnTo>
              <a:cubicBezTo>
                <a:pt x="99581" y="646106"/>
                <a:pt x="85722" y="632247"/>
                <a:pt x="85722" y="615150"/>
              </a:cubicBezTo>
              <a:lnTo>
                <a:pt x="85722" y="491326"/>
              </a:lnTo>
              <a:cubicBezTo>
                <a:pt x="85722" y="474229"/>
                <a:pt x="99581" y="460370"/>
                <a:pt x="116678" y="460370"/>
              </a:cubicBezTo>
              <a:lnTo>
                <a:pt x="966785" y="460370"/>
              </a:lnTo>
              <a:cubicBezTo>
                <a:pt x="983882" y="460370"/>
                <a:pt x="997741" y="474229"/>
                <a:pt x="997741" y="491326"/>
              </a:cubicBezTo>
              <a:lnTo>
                <a:pt x="997741" y="615150"/>
              </a:lnTo>
              <a:cubicBezTo>
                <a:pt x="997741" y="632247"/>
                <a:pt x="983882" y="646106"/>
                <a:pt x="966785" y="646106"/>
              </a:cubicBezTo>
              <a:close/>
              <a:moveTo>
                <a:pt x="1078704" y="1193796"/>
              </a:moveTo>
              <a:lnTo>
                <a:pt x="1077932" y="1193796"/>
              </a:lnTo>
              <a:lnTo>
                <a:pt x="1077932" y="1193795"/>
              </a:lnTo>
              <a:lnTo>
                <a:pt x="3153" y="1193795"/>
              </a:lnTo>
              <a:lnTo>
                <a:pt x="3153" y="1193796"/>
              </a:lnTo>
              <a:lnTo>
                <a:pt x="2378" y="1193796"/>
              </a:lnTo>
              <a:lnTo>
                <a:pt x="116839" y="646108"/>
              </a:lnTo>
              <a:lnTo>
                <a:pt x="964243" y="646108"/>
              </a:lnTo>
              <a:close/>
              <a:moveTo>
                <a:pt x="1081085" y="1307302"/>
              </a:moveTo>
              <a:lnTo>
                <a:pt x="0" y="1307302"/>
              </a:lnTo>
              <a:lnTo>
                <a:pt x="3153" y="1193796"/>
              </a:lnTo>
              <a:lnTo>
                <a:pt x="1077932" y="1193796"/>
              </a:lnTo>
              <a:close/>
            </a:path>
          </a:pathLst>
        </a:custGeom>
        <a:solidFill>
          <a:schemeClr val="bg1">
            <a:lumMod val="95000"/>
            <a:alpha val="90000"/>
          </a:schemeClr>
        </a:solidFill>
        <a:ln w="9525"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40</xdr:col>
      <xdr:colOff>366333</xdr:colOff>
      <xdr:row>13</xdr:row>
      <xdr:rowOff>176171</xdr:rowOff>
    </xdr:from>
    <xdr:to>
      <xdr:col>40</xdr:col>
      <xdr:colOff>366333</xdr:colOff>
      <xdr:row>19</xdr:row>
      <xdr:rowOff>130451</xdr:rowOff>
    </xdr:to>
    <xdr:cxnSp macro="">
      <xdr:nvCxnSpPr>
        <xdr:cNvPr id="28" name="Straight Connector 27"/>
        <xdr:cNvCxnSpPr/>
      </xdr:nvCxnSpPr>
      <xdr:spPr>
        <a:xfrm>
          <a:off x="12218154" y="1890671"/>
          <a:ext cx="0" cy="109728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390995</xdr:colOff>
      <xdr:row>32</xdr:row>
      <xdr:rowOff>36237</xdr:rowOff>
    </xdr:from>
    <xdr:to>
      <xdr:col>37</xdr:col>
      <xdr:colOff>94302</xdr:colOff>
      <xdr:row>34</xdr:row>
      <xdr:rowOff>169051</xdr:rowOff>
    </xdr:to>
    <xdr:sp macro="" textlink="">
      <xdr:nvSpPr>
        <xdr:cNvPr id="29" name="Freeform 28"/>
        <xdr:cNvSpPr/>
      </xdr:nvSpPr>
      <xdr:spPr>
        <a:xfrm rot="5400000">
          <a:off x="9816902" y="5101937"/>
          <a:ext cx="513814" cy="1050414"/>
        </a:xfrm>
        <a:custGeom>
          <a:avLst/>
          <a:gdLst>
            <a:gd name="connsiteX0" fmla="*/ 742953 w 926941"/>
            <a:gd name="connsiteY0" fmla="*/ 92869 h 2319337"/>
            <a:gd name="connsiteX1" fmla="*/ 173831 w 926941"/>
            <a:gd name="connsiteY1" fmla="*/ 92869 h 2319337"/>
            <a:gd name="connsiteX2" fmla="*/ 266009 w 926941"/>
            <a:gd name="connsiteY2" fmla="*/ 0 h 2319337"/>
            <a:gd name="connsiteX3" fmla="*/ 650775 w 926941"/>
            <a:gd name="connsiteY3" fmla="*/ 0 h 2319337"/>
            <a:gd name="connsiteX4" fmla="*/ 747712 w 926941"/>
            <a:gd name="connsiteY4" fmla="*/ 772320 h 2319337"/>
            <a:gd name="connsiteX5" fmla="*/ 746659 w 926941"/>
            <a:gd name="connsiteY5" fmla="*/ 772320 h 2319337"/>
            <a:gd name="connsiteX6" fmla="*/ 746219 w 926941"/>
            <a:gd name="connsiteY6" fmla="*/ 771369 h 2319337"/>
            <a:gd name="connsiteX7" fmla="*/ 171449 w 926941"/>
            <a:gd name="connsiteY7" fmla="*/ 771369 h 2319337"/>
            <a:gd name="connsiteX8" fmla="*/ 171449 w 926941"/>
            <a:gd name="connsiteY8" fmla="*/ 92871 h 2319337"/>
            <a:gd name="connsiteX9" fmla="*/ 747712 w 926941"/>
            <a:gd name="connsiteY9" fmla="*/ 92871 h 2319337"/>
            <a:gd name="connsiteX10" fmla="*/ 767394 w 926941"/>
            <a:gd name="connsiteY10" fmla="*/ 817088 h 2319337"/>
            <a:gd name="connsiteX11" fmla="*/ 149224 w 926941"/>
            <a:gd name="connsiteY11" fmla="*/ 817088 h 2319337"/>
            <a:gd name="connsiteX12" fmla="*/ 170399 w 926941"/>
            <a:gd name="connsiteY12" fmla="*/ 771369 h 2319337"/>
            <a:gd name="connsiteX13" fmla="*/ 171449 w 926941"/>
            <a:gd name="connsiteY13" fmla="*/ 771369 h 2319337"/>
            <a:gd name="connsiteX14" fmla="*/ 171449 w 926941"/>
            <a:gd name="connsiteY14" fmla="*/ 772320 h 2319337"/>
            <a:gd name="connsiteX15" fmla="*/ 746659 w 926941"/>
            <a:gd name="connsiteY15" fmla="*/ 772320 h 2319337"/>
            <a:gd name="connsiteX16" fmla="*/ 831377 w 926941"/>
            <a:gd name="connsiteY16" fmla="*/ 2095502 h 2319337"/>
            <a:gd name="connsiteX17" fmla="*/ 69653 w 926941"/>
            <a:gd name="connsiteY17" fmla="*/ 2095502 h 2319337"/>
            <a:gd name="connsiteX18" fmla="*/ 99944 w 926941"/>
            <a:gd name="connsiteY18" fmla="*/ 2089232 h 2319337"/>
            <a:gd name="connsiteX19" fmla="*/ 149155 w 926941"/>
            <a:gd name="connsiteY19" fmla="*/ 2013108 h 2319337"/>
            <a:gd name="connsiteX20" fmla="*/ 150812 w 926941"/>
            <a:gd name="connsiteY20" fmla="*/ 2013108 h 2319337"/>
            <a:gd name="connsiteX21" fmla="*/ 150812 w 926941"/>
            <a:gd name="connsiteY21" fmla="*/ 821530 h 2319337"/>
            <a:gd name="connsiteX22" fmla="*/ 768192 w 926941"/>
            <a:gd name="connsiteY22" fmla="*/ 821530 h 2319337"/>
            <a:gd name="connsiteX23" fmla="*/ 768192 w 926941"/>
            <a:gd name="connsiteY23" fmla="*/ 2042013 h 2319337"/>
            <a:gd name="connsiteX24" fmla="*/ 768304 w 926941"/>
            <a:gd name="connsiteY24" fmla="*/ 2042679 h 2319337"/>
            <a:gd name="connsiteX25" fmla="*/ 831377 w 926941"/>
            <a:gd name="connsiteY25" fmla="*/ 2092819 h 2319337"/>
            <a:gd name="connsiteX26" fmla="*/ 926941 w 926941"/>
            <a:gd name="connsiteY26" fmla="*/ 2195041 h 2319337"/>
            <a:gd name="connsiteX27" fmla="*/ 0 w 926941"/>
            <a:gd name="connsiteY27" fmla="*/ 2195041 h 2319337"/>
            <a:gd name="connsiteX28" fmla="*/ 0 w 926941"/>
            <a:gd name="connsiteY28" fmla="*/ 2095502 h 2319337"/>
            <a:gd name="connsiteX29" fmla="*/ 69653 w 926941"/>
            <a:gd name="connsiteY29" fmla="*/ 2095502 h 2319337"/>
            <a:gd name="connsiteX30" fmla="*/ 68581 w 926941"/>
            <a:gd name="connsiteY30" fmla="*/ 2095724 h 2319337"/>
            <a:gd name="connsiteX31" fmla="*/ 68581 w 926941"/>
            <a:gd name="connsiteY31" fmla="*/ 2096452 h 2319337"/>
            <a:gd name="connsiteX32" fmla="*/ 150812 w 926941"/>
            <a:gd name="connsiteY32" fmla="*/ 2096452 h 2319337"/>
            <a:gd name="connsiteX33" fmla="*/ 150812 w 926941"/>
            <a:gd name="connsiteY33" fmla="*/ 2096616 h 2319337"/>
            <a:gd name="connsiteX34" fmla="*/ 768192 w 926941"/>
            <a:gd name="connsiteY34" fmla="*/ 2096616 h 2319337"/>
            <a:gd name="connsiteX35" fmla="*/ 768192 w 926941"/>
            <a:gd name="connsiteY35" fmla="*/ 2096451 h 2319337"/>
            <a:gd name="connsiteX36" fmla="*/ 831377 w 926941"/>
            <a:gd name="connsiteY36" fmla="*/ 2096451 h 2319337"/>
            <a:gd name="connsiteX37" fmla="*/ 831377 w 926941"/>
            <a:gd name="connsiteY37" fmla="*/ 2095502 h 2319337"/>
            <a:gd name="connsiteX38" fmla="*/ 926941 w 926941"/>
            <a:gd name="connsiteY38" fmla="*/ 2095502 h 2319337"/>
            <a:gd name="connsiteX39" fmla="*/ 796023 w 926941"/>
            <a:gd name="connsiteY39" fmla="*/ 2319337 h 2319337"/>
            <a:gd name="connsiteX40" fmla="*/ 129326 w 926941"/>
            <a:gd name="connsiteY40" fmla="*/ 2319337 h 2319337"/>
            <a:gd name="connsiteX41" fmla="*/ 4761 w 926941"/>
            <a:gd name="connsiteY41" fmla="*/ 2195512 h 2319337"/>
            <a:gd name="connsiteX42" fmla="*/ 920588 w 926941"/>
            <a:gd name="connsiteY42" fmla="*/ 2195512 h 231933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</a:cxnLst>
          <a:rect l="l" t="t" r="r" b="b"/>
          <a:pathLst>
            <a:path w="926941" h="2319337">
              <a:moveTo>
                <a:pt x="742953" y="92869"/>
              </a:moveTo>
              <a:lnTo>
                <a:pt x="173831" y="92869"/>
              </a:lnTo>
              <a:lnTo>
                <a:pt x="266009" y="0"/>
              </a:lnTo>
              <a:lnTo>
                <a:pt x="650775" y="0"/>
              </a:lnTo>
              <a:close/>
              <a:moveTo>
                <a:pt x="747712" y="772320"/>
              </a:moveTo>
              <a:lnTo>
                <a:pt x="746659" y="772320"/>
              </a:lnTo>
              <a:lnTo>
                <a:pt x="746219" y="771369"/>
              </a:lnTo>
              <a:lnTo>
                <a:pt x="171449" y="771369"/>
              </a:lnTo>
              <a:lnTo>
                <a:pt x="171449" y="92871"/>
              </a:lnTo>
              <a:lnTo>
                <a:pt x="747712" y="92871"/>
              </a:lnTo>
              <a:close/>
              <a:moveTo>
                <a:pt x="767394" y="817088"/>
              </a:moveTo>
              <a:lnTo>
                <a:pt x="149224" y="817088"/>
              </a:lnTo>
              <a:lnTo>
                <a:pt x="170399" y="771369"/>
              </a:lnTo>
              <a:lnTo>
                <a:pt x="171449" y="771369"/>
              </a:lnTo>
              <a:lnTo>
                <a:pt x="171449" y="772320"/>
              </a:lnTo>
              <a:lnTo>
                <a:pt x="746659" y="772320"/>
              </a:lnTo>
              <a:close/>
              <a:moveTo>
                <a:pt x="831377" y="2095502"/>
              </a:moveTo>
              <a:lnTo>
                <a:pt x="69653" y="2095502"/>
              </a:lnTo>
              <a:lnTo>
                <a:pt x="99944" y="2089232"/>
              </a:lnTo>
              <a:cubicBezTo>
                <a:pt x="128863" y="2076690"/>
                <a:pt x="149155" y="2047328"/>
                <a:pt x="149155" y="2013108"/>
              </a:cubicBezTo>
              <a:lnTo>
                <a:pt x="150812" y="2013108"/>
              </a:lnTo>
              <a:lnTo>
                <a:pt x="150812" y="821530"/>
              </a:lnTo>
              <a:lnTo>
                <a:pt x="768192" y="821530"/>
              </a:lnTo>
              <a:lnTo>
                <a:pt x="768192" y="2042013"/>
              </a:lnTo>
              <a:lnTo>
                <a:pt x="768304" y="2042679"/>
              </a:lnTo>
              <a:cubicBezTo>
                <a:pt x="778695" y="2072144"/>
                <a:pt x="803023" y="2092819"/>
                <a:pt x="831377" y="2092819"/>
              </a:cubicBezTo>
              <a:close/>
              <a:moveTo>
                <a:pt x="926941" y="2195041"/>
              </a:moveTo>
              <a:lnTo>
                <a:pt x="0" y="2195041"/>
              </a:lnTo>
              <a:lnTo>
                <a:pt x="0" y="2095502"/>
              </a:lnTo>
              <a:lnTo>
                <a:pt x="69653" y="2095502"/>
              </a:lnTo>
              <a:lnTo>
                <a:pt x="68581" y="2095724"/>
              </a:lnTo>
              <a:lnTo>
                <a:pt x="68581" y="2096452"/>
              </a:lnTo>
              <a:lnTo>
                <a:pt x="150812" y="2096452"/>
              </a:lnTo>
              <a:lnTo>
                <a:pt x="150812" y="2096616"/>
              </a:lnTo>
              <a:lnTo>
                <a:pt x="768192" y="2096616"/>
              </a:lnTo>
              <a:lnTo>
                <a:pt x="768192" y="2096451"/>
              </a:lnTo>
              <a:lnTo>
                <a:pt x="831377" y="2096451"/>
              </a:lnTo>
              <a:lnTo>
                <a:pt x="831377" y="2095502"/>
              </a:lnTo>
              <a:lnTo>
                <a:pt x="926941" y="2095502"/>
              </a:lnTo>
              <a:close/>
              <a:moveTo>
                <a:pt x="796023" y="2319337"/>
              </a:moveTo>
              <a:lnTo>
                <a:pt x="129326" y="2319337"/>
              </a:lnTo>
              <a:lnTo>
                <a:pt x="4761" y="2195512"/>
              </a:lnTo>
              <a:lnTo>
                <a:pt x="920588" y="2195512"/>
              </a:lnTo>
              <a:close/>
            </a:path>
          </a:pathLst>
        </a:custGeom>
        <a:solidFill>
          <a:schemeClr val="bg1">
            <a:lumMod val="95000"/>
          </a:schemeClr>
        </a:solidFill>
        <a:ln w="9525"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36</xdr:col>
      <xdr:colOff>142789</xdr:colOff>
      <xdr:row>32</xdr:row>
      <xdr:rowOff>39825</xdr:rowOff>
    </xdr:from>
    <xdr:to>
      <xdr:col>37</xdr:col>
      <xdr:colOff>10444</xdr:colOff>
      <xdr:row>34</xdr:row>
      <xdr:rowOff>167640</xdr:rowOff>
    </xdr:to>
    <xdr:sp macro="" textlink="">
      <xdr:nvSpPr>
        <xdr:cNvPr id="30" name="Freeform 29"/>
        <xdr:cNvSpPr/>
      </xdr:nvSpPr>
      <xdr:spPr>
        <a:xfrm rot="5400000">
          <a:off x="10102405" y="5469888"/>
          <a:ext cx="508815" cy="316690"/>
        </a:xfrm>
        <a:custGeom>
          <a:avLst/>
          <a:gdLst>
            <a:gd name="connsiteX0" fmla="*/ 958844 w 1081085"/>
            <a:gd name="connsiteY0" fmla="*/ 47620 h 1307302"/>
            <a:gd name="connsiteX1" fmla="*/ 115888 w 1081085"/>
            <a:gd name="connsiteY1" fmla="*/ 47620 h 1307302"/>
            <a:gd name="connsiteX2" fmla="*/ 185578 w 1081085"/>
            <a:gd name="connsiteY2" fmla="*/ 0 h 1307302"/>
            <a:gd name="connsiteX3" fmla="*/ 889154 w 1081085"/>
            <a:gd name="connsiteY3" fmla="*/ 0 h 1307302"/>
            <a:gd name="connsiteX4" fmla="*/ 1038223 w 1081085"/>
            <a:gd name="connsiteY4" fmla="*/ 231771 h 1307302"/>
            <a:gd name="connsiteX5" fmla="*/ 47624 w 1081085"/>
            <a:gd name="connsiteY5" fmla="*/ 231771 h 1307302"/>
            <a:gd name="connsiteX6" fmla="*/ 47624 w 1081085"/>
            <a:gd name="connsiteY6" fmla="*/ 47620 h 1307302"/>
            <a:gd name="connsiteX7" fmla="*/ 115888 w 1081085"/>
            <a:gd name="connsiteY7" fmla="*/ 47620 h 1307302"/>
            <a:gd name="connsiteX8" fmla="*/ 115885 w 1081085"/>
            <a:gd name="connsiteY8" fmla="*/ 47622 h 1307302"/>
            <a:gd name="connsiteX9" fmla="*/ 958847 w 1081085"/>
            <a:gd name="connsiteY9" fmla="*/ 47622 h 1307302"/>
            <a:gd name="connsiteX10" fmla="*/ 958844 w 1081085"/>
            <a:gd name="connsiteY10" fmla="*/ 47620 h 1307302"/>
            <a:gd name="connsiteX11" fmla="*/ 1038223 w 1081085"/>
            <a:gd name="connsiteY11" fmla="*/ 47620 h 1307302"/>
            <a:gd name="connsiteX12" fmla="*/ 955673 w 1081085"/>
            <a:gd name="connsiteY12" fmla="*/ 364327 h 1307302"/>
            <a:gd name="connsiteX13" fmla="*/ 130173 w 1081085"/>
            <a:gd name="connsiteY13" fmla="*/ 364327 h 1307302"/>
            <a:gd name="connsiteX14" fmla="*/ 130173 w 1081085"/>
            <a:gd name="connsiteY14" fmla="*/ 234151 h 1307302"/>
            <a:gd name="connsiteX15" fmla="*/ 955673 w 1081085"/>
            <a:gd name="connsiteY15" fmla="*/ 234151 h 1307302"/>
            <a:gd name="connsiteX16" fmla="*/ 890724 w 1081085"/>
            <a:gd name="connsiteY16" fmla="*/ 455607 h 1307302"/>
            <a:gd name="connsiteX17" fmla="*/ 195123 w 1081085"/>
            <a:gd name="connsiteY17" fmla="*/ 455607 h 1307302"/>
            <a:gd name="connsiteX18" fmla="*/ 135730 w 1081085"/>
            <a:gd name="connsiteY18" fmla="*/ 365119 h 1307302"/>
            <a:gd name="connsiteX19" fmla="*/ 950117 w 1081085"/>
            <a:gd name="connsiteY19" fmla="*/ 365119 h 1307302"/>
            <a:gd name="connsiteX20" fmla="*/ 966785 w 1081085"/>
            <a:gd name="connsiteY20" fmla="*/ 646106 h 1307302"/>
            <a:gd name="connsiteX21" fmla="*/ 116678 w 1081085"/>
            <a:gd name="connsiteY21" fmla="*/ 646106 h 1307302"/>
            <a:gd name="connsiteX22" fmla="*/ 85722 w 1081085"/>
            <a:gd name="connsiteY22" fmla="*/ 615150 h 1307302"/>
            <a:gd name="connsiteX23" fmla="*/ 85722 w 1081085"/>
            <a:gd name="connsiteY23" fmla="*/ 491326 h 1307302"/>
            <a:gd name="connsiteX24" fmla="*/ 116678 w 1081085"/>
            <a:gd name="connsiteY24" fmla="*/ 460370 h 1307302"/>
            <a:gd name="connsiteX25" fmla="*/ 966785 w 1081085"/>
            <a:gd name="connsiteY25" fmla="*/ 460370 h 1307302"/>
            <a:gd name="connsiteX26" fmla="*/ 997741 w 1081085"/>
            <a:gd name="connsiteY26" fmla="*/ 491326 h 1307302"/>
            <a:gd name="connsiteX27" fmla="*/ 997741 w 1081085"/>
            <a:gd name="connsiteY27" fmla="*/ 615150 h 1307302"/>
            <a:gd name="connsiteX28" fmla="*/ 966785 w 1081085"/>
            <a:gd name="connsiteY28" fmla="*/ 646106 h 1307302"/>
            <a:gd name="connsiteX29" fmla="*/ 1078704 w 1081085"/>
            <a:gd name="connsiteY29" fmla="*/ 1193796 h 1307302"/>
            <a:gd name="connsiteX30" fmla="*/ 1077932 w 1081085"/>
            <a:gd name="connsiteY30" fmla="*/ 1193796 h 1307302"/>
            <a:gd name="connsiteX31" fmla="*/ 1077932 w 1081085"/>
            <a:gd name="connsiteY31" fmla="*/ 1193795 h 1307302"/>
            <a:gd name="connsiteX32" fmla="*/ 3153 w 1081085"/>
            <a:gd name="connsiteY32" fmla="*/ 1193795 h 1307302"/>
            <a:gd name="connsiteX33" fmla="*/ 3153 w 1081085"/>
            <a:gd name="connsiteY33" fmla="*/ 1193796 h 1307302"/>
            <a:gd name="connsiteX34" fmla="*/ 2378 w 1081085"/>
            <a:gd name="connsiteY34" fmla="*/ 1193796 h 1307302"/>
            <a:gd name="connsiteX35" fmla="*/ 116839 w 1081085"/>
            <a:gd name="connsiteY35" fmla="*/ 646108 h 1307302"/>
            <a:gd name="connsiteX36" fmla="*/ 964243 w 1081085"/>
            <a:gd name="connsiteY36" fmla="*/ 646108 h 1307302"/>
            <a:gd name="connsiteX37" fmla="*/ 1081085 w 1081085"/>
            <a:gd name="connsiteY37" fmla="*/ 1307302 h 1307302"/>
            <a:gd name="connsiteX38" fmla="*/ 0 w 1081085"/>
            <a:gd name="connsiteY38" fmla="*/ 1307302 h 1307302"/>
            <a:gd name="connsiteX39" fmla="*/ 3153 w 1081085"/>
            <a:gd name="connsiteY39" fmla="*/ 1193796 h 1307302"/>
            <a:gd name="connsiteX40" fmla="*/ 1077932 w 1081085"/>
            <a:gd name="connsiteY40" fmla="*/ 1193796 h 130730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</a:cxnLst>
          <a:rect l="l" t="t" r="r" b="b"/>
          <a:pathLst>
            <a:path w="1081085" h="1307302">
              <a:moveTo>
                <a:pt x="958844" y="47620"/>
              </a:moveTo>
              <a:lnTo>
                <a:pt x="115888" y="47620"/>
              </a:lnTo>
              <a:lnTo>
                <a:pt x="185578" y="0"/>
              </a:lnTo>
              <a:lnTo>
                <a:pt x="889154" y="0"/>
              </a:lnTo>
              <a:close/>
              <a:moveTo>
                <a:pt x="1038223" y="231771"/>
              </a:moveTo>
              <a:lnTo>
                <a:pt x="47624" y="231771"/>
              </a:lnTo>
              <a:lnTo>
                <a:pt x="47624" y="47620"/>
              </a:lnTo>
              <a:lnTo>
                <a:pt x="115888" y="47620"/>
              </a:lnTo>
              <a:lnTo>
                <a:pt x="115885" y="47622"/>
              </a:lnTo>
              <a:lnTo>
                <a:pt x="958847" y="47622"/>
              </a:lnTo>
              <a:lnTo>
                <a:pt x="958844" y="47620"/>
              </a:lnTo>
              <a:lnTo>
                <a:pt x="1038223" y="47620"/>
              </a:lnTo>
              <a:close/>
              <a:moveTo>
                <a:pt x="955673" y="364327"/>
              </a:moveTo>
              <a:lnTo>
                <a:pt x="130173" y="364327"/>
              </a:lnTo>
              <a:lnTo>
                <a:pt x="130173" y="234151"/>
              </a:lnTo>
              <a:lnTo>
                <a:pt x="955673" y="234151"/>
              </a:lnTo>
              <a:close/>
              <a:moveTo>
                <a:pt x="890724" y="455607"/>
              </a:moveTo>
              <a:lnTo>
                <a:pt x="195123" y="455607"/>
              </a:lnTo>
              <a:lnTo>
                <a:pt x="135730" y="365119"/>
              </a:lnTo>
              <a:lnTo>
                <a:pt x="950117" y="365119"/>
              </a:lnTo>
              <a:close/>
              <a:moveTo>
                <a:pt x="966785" y="646106"/>
              </a:moveTo>
              <a:lnTo>
                <a:pt x="116678" y="646106"/>
              </a:lnTo>
              <a:cubicBezTo>
                <a:pt x="99581" y="646106"/>
                <a:pt x="85722" y="632247"/>
                <a:pt x="85722" y="615150"/>
              </a:cubicBezTo>
              <a:lnTo>
                <a:pt x="85722" y="491326"/>
              </a:lnTo>
              <a:cubicBezTo>
                <a:pt x="85722" y="474229"/>
                <a:pt x="99581" y="460370"/>
                <a:pt x="116678" y="460370"/>
              </a:cubicBezTo>
              <a:lnTo>
                <a:pt x="966785" y="460370"/>
              </a:lnTo>
              <a:cubicBezTo>
                <a:pt x="983882" y="460370"/>
                <a:pt x="997741" y="474229"/>
                <a:pt x="997741" y="491326"/>
              </a:cubicBezTo>
              <a:lnTo>
                <a:pt x="997741" y="615150"/>
              </a:lnTo>
              <a:cubicBezTo>
                <a:pt x="997741" y="632247"/>
                <a:pt x="983882" y="646106"/>
                <a:pt x="966785" y="646106"/>
              </a:cubicBezTo>
              <a:close/>
              <a:moveTo>
                <a:pt x="1078704" y="1193796"/>
              </a:moveTo>
              <a:lnTo>
                <a:pt x="1077932" y="1193796"/>
              </a:lnTo>
              <a:lnTo>
                <a:pt x="1077932" y="1193795"/>
              </a:lnTo>
              <a:lnTo>
                <a:pt x="3153" y="1193795"/>
              </a:lnTo>
              <a:lnTo>
                <a:pt x="3153" y="1193796"/>
              </a:lnTo>
              <a:lnTo>
                <a:pt x="2378" y="1193796"/>
              </a:lnTo>
              <a:lnTo>
                <a:pt x="116839" y="646108"/>
              </a:lnTo>
              <a:lnTo>
                <a:pt x="964243" y="646108"/>
              </a:lnTo>
              <a:close/>
              <a:moveTo>
                <a:pt x="1081085" y="1307302"/>
              </a:moveTo>
              <a:lnTo>
                <a:pt x="0" y="1307302"/>
              </a:lnTo>
              <a:lnTo>
                <a:pt x="3153" y="1193796"/>
              </a:lnTo>
              <a:lnTo>
                <a:pt x="1077932" y="1193796"/>
              </a:lnTo>
              <a:close/>
            </a:path>
          </a:pathLst>
        </a:custGeom>
        <a:solidFill>
          <a:schemeClr val="bg1">
            <a:lumMod val="95000"/>
            <a:alpha val="90000"/>
          </a:schemeClr>
        </a:solidFill>
        <a:ln w="9525">
          <a:solidFill>
            <a:schemeClr val="tx1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33</xdr:col>
      <xdr:colOff>321767</xdr:colOff>
      <xdr:row>33</xdr:row>
      <xdr:rowOff>69715</xdr:rowOff>
    </xdr:from>
    <xdr:to>
      <xdr:col>37</xdr:col>
      <xdr:colOff>218927</xdr:colOff>
      <xdr:row>33</xdr:row>
      <xdr:rowOff>88765</xdr:rowOff>
    </xdr:to>
    <xdr:cxnSp macro="">
      <xdr:nvCxnSpPr>
        <xdr:cNvPr id="31" name="Straight Connector 30"/>
        <xdr:cNvCxnSpPr/>
      </xdr:nvCxnSpPr>
      <xdr:spPr>
        <a:xfrm>
          <a:off x="9030338" y="5594215"/>
          <a:ext cx="1693303" cy="1905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12295</xdr:colOff>
      <xdr:row>34</xdr:row>
      <xdr:rowOff>184016</xdr:rowOff>
    </xdr:from>
    <xdr:to>
      <xdr:col>37</xdr:col>
      <xdr:colOff>237977</xdr:colOff>
      <xdr:row>39</xdr:row>
      <xdr:rowOff>117340</xdr:rowOff>
    </xdr:to>
    <xdr:cxnSp macro="">
      <xdr:nvCxnSpPr>
        <xdr:cNvPr id="32" name="Straight Arrow Connector 31"/>
        <xdr:cNvCxnSpPr/>
      </xdr:nvCxnSpPr>
      <xdr:spPr>
        <a:xfrm flipH="1" flipV="1">
          <a:off x="10067974" y="5899016"/>
          <a:ext cx="674717" cy="885824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3803</xdr:colOff>
      <xdr:row>25</xdr:row>
      <xdr:rowOff>112297</xdr:rowOff>
    </xdr:from>
    <xdr:to>
      <xdr:col>34</xdr:col>
      <xdr:colOff>3803</xdr:colOff>
      <xdr:row>33</xdr:row>
      <xdr:rowOff>73637</xdr:rowOff>
    </xdr:to>
    <xdr:cxnSp macro="">
      <xdr:nvCxnSpPr>
        <xdr:cNvPr id="33" name="Straight Connector 32"/>
        <xdr:cNvCxnSpPr/>
      </xdr:nvCxnSpPr>
      <xdr:spPr>
        <a:xfrm flipH="1">
          <a:off x="9161410" y="4112797"/>
          <a:ext cx="0" cy="1485340"/>
        </a:xfrm>
        <a:prstGeom prst="line">
          <a:avLst/>
        </a:prstGeom>
        <a:ln w="3175">
          <a:prstDash val="solid"/>
          <a:headEnd type="arrow" w="med" len="med"/>
          <a:tailEnd type="arrow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305154</xdr:colOff>
      <xdr:row>23</xdr:row>
      <xdr:rowOff>43639</xdr:rowOff>
    </xdr:from>
    <xdr:to>
      <xdr:col>36</xdr:col>
      <xdr:colOff>129135</xdr:colOff>
      <xdr:row>24</xdr:row>
      <xdr:rowOff>106154</xdr:rowOff>
    </xdr:to>
    <xdr:sp macro="" textlink="">
      <xdr:nvSpPr>
        <xdr:cNvPr id="34" name="Rectangle 33"/>
        <xdr:cNvSpPr/>
      </xdr:nvSpPr>
      <xdr:spPr>
        <a:xfrm>
          <a:off x="9911797" y="3663139"/>
          <a:ext cx="273017" cy="253015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38</xdr:col>
      <xdr:colOff>416395</xdr:colOff>
      <xdr:row>13</xdr:row>
      <xdr:rowOff>185776</xdr:rowOff>
    </xdr:from>
    <xdr:to>
      <xdr:col>38</xdr:col>
      <xdr:colOff>416395</xdr:colOff>
      <xdr:row>19</xdr:row>
      <xdr:rowOff>140056</xdr:rowOff>
    </xdr:to>
    <xdr:cxnSp macro="">
      <xdr:nvCxnSpPr>
        <xdr:cNvPr id="35" name="Straight Connector 34"/>
        <xdr:cNvCxnSpPr/>
      </xdr:nvCxnSpPr>
      <xdr:spPr>
        <a:xfrm>
          <a:off x="11370145" y="1900276"/>
          <a:ext cx="0" cy="1097280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300404</xdr:colOff>
      <xdr:row>35</xdr:row>
      <xdr:rowOff>10891</xdr:rowOff>
    </xdr:from>
    <xdr:to>
      <xdr:col>35</xdr:col>
      <xdr:colOff>141669</xdr:colOff>
      <xdr:row>39</xdr:row>
      <xdr:rowOff>183173</xdr:rowOff>
    </xdr:to>
    <xdr:cxnSp macro="">
      <xdr:nvCxnSpPr>
        <xdr:cNvPr id="37" name="Straight Arrow Connector 36"/>
        <xdr:cNvCxnSpPr/>
      </xdr:nvCxnSpPr>
      <xdr:spPr>
        <a:xfrm flipV="1">
          <a:off x="16705385" y="6678391"/>
          <a:ext cx="735149" cy="934282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17</xdr:col>
      <xdr:colOff>202411</xdr:colOff>
      <xdr:row>73</xdr:row>
      <xdr:rowOff>121951</xdr:rowOff>
    </xdr:from>
    <xdr:to>
      <xdr:col>22</xdr:col>
      <xdr:colOff>383617</xdr:colOff>
      <xdr:row>83</xdr:row>
      <xdr:rowOff>78580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12793" y="14028451"/>
          <a:ext cx="2422381" cy="1861629"/>
        </a:xfrm>
        <a:prstGeom prst="rect">
          <a:avLst/>
        </a:prstGeom>
      </xdr:spPr>
    </xdr:pic>
    <xdr:clientData/>
  </xdr:twoCellAnchor>
  <xdr:twoCellAnchor editAs="oneCell">
    <xdr:from>
      <xdr:col>22</xdr:col>
      <xdr:colOff>369070</xdr:colOff>
      <xdr:row>97</xdr:row>
      <xdr:rowOff>31258</xdr:rowOff>
    </xdr:from>
    <xdr:to>
      <xdr:col>27</xdr:col>
      <xdr:colOff>411689</xdr:colOff>
      <xdr:row>101</xdr:row>
      <xdr:rowOff>114084</xdr:rowOff>
    </xdr:to>
    <xdr:pic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720629" y="18509758"/>
          <a:ext cx="2264186" cy="844826"/>
        </a:xfrm>
        <a:prstGeom prst="rect">
          <a:avLst/>
        </a:prstGeom>
      </xdr:spPr>
    </xdr:pic>
    <xdr:clientData/>
  </xdr:twoCellAnchor>
  <xdr:twoCellAnchor editAs="oneCell">
    <xdr:from>
      <xdr:col>17</xdr:col>
      <xdr:colOff>166344</xdr:colOff>
      <xdr:row>94</xdr:row>
      <xdr:rowOff>84567</xdr:rowOff>
    </xdr:from>
    <xdr:to>
      <xdr:col>22</xdr:col>
      <xdr:colOff>4743</xdr:colOff>
      <xdr:row>99</xdr:row>
      <xdr:rowOff>105332</xdr:rowOff>
    </xdr:to>
    <xdr:pic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276726" y="17991567"/>
          <a:ext cx="2079574" cy="973265"/>
        </a:xfrm>
        <a:prstGeom prst="rect">
          <a:avLst/>
        </a:prstGeom>
      </xdr:spPr>
    </xdr:pic>
    <xdr:clientData/>
  </xdr:twoCellAnchor>
  <xdr:twoCellAnchor editAs="oneCell">
    <xdr:from>
      <xdr:col>23</xdr:col>
      <xdr:colOff>38911</xdr:colOff>
      <xdr:row>71</xdr:row>
      <xdr:rowOff>76211</xdr:rowOff>
    </xdr:from>
    <xdr:to>
      <xdr:col>27</xdr:col>
      <xdr:colOff>308061</xdr:colOff>
      <xdr:row>81</xdr:row>
      <xdr:rowOff>101171</xdr:rowOff>
    </xdr:to>
    <xdr:pic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838705" y="13601711"/>
          <a:ext cx="2056488" cy="1929960"/>
        </a:xfrm>
        <a:prstGeom prst="rect">
          <a:avLst/>
        </a:prstGeom>
      </xdr:spPr>
    </xdr:pic>
    <xdr:clientData/>
  </xdr:twoCellAnchor>
  <xdr:twoCellAnchor editAs="oneCell">
    <xdr:from>
      <xdr:col>23</xdr:col>
      <xdr:colOff>156588</xdr:colOff>
      <xdr:row>63</xdr:row>
      <xdr:rowOff>154655</xdr:rowOff>
    </xdr:from>
    <xdr:to>
      <xdr:col>27</xdr:col>
      <xdr:colOff>90026</xdr:colOff>
      <xdr:row>71</xdr:row>
      <xdr:rowOff>22412</xdr:rowOff>
    </xdr:to>
    <xdr:pic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56382" y="12156155"/>
          <a:ext cx="1720776" cy="1391757"/>
        </a:xfrm>
        <a:prstGeom prst="rect">
          <a:avLst/>
        </a:prstGeom>
      </xdr:spPr>
    </xdr:pic>
    <xdr:clientData/>
  </xdr:twoCellAnchor>
  <xdr:twoCellAnchor>
    <xdr:from>
      <xdr:col>22</xdr:col>
      <xdr:colOff>95810</xdr:colOff>
      <xdr:row>83</xdr:row>
      <xdr:rowOff>78439</xdr:rowOff>
    </xdr:from>
    <xdr:to>
      <xdr:col>27</xdr:col>
      <xdr:colOff>455518</xdr:colOff>
      <xdr:row>97</xdr:row>
      <xdr:rowOff>33616</xdr:rowOff>
    </xdr:to>
    <xdr:grpSp>
      <xdr:nvGrpSpPr>
        <xdr:cNvPr id="71" name="Group 70"/>
        <xdr:cNvGrpSpPr/>
      </xdr:nvGrpSpPr>
      <xdr:grpSpPr>
        <a:xfrm>
          <a:off x="11584931" y="15889939"/>
          <a:ext cx="2583631" cy="2622177"/>
          <a:chOff x="8796618" y="13772030"/>
          <a:chExt cx="2924735" cy="2622177"/>
        </a:xfrm>
      </xdr:grpSpPr>
      <xdr:pic>
        <xdr:nvPicPr>
          <xdr:cNvPr id="53" name="Picture 52"/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8796618" y="13772030"/>
            <a:ext cx="2924735" cy="2622177"/>
          </a:xfrm>
          <a:prstGeom prst="rect">
            <a:avLst/>
          </a:prstGeom>
        </xdr:spPr>
      </xdr:pic>
      <xdr:cxnSp macro="">
        <xdr:nvCxnSpPr>
          <xdr:cNvPr id="54" name="Straight Arrow Connector 53"/>
          <xdr:cNvCxnSpPr/>
        </xdr:nvCxnSpPr>
        <xdr:spPr>
          <a:xfrm flipH="1" flipV="1">
            <a:off x="11441206" y="15127941"/>
            <a:ext cx="5879" cy="779272"/>
          </a:xfrm>
          <a:prstGeom prst="straightConnector1">
            <a:avLst/>
          </a:prstGeom>
          <a:ln w="19050">
            <a:solidFill>
              <a:srgbClr val="FF0000"/>
            </a:solidFill>
            <a:tailEnd type="oval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Arrow Connector 55"/>
          <xdr:cNvCxnSpPr/>
        </xdr:nvCxnSpPr>
        <xdr:spPr>
          <a:xfrm flipH="1" flipV="1">
            <a:off x="9312088" y="15116735"/>
            <a:ext cx="2119310" cy="0"/>
          </a:xfrm>
          <a:prstGeom prst="straightConnector1">
            <a:avLst/>
          </a:prstGeom>
          <a:ln w="19050">
            <a:solidFill>
              <a:srgbClr val="FF0000"/>
            </a:solidFill>
            <a:tailEnd type="oval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19</xdr:col>
      <xdr:colOff>320488</xdr:colOff>
      <xdr:row>64</xdr:row>
      <xdr:rowOff>118784</xdr:rowOff>
    </xdr:from>
    <xdr:to>
      <xdr:col>23</xdr:col>
      <xdr:colOff>168088</xdr:colOff>
      <xdr:row>65</xdr:row>
      <xdr:rowOff>67235</xdr:rowOff>
    </xdr:to>
    <xdr:cxnSp macro="">
      <xdr:nvCxnSpPr>
        <xdr:cNvPr id="66" name="Straight Arrow Connector 65"/>
        <xdr:cNvCxnSpPr/>
      </xdr:nvCxnSpPr>
      <xdr:spPr>
        <a:xfrm>
          <a:off x="10327341" y="12310784"/>
          <a:ext cx="1640541" cy="138951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323850</xdr:colOff>
      <xdr:row>69</xdr:row>
      <xdr:rowOff>104775</xdr:rowOff>
    </xdr:from>
    <xdr:to>
      <xdr:col>23</xdr:col>
      <xdr:colOff>56029</xdr:colOff>
      <xdr:row>71</xdr:row>
      <xdr:rowOff>123266</xdr:rowOff>
    </xdr:to>
    <xdr:cxnSp macro="">
      <xdr:nvCxnSpPr>
        <xdr:cNvPr id="51" name="Straight Arrow Connector 50"/>
        <xdr:cNvCxnSpPr/>
      </xdr:nvCxnSpPr>
      <xdr:spPr>
        <a:xfrm>
          <a:off x="9144000" y="13249275"/>
          <a:ext cx="2865904" cy="399491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392206</xdr:colOff>
      <xdr:row>93</xdr:row>
      <xdr:rowOff>11206</xdr:rowOff>
    </xdr:from>
    <xdr:to>
      <xdr:col>17</xdr:col>
      <xdr:colOff>190500</xdr:colOff>
      <xdr:row>95</xdr:row>
      <xdr:rowOff>22410</xdr:rowOff>
    </xdr:to>
    <xdr:cxnSp macro="">
      <xdr:nvCxnSpPr>
        <xdr:cNvPr id="73" name="Straight Arrow Connector 72"/>
        <xdr:cNvCxnSpPr/>
      </xdr:nvCxnSpPr>
      <xdr:spPr>
        <a:xfrm>
          <a:off x="8606118" y="17727706"/>
          <a:ext cx="694764" cy="392204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313765</xdr:colOff>
      <xdr:row>91</xdr:row>
      <xdr:rowOff>112059</xdr:rowOff>
    </xdr:from>
    <xdr:to>
      <xdr:col>23</xdr:col>
      <xdr:colOff>190500</xdr:colOff>
      <xdr:row>92</xdr:row>
      <xdr:rowOff>44824</xdr:rowOff>
    </xdr:to>
    <xdr:cxnSp macro="">
      <xdr:nvCxnSpPr>
        <xdr:cNvPr id="81" name="Straight Arrow Connector 80"/>
        <xdr:cNvCxnSpPr/>
      </xdr:nvCxnSpPr>
      <xdr:spPr>
        <a:xfrm>
          <a:off x="9424147" y="17447559"/>
          <a:ext cx="2566147" cy="123265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174812</xdr:colOff>
      <xdr:row>73</xdr:row>
      <xdr:rowOff>51550</xdr:rowOff>
    </xdr:from>
    <xdr:to>
      <xdr:col>17</xdr:col>
      <xdr:colOff>257736</xdr:colOff>
      <xdr:row>75</xdr:row>
      <xdr:rowOff>67235</xdr:rowOff>
    </xdr:to>
    <xdr:cxnSp macro="">
      <xdr:nvCxnSpPr>
        <xdr:cNvPr id="83" name="Straight Arrow Connector 82"/>
        <xdr:cNvCxnSpPr/>
      </xdr:nvCxnSpPr>
      <xdr:spPr>
        <a:xfrm>
          <a:off x="8836959" y="13958050"/>
          <a:ext cx="531159" cy="396685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17</xdr:col>
      <xdr:colOff>302559</xdr:colOff>
      <xdr:row>85</xdr:row>
      <xdr:rowOff>22412</xdr:rowOff>
    </xdr:from>
    <xdr:to>
      <xdr:col>22</xdr:col>
      <xdr:colOff>109003</xdr:colOff>
      <xdr:row>88</xdr:row>
      <xdr:rowOff>127102</xdr:rowOff>
    </xdr:to>
    <xdr:pic>
      <xdr:nvPicPr>
        <xdr:cNvPr id="87" name="Picture 8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547412" y="16214912"/>
          <a:ext cx="2047619" cy="676190"/>
        </a:xfrm>
        <a:prstGeom prst="rect">
          <a:avLst/>
        </a:prstGeom>
      </xdr:spPr>
    </xdr:pic>
    <xdr:clientData/>
  </xdr:twoCellAnchor>
  <xdr:twoCellAnchor>
    <xdr:from>
      <xdr:col>16</xdr:col>
      <xdr:colOff>215153</xdr:colOff>
      <xdr:row>85</xdr:row>
      <xdr:rowOff>91888</xdr:rowOff>
    </xdr:from>
    <xdr:to>
      <xdr:col>17</xdr:col>
      <xdr:colOff>369794</xdr:colOff>
      <xdr:row>87</xdr:row>
      <xdr:rowOff>11206</xdr:rowOff>
    </xdr:to>
    <xdr:cxnSp macro="">
      <xdr:nvCxnSpPr>
        <xdr:cNvPr id="89" name="Straight Arrow Connector 88"/>
        <xdr:cNvCxnSpPr/>
      </xdr:nvCxnSpPr>
      <xdr:spPr>
        <a:xfrm>
          <a:off x="8877300" y="16284388"/>
          <a:ext cx="602876" cy="300318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405653</xdr:colOff>
      <xdr:row>100</xdr:row>
      <xdr:rowOff>114301</xdr:rowOff>
    </xdr:from>
    <xdr:to>
      <xdr:col>22</xdr:col>
      <xdr:colOff>381000</xdr:colOff>
      <xdr:row>100</xdr:row>
      <xdr:rowOff>114301</xdr:rowOff>
    </xdr:to>
    <xdr:cxnSp macro="">
      <xdr:nvCxnSpPr>
        <xdr:cNvPr id="91" name="Straight Arrow Connector 90"/>
        <xdr:cNvCxnSpPr/>
      </xdr:nvCxnSpPr>
      <xdr:spPr>
        <a:xfrm>
          <a:off x="9067800" y="19164301"/>
          <a:ext cx="2664759" cy="0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311728</xdr:colOff>
      <xdr:row>102</xdr:row>
      <xdr:rowOff>103908</xdr:rowOff>
    </xdr:from>
    <xdr:to>
      <xdr:col>28</xdr:col>
      <xdr:colOff>328284</xdr:colOff>
      <xdr:row>121</xdr:row>
      <xdr:rowOff>34636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0356273" y="19534908"/>
          <a:ext cx="4069011" cy="3550228"/>
        </a:xfrm>
        <a:prstGeom prst="rect">
          <a:avLst/>
        </a:prstGeom>
      </xdr:spPr>
    </xdr:pic>
    <xdr:clientData/>
  </xdr:twoCellAnchor>
  <xdr:twoCellAnchor>
    <xdr:from>
      <xdr:col>16</xdr:col>
      <xdr:colOff>66675</xdr:colOff>
      <xdr:row>103</xdr:row>
      <xdr:rowOff>57150</xdr:rowOff>
    </xdr:from>
    <xdr:to>
      <xdr:col>22</xdr:col>
      <xdr:colOff>269328</xdr:colOff>
      <xdr:row>112</xdr:row>
      <xdr:rowOff>124811</xdr:rowOff>
    </xdr:to>
    <xdr:cxnSp macro="">
      <xdr:nvCxnSpPr>
        <xdr:cNvPr id="60" name="Straight Arrow Connector 59"/>
        <xdr:cNvCxnSpPr/>
      </xdr:nvCxnSpPr>
      <xdr:spPr>
        <a:xfrm>
          <a:off x="8753475" y="19678650"/>
          <a:ext cx="2888703" cy="1782161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431539</xdr:colOff>
      <xdr:row>18</xdr:row>
      <xdr:rowOff>94137</xdr:rowOff>
    </xdr:from>
    <xdr:to>
      <xdr:col>35</xdr:col>
      <xdr:colOff>436145</xdr:colOff>
      <xdr:row>23</xdr:row>
      <xdr:rowOff>175461</xdr:rowOff>
    </xdr:to>
    <xdr:cxnSp macro="">
      <xdr:nvCxnSpPr>
        <xdr:cNvPr id="67" name="Straight Connector 66"/>
        <xdr:cNvCxnSpPr/>
      </xdr:nvCxnSpPr>
      <xdr:spPr>
        <a:xfrm>
          <a:off x="17290789" y="3523137"/>
          <a:ext cx="450777" cy="1033824"/>
        </a:xfrm>
        <a:prstGeom prst="line">
          <a:avLst/>
        </a:prstGeom>
        <a:ln w="3175">
          <a:prstDash val="solid"/>
          <a:headEnd type="none" w="med" len="med"/>
          <a:tailEnd type="oval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227135</xdr:colOff>
      <xdr:row>16</xdr:row>
      <xdr:rowOff>159321</xdr:rowOff>
    </xdr:from>
    <xdr:to>
      <xdr:col>35</xdr:col>
      <xdr:colOff>131136</xdr:colOff>
      <xdr:row>18</xdr:row>
      <xdr:rowOff>116875</xdr:rowOff>
    </xdr:to>
    <xdr:sp macro="" textlink="">
      <xdr:nvSpPr>
        <xdr:cNvPr id="68" name="TextBox 54"/>
        <xdr:cNvSpPr txBox="1"/>
      </xdr:nvSpPr>
      <xdr:spPr>
        <a:xfrm>
          <a:off x="16185173" y="3207321"/>
          <a:ext cx="1244828" cy="33855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600"/>
            <a:t>Lead Crack A</a:t>
          </a:r>
        </a:p>
      </xdr:txBody>
    </xdr:sp>
    <xdr:clientData/>
  </xdr:twoCellAnchor>
  <xdr:twoCellAnchor>
    <xdr:from>
      <xdr:col>36</xdr:col>
      <xdr:colOff>135821</xdr:colOff>
      <xdr:row>23</xdr:row>
      <xdr:rowOff>39414</xdr:rowOff>
    </xdr:from>
    <xdr:to>
      <xdr:col>36</xdr:col>
      <xdr:colOff>368191</xdr:colOff>
      <xdr:row>24</xdr:row>
      <xdr:rowOff>102047</xdr:rowOff>
    </xdr:to>
    <xdr:sp macro="" textlink="">
      <xdr:nvSpPr>
        <xdr:cNvPr id="72" name="Right Triangle 71"/>
        <xdr:cNvSpPr/>
      </xdr:nvSpPr>
      <xdr:spPr>
        <a:xfrm>
          <a:off x="17885166" y="4420914"/>
          <a:ext cx="232370" cy="253133"/>
        </a:xfrm>
        <a:prstGeom prst="rt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36</xdr:col>
      <xdr:colOff>134577</xdr:colOff>
      <xdr:row>26</xdr:row>
      <xdr:rowOff>71551</xdr:rowOff>
    </xdr:from>
    <xdr:to>
      <xdr:col>36</xdr:col>
      <xdr:colOff>368189</xdr:colOff>
      <xdr:row>27</xdr:row>
      <xdr:rowOff>152265</xdr:rowOff>
    </xdr:to>
    <xdr:sp macro="" textlink="">
      <xdr:nvSpPr>
        <xdr:cNvPr id="74" name="Right Triangle 73"/>
        <xdr:cNvSpPr/>
      </xdr:nvSpPr>
      <xdr:spPr>
        <a:xfrm rot="5400000">
          <a:off x="17865121" y="5043352"/>
          <a:ext cx="271214" cy="233612"/>
        </a:xfrm>
        <a:prstGeom prst="rt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35</xdr:col>
      <xdr:colOff>361293</xdr:colOff>
      <xdr:row>26</xdr:row>
      <xdr:rowOff>81455</xdr:rowOff>
    </xdr:from>
    <xdr:to>
      <xdr:col>36</xdr:col>
      <xdr:colOff>133180</xdr:colOff>
      <xdr:row>27</xdr:row>
      <xdr:rowOff>154707</xdr:rowOff>
    </xdr:to>
    <xdr:sp macro="" textlink="">
      <xdr:nvSpPr>
        <xdr:cNvPr id="75" name="Right Triangle 74"/>
        <xdr:cNvSpPr/>
      </xdr:nvSpPr>
      <xdr:spPr>
        <a:xfrm rot="10800000">
          <a:off x="17663948" y="5034455"/>
          <a:ext cx="218577" cy="263752"/>
        </a:xfrm>
        <a:prstGeom prst="rtTriangle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32</xdr:col>
      <xdr:colOff>337608</xdr:colOff>
      <xdr:row>26</xdr:row>
      <xdr:rowOff>182029</xdr:rowOff>
    </xdr:from>
    <xdr:to>
      <xdr:col>36</xdr:col>
      <xdr:colOff>58428</xdr:colOff>
      <xdr:row>27</xdr:row>
      <xdr:rowOff>77312</xdr:rowOff>
    </xdr:to>
    <xdr:cxnSp macro="">
      <xdr:nvCxnSpPr>
        <xdr:cNvPr id="76" name="Straight Connector 75"/>
        <xdr:cNvCxnSpPr>
          <a:stCxn id="77" idx="3"/>
        </xdr:cNvCxnSpPr>
      </xdr:nvCxnSpPr>
      <xdr:spPr>
        <a:xfrm flipV="1">
          <a:off x="16300194" y="5135029"/>
          <a:ext cx="1507579" cy="85783"/>
        </a:xfrm>
        <a:prstGeom prst="line">
          <a:avLst/>
        </a:prstGeom>
        <a:ln w="3175">
          <a:prstDash val="solid"/>
          <a:headEnd type="none" w="med" len="med"/>
          <a:tailEnd type="oval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426984</xdr:colOff>
      <xdr:row>26</xdr:row>
      <xdr:rowOff>98535</xdr:rowOff>
    </xdr:from>
    <xdr:to>
      <xdr:col>32</xdr:col>
      <xdr:colOff>337608</xdr:colOff>
      <xdr:row>28</xdr:row>
      <xdr:rowOff>56089</xdr:rowOff>
    </xdr:to>
    <xdr:sp macro="" textlink="">
      <xdr:nvSpPr>
        <xdr:cNvPr id="77" name="TextBox 72"/>
        <xdr:cNvSpPr txBox="1"/>
      </xdr:nvSpPr>
      <xdr:spPr>
        <a:xfrm>
          <a:off x="15496191" y="5051535"/>
          <a:ext cx="804003" cy="338554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600"/>
            <a:t>Crack B</a:t>
          </a:r>
        </a:p>
      </xdr:txBody>
    </xdr:sp>
    <xdr:clientData/>
  </xdr:twoCellAnchor>
  <xdr:twoCellAnchor>
    <xdr:from>
      <xdr:col>36</xdr:col>
      <xdr:colOff>251383</xdr:colOff>
      <xdr:row>27</xdr:row>
      <xdr:rowOff>16658</xdr:rowOff>
    </xdr:from>
    <xdr:to>
      <xdr:col>39</xdr:col>
      <xdr:colOff>30180</xdr:colOff>
      <xdr:row>29</xdr:row>
      <xdr:rowOff>159569</xdr:rowOff>
    </xdr:to>
    <xdr:cxnSp macro="">
      <xdr:nvCxnSpPr>
        <xdr:cNvPr id="79" name="Straight Connector 78"/>
        <xdr:cNvCxnSpPr>
          <a:endCxn id="74" idx="5"/>
        </xdr:cNvCxnSpPr>
      </xdr:nvCxnSpPr>
      <xdr:spPr>
        <a:xfrm flipH="1" flipV="1">
          <a:off x="18000728" y="5160158"/>
          <a:ext cx="1118866" cy="523911"/>
        </a:xfrm>
        <a:prstGeom prst="line">
          <a:avLst/>
        </a:prstGeom>
        <a:ln w="3175">
          <a:prstDash val="solid"/>
          <a:headEnd type="none" w="med" len="med"/>
          <a:tailEnd type="oval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47298</xdr:colOff>
      <xdr:row>29</xdr:row>
      <xdr:rowOff>7883</xdr:rowOff>
    </xdr:from>
    <xdr:to>
      <xdr:col>40</xdr:col>
      <xdr:colOff>404612</xdr:colOff>
      <xdr:row>30</xdr:row>
      <xdr:rowOff>160169</xdr:rowOff>
    </xdr:to>
    <xdr:sp macro="" textlink="">
      <xdr:nvSpPr>
        <xdr:cNvPr id="80" name="TextBox 72"/>
        <xdr:cNvSpPr txBox="1"/>
      </xdr:nvSpPr>
      <xdr:spPr>
        <a:xfrm>
          <a:off x="19136712" y="5532383"/>
          <a:ext cx="804003" cy="34278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600"/>
            <a:t>Crack C</a:t>
          </a:r>
        </a:p>
      </xdr:txBody>
    </xdr:sp>
    <xdr:clientData/>
  </xdr:twoCellAnchor>
  <xdr:twoCellAnchor>
    <xdr:from>
      <xdr:col>36</xdr:col>
      <xdr:colOff>272405</xdr:colOff>
      <xdr:row>21</xdr:row>
      <xdr:rowOff>75487</xdr:rowOff>
    </xdr:from>
    <xdr:to>
      <xdr:col>39</xdr:col>
      <xdr:colOff>61750</xdr:colOff>
      <xdr:row>23</xdr:row>
      <xdr:rowOff>162490</xdr:rowOff>
    </xdr:to>
    <xdr:cxnSp macro="">
      <xdr:nvCxnSpPr>
        <xdr:cNvPr id="84" name="Straight Connector 83"/>
        <xdr:cNvCxnSpPr>
          <a:stCxn id="85" idx="1"/>
        </xdr:cNvCxnSpPr>
      </xdr:nvCxnSpPr>
      <xdr:spPr>
        <a:xfrm flipH="1">
          <a:off x="18021750" y="4075987"/>
          <a:ext cx="1129414" cy="468003"/>
        </a:xfrm>
        <a:prstGeom prst="line">
          <a:avLst/>
        </a:prstGeom>
        <a:ln w="3175">
          <a:prstDash val="solid"/>
          <a:headEnd type="none" w="med" len="med"/>
          <a:tailEnd type="oval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61750</xdr:colOff>
      <xdr:row>20</xdr:row>
      <xdr:rowOff>94594</xdr:rowOff>
    </xdr:from>
    <xdr:to>
      <xdr:col>41</xdr:col>
      <xdr:colOff>91966</xdr:colOff>
      <xdr:row>22</xdr:row>
      <xdr:rowOff>56380</xdr:rowOff>
    </xdr:to>
    <xdr:sp macro="" textlink="">
      <xdr:nvSpPr>
        <xdr:cNvPr id="85" name="TextBox 72"/>
        <xdr:cNvSpPr txBox="1"/>
      </xdr:nvSpPr>
      <xdr:spPr>
        <a:xfrm>
          <a:off x="19151164" y="3904594"/>
          <a:ext cx="923595" cy="34278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600"/>
            <a:t>Crack D</a:t>
          </a:r>
        </a:p>
      </xdr:txBody>
    </xdr:sp>
    <xdr:clientData/>
  </xdr:twoCellAnchor>
  <xdr:twoCellAnchor editAs="oneCell">
    <xdr:from>
      <xdr:col>14</xdr:col>
      <xdr:colOff>22412</xdr:colOff>
      <xdr:row>1</xdr:row>
      <xdr:rowOff>100853</xdr:rowOff>
    </xdr:from>
    <xdr:to>
      <xdr:col>27</xdr:col>
      <xdr:colOff>313764</xdr:colOff>
      <xdr:row>49</xdr:row>
      <xdr:rowOff>25673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788088" y="291353"/>
          <a:ext cx="6252882" cy="9068820"/>
        </a:xfrm>
        <a:prstGeom prst="rect">
          <a:avLst/>
        </a:prstGeom>
      </xdr:spPr>
    </xdr:pic>
    <xdr:clientData/>
  </xdr:twoCellAnchor>
  <xdr:twoCellAnchor editAs="oneCell">
    <xdr:from>
      <xdr:col>29</xdr:col>
      <xdr:colOff>225137</xdr:colOff>
      <xdr:row>70</xdr:row>
      <xdr:rowOff>155864</xdr:rowOff>
    </xdr:from>
    <xdr:to>
      <xdr:col>44</xdr:col>
      <xdr:colOff>173183</xdr:colOff>
      <xdr:row>120</xdr:row>
      <xdr:rowOff>143215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910955" y="13490864"/>
          <a:ext cx="6702137" cy="9512351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64</xdr:row>
      <xdr:rowOff>0</xdr:rowOff>
    </xdr:from>
    <xdr:to>
      <xdr:col>44</xdr:col>
      <xdr:colOff>34636</xdr:colOff>
      <xdr:row>69</xdr:row>
      <xdr:rowOff>16483</xdr:rowOff>
    </xdr:to>
    <xdr:sp macro="" textlink="">
      <xdr:nvSpPr>
        <xdr:cNvPr id="78" name="TextBox 7"/>
        <xdr:cNvSpPr txBox="1"/>
      </xdr:nvSpPr>
      <xdr:spPr>
        <a:xfrm>
          <a:off x="15136091" y="12192000"/>
          <a:ext cx="6338454" cy="968983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/>
            <a:t>C factor became effective when crack in </a:t>
          </a:r>
        </a:p>
        <a:p>
          <a:r>
            <a:rPr lang="en-US" sz="2800"/>
            <a:t>Web reached edge crack:</a:t>
          </a:r>
        </a:p>
      </xdr:txBody>
    </xdr:sp>
    <xdr:clientData/>
  </xdr:twoCellAnchor>
  <xdr:twoCellAnchor editAs="oneCell">
    <xdr:from>
      <xdr:col>46</xdr:col>
      <xdr:colOff>27215</xdr:colOff>
      <xdr:row>63</xdr:row>
      <xdr:rowOff>149678</xdr:rowOff>
    </xdr:from>
    <xdr:to>
      <xdr:col>60</xdr:col>
      <xdr:colOff>408215</xdr:colOff>
      <xdr:row>106</xdr:row>
      <xdr:rowOff>137290</xdr:rowOff>
    </xdr:to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2342929" y="12151178"/>
          <a:ext cx="6667500" cy="8179112"/>
        </a:xfrm>
        <a:prstGeom prst="rect">
          <a:avLst/>
        </a:prstGeom>
      </xdr:spPr>
    </xdr:pic>
    <xdr:clientData/>
  </xdr:twoCellAnchor>
  <xdr:twoCellAnchor>
    <xdr:from>
      <xdr:col>54</xdr:col>
      <xdr:colOff>122465</xdr:colOff>
      <xdr:row>88</xdr:row>
      <xdr:rowOff>163286</xdr:rowOff>
    </xdr:from>
    <xdr:to>
      <xdr:col>60</xdr:col>
      <xdr:colOff>27215</xdr:colOff>
      <xdr:row>92</xdr:row>
      <xdr:rowOff>122465</xdr:rowOff>
    </xdr:to>
    <xdr:sp macro="" textlink="">
      <xdr:nvSpPr>
        <xdr:cNvPr id="44" name="Oval 43"/>
        <xdr:cNvSpPr/>
      </xdr:nvSpPr>
      <xdr:spPr>
        <a:xfrm>
          <a:off x="26030465" y="16927286"/>
          <a:ext cx="2598964" cy="721179"/>
        </a:xfrm>
        <a:prstGeom prst="ellipse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175846</xdr:colOff>
      <xdr:row>52</xdr:row>
      <xdr:rowOff>51288</xdr:rowOff>
    </xdr:from>
    <xdr:to>
      <xdr:col>13</xdr:col>
      <xdr:colOff>87923</xdr:colOff>
      <xdr:row>53</xdr:row>
      <xdr:rowOff>36635</xdr:rowOff>
    </xdr:to>
    <xdr:cxnSp macro="">
      <xdr:nvCxnSpPr>
        <xdr:cNvPr id="70" name="Straight Arrow Connector 69"/>
        <xdr:cNvCxnSpPr/>
      </xdr:nvCxnSpPr>
      <xdr:spPr>
        <a:xfrm flipH="1" flipV="1">
          <a:off x="7048500" y="9957288"/>
          <a:ext cx="359019" cy="175847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366346</xdr:colOff>
      <xdr:row>58</xdr:row>
      <xdr:rowOff>131885</xdr:rowOff>
    </xdr:from>
    <xdr:to>
      <xdr:col>6</xdr:col>
      <xdr:colOff>5863</xdr:colOff>
      <xdr:row>59</xdr:row>
      <xdr:rowOff>189035</xdr:rowOff>
    </xdr:to>
    <xdr:cxnSp macro="">
      <xdr:nvCxnSpPr>
        <xdr:cNvPr id="82" name="Straight Arrow Connector 81"/>
        <xdr:cNvCxnSpPr/>
      </xdr:nvCxnSpPr>
      <xdr:spPr>
        <a:xfrm>
          <a:off x="2857500" y="11180885"/>
          <a:ext cx="855786" cy="247650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181708</xdr:colOff>
      <xdr:row>54</xdr:row>
      <xdr:rowOff>130420</xdr:rowOff>
    </xdr:from>
    <xdr:to>
      <xdr:col>6</xdr:col>
      <xdr:colOff>33744</xdr:colOff>
      <xdr:row>55</xdr:row>
      <xdr:rowOff>187433</xdr:rowOff>
    </xdr:to>
    <xdr:cxnSp macro="">
      <xdr:nvCxnSpPr>
        <xdr:cNvPr id="86" name="Straight Arrow Connector 85"/>
        <xdr:cNvCxnSpPr>
          <a:endCxn id="7" idx="2"/>
        </xdr:cNvCxnSpPr>
      </xdr:nvCxnSpPr>
      <xdr:spPr>
        <a:xfrm>
          <a:off x="2672862" y="10417420"/>
          <a:ext cx="1068305" cy="247513"/>
        </a:xfrm>
        <a:prstGeom prst="straightConnector1">
          <a:avLst/>
        </a:prstGeom>
        <a:ln>
          <a:tailEnd type="oval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21538</xdr:colOff>
      <xdr:row>0</xdr:row>
      <xdr:rowOff>91109</xdr:rowOff>
    </xdr:from>
    <xdr:to>
      <xdr:col>19</xdr:col>
      <xdr:colOff>64477</xdr:colOff>
      <xdr:row>20</xdr:row>
      <xdr:rowOff>14909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46113" y="91109"/>
          <a:ext cx="4919739" cy="3733800"/>
        </a:xfrm>
        <a:prstGeom prst="rect">
          <a:avLst/>
        </a:prstGeom>
      </xdr:spPr>
    </xdr:pic>
    <xdr:clientData/>
  </xdr:twoCellAnchor>
  <xdr:twoCellAnchor editAs="oneCell">
    <xdr:from>
      <xdr:col>19</xdr:col>
      <xdr:colOff>113474</xdr:colOff>
      <xdr:row>0</xdr:row>
      <xdr:rowOff>38929</xdr:rowOff>
    </xdr:from>
    <xdr:to>
      <xdr:col>27</xdr:col>
      <xdr:colOff>110431</xdr:colOff>
      <xdr:row>20</xdr:row>
      <xdr:rowOff>179733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18698"/>
        <a:stretch/>
      </xdr:blipFill>
      <xdr:spPr>
        <a:xfrm>
          <a:off x="11114849" y="38929"/>
          <a:ext cx="4873757" cy="39508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../../avk_pdf/aero/3_damage_tol/book3/Book3_09_Yfactors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15"/>
  <sheetViews>
    <sheetView topLeftCell="A43" zoomScale="130" zoomScaleNormal="130" workbookViewId="0">
      <selection activeCell="B20" sqref="B20"/>
    </sheetView>
  </sheetViews>
  <sheetFormatPr defaultRowHeight="15" x14ac:dyDescent="0.25"/>
  <cols>
    <col min="1" max="2" width="17.85546875" style="18" bestFit="1" customWidth="1"/>
  </cols>
  <sheetData>
    <row r="1" spans="1:8" x14ac:dyDescent="0.25">
      <c r="A1" s="25" t="s">
        <v>93</v>
      </c>
      <c r="B1" s="18" t="s">
        <v>93</v>
      </c>
      <c r="C1" s="25" t="s">
        <v>34</v>
      </c>
      <c r="D1" s="27"/>
      <c r="E1" s="27"/>
      <c r="F1" s="27"/>
      <c r="G1" s="27"/>
      <c r="H1" s="27"/>
    </row>
    <row r="2" spans="1:8" x14ac:dyDescent="0.25">
      <c r="A2" s="18" t="s">
        <v>94</v>
      </c>
      <c r="B2" s="18" t="s">
        <v>94</v>
      </c>
      <c r="C2" s="18" t="s">
        <v>5</v>
      </c>
    </row>
    <row r="3" spans="1:8" x14ac:dyDescent="0.25">
      <c r="A3" s="18">
        <v>11.18</v>
      </c>
      <c r="B3" s="18">
        <v>11.18</v>
      </c>
      <c r="C3" s="18">
        <v>1</v>
      </c>
    </row>
    <row r="4" spans="1:8" x14ac:dyDescent="0.25">
      <c r="A4" s="18">
        <v>1</v>
      </c>
      <c r="B4" s="18">
        <v>1</v>
      </c>
      <c r="C4" s="18">
        <v>2</v>
      </c>
    </row>
    <row r="5" spans="1:8" x14ac:dyDescent="0.25">
      <c r="A5" s="18">
        <v>1</v>
      </c>
      <c r="B5" s="18">
        <v>1</v>
      </c>
      <c r="C5" s="18">
        <v>1</v>
      </c>
    </row>
    <row r="6" spans="1:8" x14ac:dyDescent="0.25">
      <c r="A6" s="18">
        <v>22.9</v>
      </c>
      <c r="B6" s="18">
        <v>22.9</v>
      </c>
      <c r="C6" s="18">
        <v>24.9</v>
      </c>
    </row>
    <row r="7" spans="1:8" x14ac:dyDescent="0.25">
      <c r="A7" s="18">
        <v>3.5</v>
      </c>
      <c r="B7" s="18">
        <v>3.5</v>
      </c>
      <c r="C7" s="18">
        <v>3.7</v>
      </c>
    </row>
    <row r="8" spans="1:8" x14ac:dyDescent="0.25">
      <c r="A8" s="18" t="s">
        <v>95</v>
      </c>
      <c r="B8" s="18" t="s">
        <v>95</v>
      </c>
      <c r="C8" s="18" t="s">
        <v>9</v>
      </c>
    </row>
    <row r="9" spans="1:8" x14ac:dyDescent="0.25">
      <c r="A9" s="18">
        <v>73.912000000000006</v>
      </c>
      <c r="B9" s="18">
        <v>73.912000000000006</v>
      </c>
      <c r="C9" s="18">
        <v>10</v>
      </c>
    </row>
    <row r="10" spans="1:8" x14ac:dyDescent="0.25">
      <c r="A10" s="18">
        <v>7.0999999999999994E-2</v>
      </c>
      <c r="B10" s="18">
        <v>7.0999999999999994E-2</v>
      </c>
      <c r="C10" s="18">
        <v>0.1</v>
      </c>
    </row>
    <row r="11" spans="1:8" x14ac:dyDescent="0.25">
      <c r="A11" s="18" t="s">
        <v>96</v>
      </c>
      <c r="B11" s="18" t="s">
        <v>96</v>
      </c>
      <c r="C11" s="18" t="s">
        <v>13</v>
      </c>
    </row>
    <row r="12" spans="1:8" x14ac:dyDescent="0.25">
      <c r="A12" s="24">
        <v>0.19</v>
      </c>
      <c r="B12" s="18">
        <v>0.19</v>
      </c>
      <c r="C12" s="24">
        <v>0.1</v>
      </c>
    </row>
    <row r="13" spans="1:8" x14ac:dyDescent="0.25">
      <c r="A13" s="18" t="s">
        <v>97</v>
      </c>
      <c r="B13" s="18" t="s">
        <v>97</v>
      </c>
      <c r="C13" s="18" t="s">
        <v>14</v>
      </c>
    </row>
    <row r="14" spans="1:8" x14ac:dyDescent="0.25">
      <c r="A14" s="24">
        <v>0.19</v>
      </c>
      <c r="B14" s="18">
        <v>0.19</v>
      </c>
      <c r="C14" s="24">
        <v>0.1</v>
      </c>
    </row>
    <row r="15" spans="1:8" x14ac:dyDescent="0.25">
      <c r="A15" s="24">
        <v>7.0999999999999994E-2</v>
      </c>
      <c r="B15" s="18">
        <v>7.0999999999999994E-2</v>
      </c>
      <c r="C15" s="24">
        <v>0.1</v>
      </c>
    </row>
    <row r="16" spans="1:8" x14ac:dyDescent="0.25">
      <c r="A16" s="18">
        <v>0</v>
      </c>
      <c r="B16" s="18">
        <v>0</v>
      </c>
      <c r="C16" s="18">
        <v>0</v>
      </c>
    </row>
    <row r="17" spans="1:3" x14ac:dyDescent="0.25">
      <c r="A17" s="18">
        <v>0</v>
      </c>
      <c r="B17" s="18">
        <v>0</v>
      </c>
      <c r="C17" s="18">
        <v>0</v>
      </c>
    </row>
    <row r="18" spans="1:3" x14ac:dyDescent="0.25">
      <c r="A18" s="18" t="s">
        <v>98</v>
      </c>
      <c r="B18" s="18" t="s">
        <v>98</v>
      </c>
      <c r="C18" s="18" t="s">
        <v>15</v>
      </c>
    </row>
    <row r="19" spans="1:3" x14ac:dyDescent="0.25">
      <c r="A19" s="18" t="s">
        <v>99</v>
      </c>
      <c r="B19" s="18" t="s">
        <v>99</v>
      </c>
      <c r="C19" s="18" t="s">
        <v>19</v>
      </c>
    </row>
    <row r="20" spans="1:3" x14ac:dyDescent="0.25">
      <c r="A20" s="24">
        <v>0.19</v>
      </c>
      <c r="B20" s="18">
        <v>0.19</v>
      </c>
      <c r="C20" s="24">
        <v>0.1</v>
      </c>
    </row>
    <row r="21" spans="1:3" x14ac:dyDescent="0.25">
      <c r="A21" s="18">
        <v>1.3959999999999999</v>
      </c>
      <c r="B21" s="18">
        <v>1.3959999999999999</v>
      </c>
      <c r="C21" s="18">
        <v>3</v>
      </c>
    </row>
    <row r="22" spans="1:3" x14ac:dyDescent="0.25">
      <c r="A22" s="18">
        <v>1</v>
      </c>
      <c r="B22" s="18">
        <v>1</v>
      </c>
      <c r="C22" s="18">
        <v>1</v>
      </c>
    </row>
    <row r="23" spans="1:3" x14ac:dyDescent="0.25">
      <c r="A23" s="24">
        <v>7.0999999999999994E-2</v>
      </c>
      <c r="B23" s="18">
        <v>7.0999999999999994E-2</v>
      </c>
      <c r="C23" s="24">
        <v>0.1</v>
      </c>
    </row>
    <row r="24" spans="1:3" x14ac:dyDescent="0.25">
      <c r="A24" s="18">
        <v>2</v>
      </c>
      <c r="B24" s="18">
        <v>2</v>
      </c>
      <c r="C24" s="18">
        <v>1</v>
      </c>
    </row>
    <row r="25" spans="1:3" x14ac:dyDescent="0.25">
      <c r="A25" s="18" t="s">
        <v>100</v>
      </c>
      <c r="B25" s="18" t="s">
        <v>100</v>
      </c>
      <c r="C25" s="18" t="s">
        <v>22</v>
      </c>
    </row>
    <row r="26" spans="1:3" x14ac:dyDescent="0.25">
      <c r="A26" s="24">
        <v>0.19</v>
      </c>
      <c r="B26" s="18">
        <v>0.19</v>
      </c>
      <c r="C26" s="24">
        <v>0.1</v>
      </c>
    </row>
    <row r="27" spans="1:3" x14ac:dyDescent="0.25">
      <c r="A27" s="24">
        <v>0.38</v>
      </c>
      <c r="B27" s="18">
        <v>0.38</v>
      </c>
      <c r="C27" s="24">
        <v>0.5</v>
      </c>
    </row>
    <row r="28" spans="1:3" x14ac:dyDescent="0.25">
      <c r="A28" s="24">
        <v>7.0999999999999994E-2</v>
      </c>
      <c r="B28" s="18">
        <v>7.0999999999999994E-2</v>
      </c>
      <c r="C28" s="24">
        <v>0.1</v>
      </c>
    </row>
    <row r="29" spans="1:3" x14ac:dyDescent="0.25">
      <c r="A29" s="24">
        <v>4.5</v>
      </c>
      <c r="B29" s="18">
        <v>4.5</v>
      </c>
      <c r="C29" s="24">
        <v>1</v>
      </c>
    </row>
    <row r="30" spans="1:3" x14ac:dyDescent="0.25">
      <c r="A30" s="18">
        <v>0</v>
      </c>
      <c r="B30" s="18">
        <v>0</v>
      </c>
      <c r="C30" s="18">
        <v>0</v>
      </c>
    </row>
    <row r="31" spans="1:3" x14ac:dyDescent="0.25">
      <c r="A31" s="18">
        <v>0</v>
      </c>
      <c r="B31" s="18">
        <v>0</v>
      </c>
      <c r="C31" s="18">
        <v>0</v>
      </c>
    </row>
    <row r="32" spans="1:3" x14ac:dyDescent="0.25">
      <c r="A32" s="18" t="s">
        <v>98</v>
      </c>
      <c r="B32" s="18" t="s">
        <v>98</v>
      </c>
      <c r="C32" s="18" t="s">
        <v>15</v>
      </c>
    </row>
    <row r="33" spans="1:3" x14ac:dyDescent="0.25">
      <c r="A33" s="18" t="s">
        <v>101</v>
      </c>
      <c r="B33" s="18" t="s">
        <v>101</v>
      </c>
      <c r="C33" s="18" t="s">
        <v>27</v>
      </c>
    </row>
    <row r="34" spans="1:3" x14ac:dyDescent="0.25">
      <c r="A34" s="24">
        <v>0.19</v>
      </c>
      <c r="B34" s="18">
        <v>0.19</v>
      </c>
      <c r="C34" s="24">
        <v>0.1</v>
      </c>
    </row>
    <row r="35" spans="1:3" x14ac:dyDescent="0.25">
      <c r="A35" s="24">
        <v>8.2958059795569792</v>
      </c>
      <c r="B35" s="18">
        <v>8.2958059795569792</v>
      </c>
      <c r="C35" s="24">
        <v>8</v>
      </c>
    </row>
    <row r="36" spans="1:3" x14ac:dyDescent="0.25">
      <c r="A36" s="24">
        <v>0.95</v>
      </c>
      <c r="B36" s="18">
        <v>0.95</v>
      </c>
      <c r="C36" s="24">
        <v>1</v>
      </c>
    </row>
    <row r="37" spans="1:3" x14ac:dyDescent="0.25">
      <c r="A37" s="24">
        <v>7.0999999999999994E-2</v>
      </c>
      <c r="B37" s="18">
        <v>7.0999999999999994E-2</v>
      </c>
      <c r="C37" s="24">
        <v>0.1</v>
      </c>
    </row>
    <row r="38" spans="1:3" x14ac:dyDescent="0.25">
      <c r="A38" s="24">
        <v>4.5</v>
      </c>
      <c r="B38" s="18">
        <v>4.5</v>
      </c>
      <c r="C38" s="24">
        <v>1</v>
      </c>
    </row>
    <row r="39" spans="1:3" x14ac:dyDescent="0.25">
      <c r="A39" s="18">
        <v>0</v>
      </c>
      <c r="B39" s="18">
        <v>0</v>
      </c>
      <c r="C39" s="18">
        <v>0</v>
      </c>
    </row>
    <row r="40" spans="1:3" x14ac:dyDescent="0.25">
      <c r="A40" s="18">
        <v>0</v>
      </c>
      <c r="B40" s="18">
        <v>0</v>
      </c>
      <c r="C40" s="18">
        <v>0</v>
      </c>
    </row>
    <row r="41" spans="1:3" x14ac:dyDescent="0.25">
      <c r="A41" s="18" t="s">
        <v>98</v>
      </c>
      <c r="B41" s="18" t="s">
        <v>98</v>
      </c>
      <c r="C41" s="18" t="s">
        <v>15</v>
      </c>
    </row>
    <row r="42" spans="1:3" x14ac:dyDescent="0.25">
      <c r="A42" s="18" t="s">
        <v>102</v>
      </c>
      <c r="B42" s="18" t="s">
        <v>102</v>
      </c>
      <c r="C42" s="18" t="s">
        <v>31</v>
      </c>
    </row>
    <row r="43" spans="1:3" x14ac:dyDescent="0.25">
      <c r="A43" s="24">
        <v>0.19</v>
      </c>
      <c r="B43" s="18">
        <v>0.19</v>
      </c>
      <c r="C43" s="24">
        <v>0.1</v>
      </c>
    </row>
    <row r="44" spans="1:3" x14ac:dyDescent="0.25">
      <c r="A44" s="18">
        <v>1</v>
      </c>
      <c r="B44" s="18">
        <v>1</v>
      </c>
      <c r="C44" s="18">
        <v>1</v>
      </c>
    </row>
    <row r="45" spans="1:3" x14ac:dyDescent="0.25">
      <c r="A45" s="24">
        <v>4.5</v>
      </c>
      <c r="B45" s="18">
        <v>4.5</v>
      </c>
      <c r="C45" s="24">
        <v>1</v>
      </c>
    </row>
    <row r="46" spans="1:3" x14ac:dyDescent="0.25">
      <c r="A46" s="18">
        <v>0</v>
      </c>
      <c r="B46" s="18">
        <v>0</v>
      </c>
      <c r="C46" s="18">
        <v>0.8</v>
      </c>
    </row>
    <row r="47" spans="1:3" x14ac:dyDescent="0.25">
      <c r="A47" s="24">
        <v>0.38</v>
      </c>
      <c r="B47" s="18">
        <v>0.38</v>
      </c>
      <c r="C47" s="24">
        <v>0.5</v>
      </c>
    </row>
    <row r="48" spans="1:3" x14ac:dyDescent="0.25">
      <c r="A48" s="18" t="s">
        <v>98</v>
      </c>
      <c r="B48" s="18" t="s">
        <v>98</v>
      </c>
      <c r="C48" s="18" t="s">
        <v>15</v>
      </c>
    </row>
    <row r="49" spans="1:8" x14ac:dyDescent="0.25">
      <c r="A49" s="18" t="s">
        <v>103</v>
      </c>
      <c r="B49" s="18" t="s">
        <v>168</v>
      </c>
      <c r="C49" s="18" t="s">
        <v>6</v>
      </c>
    </row>
    <row r="50" spans="1:8" x14ac:dyDescent="0.25">
      <c r="A50" s="25" t="s">
        <v>98</v>
      </c>
      <c r="B50" s="18">
        <v>0.19</v>
      </c>
      <c r="C50" s="25" t="s">
        <v>35</v>
      </c>
      <c r="D50" s="27"/>
      <c r="E50" s="27"/>
      <c r="F50" s="27"/>
      <c r="G50" s="27"/>
      <c r="H50" s="27"/>
    </row>
    <row r="51" spans="1:8" x14ac:dyDescent="0.25">
      <c r="A51" s="18" t="s">
        <v>94</v>
      </c>
      <c r="B51" s="18">
        <v>1</v>
      </c>
      <c r="C51" s="18" t="s">
        <v>5</v>
      </c>
    </row>
    <row r="52" spans="1:8" x14ac:dyDescent="0.25">
      <c r="A52" s="18">
        <v>11.18</v>
      </c>
      <c r="B52" s="18">
        <v>8.2958059795569792</v>
      </c>
      <c r="C52" s="18">
        <v>2</v>
      </c>
    </row>
    <row r="53" spans="1:8" x14ac:dyDescent="0.25">
      <c r="A53" s="18">
        <v>-1</v>
      </c>
      <c r="B53" s="18">
        <v>0.95</v>
      </c>
      <c r="C53" s="18">
        <v>-1</v>
      </c>
    </row>
    <row r="54" spans="1:8" x14ac:dyDescent="0.25">
      <c r="A54" s="18">
        <v>1</v>
      </c>
      <c r="B54" s="18">
        <v>2.7</v>
      </c>
      <c r="C54" s="18">
        <v>1</v>
      </c>
    </row>
    <row r="55" spans="1:8" x14ac:dyDescent="0.25">
      <c r="A55" s="18">
        <v>22.9</v>
      </c>
      <c r="B55" s="18">
        <v>0</v>
      </c>
      <c r="C55" s="18">
        <v>24.9</v>
      </c>
    </row>
    <row r="56" spans="1:8" x14ac:dyDescent="0.25">
      <c r="A56" s="18">
        <v>3.5</v>
      </c>
      <c r="B56" s="18" t="s">
        <v>109</v>
      </c>
      <c r="C56" s="18">
        <v>3.7</v>
      </c>
    </row>
    <row r="57" spans="1:8" x14ac:dyDescent="0.25">
      <c r="A57" s="18" t="s">
        <v>95</v>
      </c>
      <c r="B57" s="18" t="s">
        <v>156</v>
      </c>
      <c r="C57" s="18" t="s">
        <v>9</v>
      </c>
    </row>
    <row r="58" spans="1:8" x14ac:dyDescent="0.25">
      <c r="A58" s="18" t="s">
        <v>104</v>
      </c>
      <c r="B58" s="18" t="s">
        <v>103</v>
      </c>
      <c r="C58" s="18" t="s">
        <v>12</v>
      </c>
    </row>
    <row r="59" spans="1:8" x14ac:dyDescent="0.25">
      <c r="A59" s="24">
        <v>0.19</v>
      </c>
      <c r="B59" s="18" t="s">
        <v>98</v>
      </c>
      <c r="C59" s="24">
        <v>0.1</v>
      </c>
    </row>
    <row r="60" spans="1:8" x14ac:dyDescent="0.25">
      <c r="A60" s="24">
        <v>2</v>
      </c>
      <c r="B60" s="18" t="s">
        <v>94</v>
      </c>
      <c r="C60" s="24">
        <v>3</v>
      </c>
    </row>
    <row r="61" spans="1:8" x14ac:dyDescent="0.25">
      <c r="A61" s="24">
        <v>7.0999999999999994E-2</v>
      </c>
      <c r="B61" s="18">
        <v>11.18</v>
      </c>
      <c r="C61" s="24">
        <v>0.1</v>
      </c>
    </row>
    <row r="62" spans="1:8" x14ac:dyDescent="0.25">
      <c r="A62" s="18" t="s">
        <v>97</v>
      </c>
      <c r="B62" s="18">
        <v>-1</v>
      </c>
      <c r="C62" s="18" t="s">
        <v>14</v>
      </c>
    </row>
    <row r="63" spans="1:8" x14ac:dyDescent="0.25">
      <c r="A63" s="18">
        <v>0.19</v>
      </c>
      <c r="B63" s="18">
        <v>1</v>
      </c>
      <c r="C63" s="18">
        <v>0.1</v>
      </c>
    </row>
    <row r="64" spans="1:8" x14ac:dyDescent="0.25">
      <c r="A64" s="24">
        <v>7.0999999999999994E-2</v>
      </c>
      <c r="B64" s="18">
        <v>22.9</v>
      </c>
      <c r="C64" s="24">
        <v>0.1</v>
      </c>
    </row>
    <row r="65" spans="1:3" x14ac:dyDescent="0.25">
      <c r="A65" s="18">
        <v>0</v>
      </c>
      <c r="B65" s="18">
        <v>3.5</v>
      </c>
      <c r="C65" s="18">
        <v>0</v>
      </c>
    </row>
    <row r="66" spans="1:3" x14ac:dyDescent="0.25">
      <c r="A66" s="18">
        <v>0</v>
      </c>
      <c r="B66" s="18" t="s">
        <v>95</v>
      </c>
      <c r="C66" s="18">
        <v>0</v>
      </c>
    </row>
    <row r="67" spans="1:3" x14ac:dyDescent="0.25">
      <c r="A67" s="18" t="s">
        <v>93</v>
      </c>
      <c r="B67" s="18" t="s">
        <v>104</v>
      </c>
      <c r="C67" s="18" t="s">
        <v>24</v>
      </c>
    </row>
    <row r="68" spans="1:3" x14ac:dyDescent="0.25">
      <c r="A68" s="18" t="s">
        <v>99</v>
      </c>
      <c r="B68" s="18">
        <v>0.19</v>
      </c>
      <c r="C68" s="18" t="s">
        <v>19</v>
      </c>
    </row>
    <row r="69" spans="1:3" x14ac:dyDescent="0.25">
      <c r="A69" s="24">
        <v>0.19</v>
      </c>
      <c r="B69" s="18">
        <v>2</v>
      </c>
      <c r="C69" s="24">
        <v>0.1</v>
      </c>
    </row>
    <row r="70" spans="1:3" x14ac:dyDescent="0.25">
      <c r="A70" s="18">
        <v>1.3959999999999999</v>
      </c>
      <c r="B70" s="18">
        <v>7.0999999999999994E-2</v>
      </c>
      <c r="C70" s="18">
        <v>3</v>
      </c>
    </row>
    <row r="71" spans="1:3" x14ac:dyDescent="0.25">
      <c r="A71" s="18">
        <v>1</v>
      </c>
      <c r="B71" s="18" t="s">
        <v>97</v>
      </c>
      <c r="C71" s="18">
        <v>1</v>
      </c>
    </row>
    <row r="72" spans="1:3" x14ac:dyDescent="0.25">
      <c r="A72" s="24">
        <v>7.0999999999999994E-2</v>
      </c>
      <c r="B72" s="18">
        <v>0.19</v>
      </c>
      <c r="C72" s="24">
        <v>0.1</v>
      </c>
    </row>
    <row r="73" spans="1:3" x14ac:dyDescent="0.25">
      <c r="A73" s="18">
        <v>1</v>
      </c>
      <c r="B73" s="18">
        <v>7.0999999999999994E-2</v>
      </c>
      <c r="C73" s="18">
        <v>1</v>
      </c>
    </row>
    <row r="74" spans="1:3" x14ac:dyDescent="0.25">
      <c r="A74" s="18" t="s">
        <v>105</v>
      </c>
      <c r="B74" s="18">
        <v>0</v>
      </c>
      <c r="C74" s="18" t="s">
        <v>23</v>
      </c>
    </row>
    <row r="75" spans="1:3" x14ac:dyDescent="0.25">
      <c r="A75" s="24">
        <v>0.19</v>
      </c>
      <c r="B75" s="18">
        <v>0</v>
      </c>
      <c r="C75" s="24">
        <v>0.1</v>
      </c>
    </row>
    <row r="76" spans="1:3" x14ac:dyDescent="0.25">
      <c r="A76" s="24">
        <v>0.38</v>
      </c>
      <c r="B76" s="18" t="s">
        <v>93</v>
      </c>
      <c r="C76" s="24">
        <v>0.5</v>
      </c>
    </row>
    <row r="77" spans="1:3" x14ac:dyDescent="0.25">
      <c r="A77" s="24">
        <v>7.0999999999999994E-2</v>
      </c>
      <c r="B77" s="18" t="s">
        <v>99</v>
      </c>
      <c r="C77" s="24">
        <v>0.1</v>
      </c>
    </row>
    <row r="78" spans="1:3" x14ac:dyDescent="0.25">
      <c r="A78" s="24">
        <v>4.5</v>
      </c>
      <c r="B78" s="18">
        <v>0.19</v>
      </c>
      <c r="C78" s="24">
        <v>1</v>
      </c>
    </row>
    <row r="79" spans="1:3" x14ac:dyDescent="0.25">
      <c r="A79" s="18">
        <v>0</v>
      </c>
      <c r="B79" s="18">
        <v>1.3959999999999999</v>
      </c>
      <c r="C79" s="18">
        <v>0</v>
      </c>
    </row>
    <row r="80" spans="1:3" x14ac:dyDescent="0.25">
      <c r="A80" s="18">
        <v>0</v>
      </c>
      <c r="B80" s="18">
        <v>1</v>
      </c>
      <c r="C80" s="18">
        <v>0</v>
      </c>
    </row>
    <row r="81" spans="1:3" x14ac:dyDescent="0.25">
      <c r="A81" s="18" t="s">
        <v>93</v>
      </c>
      <c r="B81" s="18">
        <v>7.0999999999999994E-2</v>
      </c>
      <c r="C81" s="18" t="s">
        <v>24</v>
      </c>
    </row>
    <row r="82" spans="1:3" x14ac:dyDescent="0.25">
      <c r="A82" s="18" t="s">
        <v>106</v>
      </c>
      <c r="B82" s="18">
        <v>1</v>
      </c>
      <c r="C82" s="18" t="s">
        <v>36</v>
      </c>
    </row>
    <row r="83" spans="1:3" x14ac:dyDescent="0.25">
      <c r="A83" s="24">
        <v>0.19</v>
      </c>
      <c r="B83" s="18" t="s">
        <v>105</v>
      </c>
      <c r="C83" s="24">
        <v>0.1</v>
      </c>
    </row>
    <row r="84" spans="1:3" x14ac:dyDescent="0.25">
      <c r="A84" s="18">
        <v>1</v>
      </c>
      <c r="B84" s="18">
        <v>0.19</v>
      </c>
      <c r="C84" s="18">
        <v>1</v>
      </c>
    </row>
    <row r="85" spans="1:3" x14ac:dyDescent="0.25">
      <c r="A85" s="24">
        <v>4.5</v>
      </c>
      <c r="B85" s="18">
        <v>1</v>
      </c>
      <c r="C85" s="24">
        <v>1</v>
      </c>
    </row>
    <row r="86" spans="1:3" x14ac:dyDescent="0.25">
      <c r="A86" s="18">
        <v>0</v>
      </c>
      <c r="B86" s="18">
        <v>7.0999999999999994E-2</v>
      </c>
      <c r="C86" s="18">
        <v>0.8</v>
      </c>
    </row>
    <row r="87" spans="1:3" x14ac:dyDescent="0.25">
      <c r="A87" s="24">
        <v>0.38</v>
      </c>
      <c r="B87" s="18">
        <v>4.5</v>
      </c>
      <c r="C87" s="24">
        <v>0.5</v>
      </c>
    </row>
    <row r="88" spans="1:3" x14ac:dyDescent="0.25">
      <c r="A88" s="18" t="s">
        <v>93</v>
      </c>
      <c r="B88" s="18">
        <v>0</v>
      </c>
      <c r="C88" s="18" t="s">
        <v>24</v>
      </c>
    </row>
    <row r="89" spans="1:3" x14ac:dyDescent="0.25">
      <c r="A89" s="18" t="s">
        <v>103</v>
      </c>
      <c r="B89" s="18">
        <v>0</v>
      </c>
      <c r="C89" s="18" t="s">
        <v>6</v>
      </c>
    </row>
    <row r="90" spans="1:3" x14ac:dyDescent="0.25">
      <c r="A90" s="18" t="s">
        <v>107</v>
      </c>
      <c r="B90" s="18" t="s">
        <v>93</v>
      </c>
      <c r="C90" s="18" t="s">
        <v>88</v>
      </c>
    </row>
    <row r="91" spans="1:3" x14ac:dyDescent="0.25">
      <c r="A91" s="18" t="s">
        <v>153</v>
      </c>
      <c r="B91" s="18" t="s">
        <v>106</v>
      </c>
      <c r="C91" s="18" t="s">
        <v>89</v>
      </c>
    </row>
    <row r="92" spans="1:3" x14ac:dyDescent="0.25">
      <c r="A92" s="18">
        <v>11.18</v>
      </c>
      <c r="B92" s="18">
        <v>0.19</v>
      </c>
      <c r="C92" s="18">
        <v>2</v>
      </c>
    </row>
    <row r="93" spans="1:3" x14ac:dyDescent="0.25">
      <c r="A93" s="18">
        <v>-1</v>
      </c>
      <c r="B93" s="18">
        <v>1</v>
      </c>
      <c r="C93" s="18">
        <v>-1</v>
      </c>
    </row>
    <row r="94" spans="1:3" x14ac:dyDescent="0.25">
      <c r="A94" s="18">
        <v>1</v>
      </c>
      <c r="B94" s="18">
        <v>4.5</v>
      </c>
      <c r="C94" s="18">
        <v>1</v>
      </c>
    </row>
    <row r="95" spans="1:3" x14ac:dyDescent="0.25">
      <c r="A95" s="18">
        <v>29.2</v>
      </c>
      <c r="B95" s="18">
        <v>0</v>
      </c>
      <c r="C95" s="18">
        <v>24.9</v>
      </c>
    </row>
    <row r="96" spans="1:3" x14ac:dyDescent="0.25">
      <c r="A96" s="18">
        <v>3.9</v>
      </c>
      <c r="B96" s="18">
        <v>1</v>
      </c>
      <c r="C96" s="18">
        <v>3.7</v>
      </c>
    </row>
    <row r="97" spans="1:3" x14ac:dyDescent="0.25">
      <c r="A97" s="18" t="s">
        <v>108</v>
      </c>
      <c r="B97" s="18" t="s">
        <v>93</v>
      </c>
      <c r="C97" s="18" t="s">
        <v>9</v>
      </c>
    </row>
    <row r="98" spans="1:3" x14ac:dyDescent="0.25">
      <c r="A98" s="18" t="s">
        <v>104</v>
      </c>
      <c r="B98" s="18" t="s">
        <v>168</v>
      </c>
      <c r="C98" s="18" t="s">
        <v>12</v>
      </c>
    </row>
    <row r="99" spans="1:3" x14ac:dyDescent="0.25">
      <c r="A99" s="18">
        <v>0.19</v>
      </c>
      <c r="B99" s="18">
        <v>0.19</v>
      </c>
      <c r="C99" s="18">
        <v>0.1</v>
      </c>
    </row>
    <row r="100" spans="1:3" x14ac:dyDescent="0.25">
      <c r="A100" s="18">
        <v>2</v>
      </c>
      <c r="B100" s="18">
        <v>1</v>
      </c>
      <c r="C100" s="18">
        <v>3</v>
      </c>
    </row>
    <row r="101" spans="1:3" x14ac:dyDescent="0.25">
      <c r="A101" s="18">
        <v>0.08</v>
      </c>
      <c r="B101" s="18">
        <v>8.2958059795569792</v>
      </c>
      <c r="C101" s="18">
        <v>0.1</v>
      </c>
    </row>
    <row r="102" spans="1:3" x14ac:dyDescent="0.25">
      <c r="A102" s="18" t="s">
        <v>97</v>
      </c>
      <c r="B102" s="18">
        <v>0.95</v>
      </c>
      <c r="C102" s="18" t="s">
        <v>14</v>
      </c>
    </row>
    <row r="103" spans="1:3" x14ac:dyDescent="0.25">
      <c r="A103" s="18">
        <v>0.19</v>
      </c>
      <c r="B103" s="18">
        <v>2.7</v>
      </c>
      <c r="C103" s="18">
        <v>0.1</v>
      </c>
    </row>
    <row r="104" spans="1:3" x14ac:dyDescent="0.25">
      <c r="A104" s="18">
        <v>0.08</v>
      </c>
      <c r="B104" s="18">
        <v>0</v>
      </c>
      <c r="C104" s="18">
        <v>0.1</v>
      </c>
    </row>
    <row r="105" spans="1:3" x14ac:dyDescent="0.25">
      <c r="A105" s="18">
        <v>0</v>
      </c>
      <c r="B105" s="18" t="s">
        <v>107</v>
      </c>
      <c r="C105" s="18">
        <v>0</v>
      </c>
    </row>
    <row r="106" spans="1:3" x14ac:dyDescent="0.25">
      <c r="A106" s="18">
        <v>0</v>
      </c>
      <c r="B106" s="18" t="s">
        <v>156</v>
      </c>
      <c r="C106" s="18">
        <v>0</v>
      </c>
    </row>
    <row r="107" spans="1:3" x14ac:dyDescent="0.25">
      <c r="A107" s="18" t="s">
        <v>109</v>
      </c>
      <c r="B107" s="18" t="s">
        <v>103</v>
      </c>
      <c r="C107" s="18" t="s">
        <v>90</v>
      </c>
    </row>
    <row r="108" spans="1:3" x14ac:dyDescent="0.25">
      <c r="A108" s="18" t="s">
        <v>99</v>
      </c>
      <c r="B108" s="18" t="s">
        <v>107</v>
      </c>
      <c r="C108" s="18" t="s">
        <v>19</v>
      </c>
    </row>
    <row r="109" spans="1:3" x14ac:dyDescent="0.25">
      <c r="A109" s="18">
        <v>0.19</v>
      </c>
      <c r="B109" s="18" t="s">
        <v>153</v>
      </c>
      <c r="C109" s="18">
        <v>0.1</v>
      </c>
    </row>
    <row r="110" spans="1:3" x14ac:dyDescent="0.25">
      <c r="A110" s="18">
        <v>1.3959999999999999</v>
      </c>
      <c r="B110" s="18">
        <v>11.18</v>
      </c>
      <c r="C110" s="18">
        <v>3</v>
      </c>
    </row>
    <row r="111" spans="1:3" x14ac:dyDescent="0.25">
      <c r="A111" s="18">
        <v>1</v>
      </c>
      <c r="B111" s="18">
        <v>-1</v>
      </c>
      <c r="C111" s="18">
        <v>1</v>
      </c>
    </row>
    <row r="112" spans="1:3" x14ac:dyDescent="0.25">
      <c r="A112" s="18">
        <v>0.08</v>
      </c>
      <c r="B112" s="18">
        <v>1</v>
      </c>
      <c r="C112" s="18">
        <v>0.1</v>
      </c>
    </row>
    <row r="113" spans="1:3" x14ac:dyDescent="0.25">
      <c r="A113" s="18">
        <v>1</v>
      </c>
      <c r="B113" s="18">
        <v>29.2</v>
      </c>
      <c r="C113" s="18">
        <v>1</v>
      </c>
    </row>
    <row r="114" spans="1:3" x14ac:dyDescent="0.25">
      <c r="A114" s="18" t="s">
        <v>100</v>
      </c>
      <c r="B114" s="18">
        <v>3.9</v>
      </c>
      <c r="C114" s="18" t="s">
        <v>23</v>
      </c>
    </row>
    <row r="115" spans="1:3" x14ac:dyDescent="0.25">
      <c r="A115" s="18">
        <v>0.19</v>
      </c>
      <c r="B115" s="18" t="s">
        <v>108</v>
      </c>
      <c r="C115" s="18">
        <v>0.1</v>
      </c>
    </row>
    <row r="116" spans="1:3" x14ac:dyDescent="0.25">
      <c r="A116" s="18">
        <v>0.38</v>
      </c>
      <c r="B116" s="18" t="s">
        <v>104</v>
      </c>
      <c r="C116" s="18">
        <v>0.5</v>
      </c>
    </row>
    <row r="117" spans="1:3" x14ac:dyDescent="0.25">
      <c r="A117" s="18">
        <v>0.08</v>
      </c>
      <c r="B117" s="18">
        <v>0.19</v>
      </c>
      <c r="C117" s="18">
        <v>0.1</v>
      </c>
    </row>
    <row r="118" spans="1:3" x14ac:dyDescent="0.25">
      <c r="A118" s="18">
        <v>2.7</v>
      </c>
      <c r="B118" s="18">
        <v>2</v>
      </c>
      <c r="C118" s="18">
        <v>1</v>
      </c>
    </row>
    <row r="119" spans="1:3" x14ac:dyDescent="0.25">
      <c r="A119" s="18">
        <v>0</v>
      </c>
      <c r="B119" s="18">
        <v>0.08</v>
      </c>
      <c r="C119" s="18">
        <v>0</v>
      </c>
    </row>
    <row r="120" spans="1:3" x14ac:dyDescent="0.25">
      <c r="A120" s="18">
        <v>0</v>
      </c>
      <c r="B120" s="18" t="s">
        <v>97</v>
      </c>
      <c r="C120" s="18">
        <v>0</v>
      </c>
    </row>
    <row r="121" spans="1:3" x14ac:dyDescent="0.25">
      <c r="A121" s="18" t="s">
        <v>109</v>
      </c>
      <c r="B121" s="18">
        <v>0.19</v>
      </c>
      <c r="C121" s="18" t="s">
        <v>90</v>
      </c>
    </row>
    <row r="122" spans="1:3" x14ac:dyDescent="0.25">
      <c r="A122" s="18" t="s">
        <v>106</v>
      </c>
      <c r="B122" s="18">
        <v>0.08</v>
      </c>
      <c r="C122" s="18" t="s">
        <v>36</v>
      </c>
    </row>
    <row r="123" spans="1:3" x14ac:dyDescent="0.25">
      <c r="A123" s="18">
        <v>0.19</v>
      </c>
      <c r="B123" s="18">
        <v>0</v>
      </c>
      <c r="C123" s="18">
        <v>0.1</v>
      </c>
    </row>
    <row r="124" spans="1:3" x14ac:dyDescent="0.25">
      <c r="A124" s="18">
        <v>1</v>
      </c>
      <c r="B124" s="18">
        <v>0</v>
      </c>
      <c r="C124" s="18">
        <v>1</v>
      </c>
    </row>
    <row r="125" spans="1:3" x14ac:dyDescent="0.25">
      <c r="A125" s="18">
        <v>2.7</v>
      </c>
      <c r="B125" s="18" t="s">
        <v>109</v>
      </c>
      <c r="C125" s="18">
        <v>1</v>
      </c>
    </row>
    <row r="126" spans="1:3" x14ac:dyDescent="0.25">
      <c r="A126" s="18">
        <v>0</v>
      </c>
      <c r="B126" s="18" t="s">
        <v>99</v>
      </c>
      <c r="C126" s="18">
        <v>0.8</v>
      </c>
    </row>
    <row r="127" spans="1:3" x14ac:dyDescent="0.25">
      <c r="A127" s="18">
        <v>0.38</v>
      </c>
      <c r="B127" s="18">
        <v>0.19</v>
      </c>
      <c r="C127" s="18">
        <v>0.5</v>
      </c>
    </row>
    <row r="128" spans="1:3" x14ac:dyDescent="0.25">
      <c r="A128" s="18" t="s">
        <v>109</v>
      </c>
      <c r="B128" s="18">
        <v>1.3959999999999999</v>
      </c>
      <c r="C128" s="18" t="s">
        <v>90</v>
      </c>
    </row>
    <row r="129" spans="1:3" x14ac:dyDescent="0.25">
      <c r="A129" s="18" t="s">
        <v>103</v>
      </c>
      <c r="B129" s="18">
        <v>1</v>
      </c>
      <c r="C129" s="18" t="s">
        <v>6</v>
      </c>
    </row>
    <row r="130" spans="1:3" x14ac:dyDescent="0.25">
      <c r="A130" s="18" t="s">
        <v>109</v>
      </c>
      <c r="B130" s="18">
        <v>0.08</v>
      </c>
      <c r="C130" s="18" t="s">
        <v>91</v>
      </c>
    </row>
    <row r="131" spans="1:3" x14ac:dyDescent="0.25">
      <c r="A131" s="18" t="s">
        <v>153</v>
      </c>
      <c r="B131" s="18">
        <v>1</v>
      </c>
      <c r="C131" s="18" t="s">
        <v>89</v>
      </c>
    </row>
    <row r="132" spans="1:3" x14ac:dyDescent="0.25">
      <c r="A132" s="18">
        <v>11.18</v>
      </c>
      <c r="B132" s="18" t="s">
        <v>100</v>
      </c>
      <c r="C132" s="18">
        <v>2</v>
      </c>
    </row>
    <row r="133" spans="1:3" x14ac:dyDescent="0.25">
      <c r="A133" s="18">
        <v>-1</v>
      </c>
      <c r="B133" s="18">
        <v>0.19</v>
      </c>
      <c r="C133" s="18">
        <v>-1</v>
      </c>
    </row>
    <row r="134" spans="1:3" x14ac:dyDescent="0.25">
      <c r="A134" s="18">
        <v>1</v>
      </c>
      <c r="B134" s="18">
        <v>0.38</v>
      </c>
      <c r="C134" s="18">
        <v>1</v>
      </c>
    </row>
    <row r="135" spans="1:3" x14ac:dyDescent="0.25">
      <c r="A135" s="18">
        <v>29.2</v>
      </c>
      <c r="B135" s="18">
        <v>0.08</v>
      </c>
      <c r="C135" s="18">
        <v>24.9</v>
      </c>
    </row>
    <row r="136" spans="1:3" x14ac:dyDescent="0.25">
      <c r="A136" s="18">
        <v>3.9</v>
      </c>
      <c r="B136" s="18">
        <v>2.7</v>
      </c>
      <c r="C136" s="18">
        <v>3.7</v>
      </c>
    </row>
    <row r="137" spans="1:3" x14ac:dyDescent="0.25">
      <c r="A137" s="18" t="s">
        <v>108</v>
      </c>
      <c r="B137" s="18">
        <v>0</v>
      </c>
      <c r="C137" s="18" t="s">
        <v>9</v>
      </c>
    </row>
    <row r="138" spans="1:3" x14ac:dyDescent="0.25">
      <c r="A138" s="18" t="s">
        <v>104</v>
      </c>
      <c r="B138" s="18">
        <v>0</v>
      </c>
      <c r="C138" s="18" t="s">
        <v>12</v>
      </c>
    </row>
    <row r="139" spans="1:3" x14ac:dyDescent="0.25">
      <c r="A139" s="18">
        <v>0.19</v>
      </c>
      <c r="B139" s="18" t="s">
        <v>109</v>
      </c>
      <c r="C139" s="18">
        <v>0.1</v>
      </c>
    </row>
    <row r="140" spans="1:3" x14ac:dyDescent="0.25">
      <c r="A140" s="18">
        <v>2</v>
      </c>
      <c r="B140" s="18" t="s">
        <v>106</v>
      </c>
      <c r="C140" s="18">
        <v>3</v>
      </c>
    </row>
    <row r="141" spans="1:3" x14ac:dyDescent="0.25">
      <c r="A141" s="18">
        <v>0.08</v>
      </c>
      <c r="B141" s="18">
        <v>0.19</v>
      </c>
      <c r="C141" s="18">
        <v>0.1</v>
      </c>
    </row>
    <row r="142" spans="1:3" x14ac:dyDescent="0.25">
      <c r="A142" s="18" t="s">
        <v>97</v>
      </c>
      <c r="B142" s="18">
        <v>1</v>
      </c>
      <c r="C142" s="18" t="s">
        <v>14</v>
      </c>
    </row>
    <row r="143" spans="1:3" x14ac:dyDescent="0.25">
      <c r="A143" s="18">
        <v>0.19</v>
      </c>
      <c r="B143" s="18">
        <v>2.7</v>
      </c>
      <c r="C143" s="18">
        <v>0.1</v>
      </c>
    </row>
    <row r="144" spans="1:3" x14ac:dyDescent="0.25">
      <c r="A144" s="18">
        <v>0.08</v>
      </c>
      <c r="B144" s="18">
        <v>0</v>
      </c>
      <c r="C144" s="18">
        <v>0.1</v>
      </c>
    </row>
    <row r="145" spans="1:3" x14ac:dyDescent="0.25">
      <c r="A145" s="18">
        <v>0</v>
      </c>
      <c r="B145" s="18">
        <v>0.38</v>
      </c>
      <c r="C145" s="18">
        <v>0</v>
      </c>
    </row>
    <row r="146" spans="1:3" x14ac:dyDescent="0.25">
      <c r="A146" s="18">
        <v>0</v>
      </c>
      <c r="B146" s="18" t="s">
        <v>109</v>
      </c>
      <c r="C146" s="18">
        <v>0</v>
      </c>
    </row>
    <row r="147" spans="1:3" x14ac:dyDescent="0.25">
      <c r="A147" s="18" t="s">
        <v>107</v>
      </c>
      <c r="B147" s="18" t="s">
        <v>154</v>
      </c>
      <c r="C147" s="18" t="s">
        <v>92</v>
      </c>
    </row>
    <row r="148" spans="1:3" x14ac:dyDescent="0.25">
      <c r="A148" s="18" t="s">
        <v>99</v>
      </c>
      <c r="B148" s="18">
        <v>0.19</v>
      </c>
      <c r="C148" s="18" t="s">
        <v>19</v>
      </c>
    </row>
    <row r="149" spans="1:3" x14ac:dyDescent="0.25">
      <c r="A149" s="18">
        <v>0.19</v>
      </c>
      <c r="B149" s="18">
        <v>4.5</v>
      </c>
      <c r="C149" s="18">
        <v>0.1</v>
      </c>
    </row>
    <row r="150" spans="1:3" x14ac:dyDescent="0.25">
      <c r="A150" s="18">
        <v>0</v>
      </c>
      <c r="B150" s="18">
        <v>8.2958059795569792</v>
      </c>
      <c r="C150" s="18">
        <v>3</v>
      </c>
    </row>
    <row r="151" spans="1:3" x14ac:dyDescent="0.25">
      <c r="A151" s="18">
        <v>1</v>
      </c>
      <c r="B151" s="18">
        <v>0.95</v>
      </c>
      <c r="C151" s="18">
        <v>1</v>
      </c>
    </row>
    <row r="152" spans="1:3" x14ac:dyDescent="0.25">
      <c r="A152" s="18">
        <v>0.08</v>
      </c>
      <c r="B152" s="18">
        <v>0.237617135207497</v>
      </c>
      <c r="C152" s="18">
        <v>0.1</v>
      </c>
    </row>
    <row r="153" spans="1:3" x14ac:dyDescent="0.25">
      <c r="A153" s="18">
        <v>1</v>
      </c>
      <c r="B153" s="18" t="s">
        <v>155</v>
      </c>
      <c r="C153" s="18">
        <v>1</v>
      </c>
    </row>
    <row r="154" spans="1:3" x14ac:dyDescent="0.25">
      <c r="A154" s="18" t="s">
        <v>105</v>
      </c>
      <c r="B154" s="18" t="s">
        <v>156</v>
      </c>
      <c r="C154" s="18" t="s">
        <v>23</v>
      </c>
    </row>
    <row r="155" spans="1:3" x14ac:dyDescent="0.25">
      <c r="A155" s="18">
        <v>0.19</v>
      </c>
      <c r="B155" s="18" t="s">
        <v>103</v>
      </c>
      <c r="C155" s="18">
        <v>0.1</v>
      </c>
    </row>
    <row r="156" spans="1:3" x14ac:dyDescent="0.25">
      <c r="A156" s="18">
        <v>0.38</v>
      </c>
      <c r="B156" s="18" t="s">
        <v>109</v>
      </c>
      <c r="C156" s="18">
        <v>0.5</v>
      </c>
    </row>
    <row r="157" spans="1:3" x14ac:dyDescent="0.25">
      <c r="A157" s="18">
        <v>0.08</v>
      </c>
      <c r="B157" s="18" t="s">
        <v>153</v>
      </c>
      <c r="C157" s="18">
        <v>0.1</v>
      </c>
    </row>
    <row r="158" spans="1:3" x14ac:dyDescent="0.25">
      <c r="A158" s="18">
        <v>2.7</v>
      </c>
      <c r="B158" s="18">
        <v>11.18</v>
      </c>
      <c r="C158" s="18">
        <v>1</v>
      </c>
    </row>
    <row r="159" spans="1:3" x14ac:dyDescent="0.25">
      <c r="A159" s="18">
        <v>0</v>
      </c>
      <c r="B159" s="18">
        <v>-1</v>
      </c>
      <c r="C159" s="18">
        <v>0</v>
      </c>
    </row>
    <row r="160" spans="1:3" x14ac:dyDescent="0.25">
      <c r="A160" s="18">
        <v>0</v>
      </c>
      <c r="B160" s="18">
        <v>1</v>
      </c>
      <c r="C160" s="18">
        <v>0</v>
      </c>
    </row>
    <row r="161" spans="1:3" x14ac:dyDescent="0.25">
      <c r="A161" s="18" t="s">
        <v>107</v>
      </c>
      <c r="B161" s="18">
        <v>29.2</v>
      </c>
      <c r="C161" s="18" t="s">
        <v>92</v>
      </c>
    </row>
    <row r="162" spans="1:3" x14ac:dyDescent="0.25">
      <c r="A162" s="18" t="s">
        <v>102</v>
      </c>
      <c r="B162" s="18">
        <v>3.9</v>
      </c>
      <c r="C162" s="18" t="s">
        <v>31</v>
      </c>
    </row>
    <row r="163" spans="1:3" x14ac:dyDescent="0.25">
      <c r="A163" s="18">
        <v>0.19</v>
      </c>
      <c r="B163" s="18" t="s">
        <v>108</v>
      </c>
      <c r="C163" s="18">
        <v>0.1</v>
      </c>
    </row>
    <row r="164" spans="1:3" x14ac:dyDescent="0.25">
      <c r="A164" s="18">
        <v>1</v>
      </c>
      <c r="B164" s="18" t="s">
        <v>104</v>
      </c>
      <c r="C164" s="18">
        <v>1</v>
      </c>
    </row>
    <row r="165" spans="1:3" x14ac:dyDescent="0.25">
      <c r="A165" s="18">
        <v>2.7</v>
      </c>
      <c r="B165" s="18">
        <v>0.19</v>
      </c>
      <c r="C165" s="18">
        <v>1</v>
      </c>
    </row>
    <row r="166" spans="1:3" x14ac:dyDescent="0.25">
      <c r="A166" s="18">
        <v>0</v>
      </c>
      <c r="B166" s="18">
        <v>2</v>
      </c>
      <c r="C166" s="18">
        <v>0.8</v>
      </c>
    </row>
    <row r="167" spans="1:3" x14ac:dyDescent="0.25">
      <c r="A167" s="18">
        <v>0.38</v>
      </c>
      <c r="B167" s="18">
        <v>0.08</v>
      </c>
      <c r="C167" s="18">
        <v>0.5</v>
      </c>
    </row>
    <row r="168" spans="1:3" x14ac:dyDescent="0.25">
      <c r="A168" s="18" t="s">
        <v>107</v>
      </c>
      <c r="B168" s="18" t="s">
        <v>97</v>
      </c>
      <c r="C168" s="18" t="s">
        <v>92</v>
      </c>
    </row>
    <row r="169" spans="1:3" x14ac:dyDescent="0.25">
      <c r="A169" s="18" t="s">
        <v>103</v>
      </c>
      <c r="B169" s="18">
        <v>0.19</v>
      </c>
      <c r="C169" s="18" t="s">
        <v>6</v>
      </c>
    </row>
    <row r="170" spans="1:3" x14ac:dyDescent="0.25">
      <c r="A170" s="18" t="s">
        <v>103</v>
      </c>
      <c r="B170" s="18">
        <v>0.08</v>
      </c>
      <c r="C170" s="18" t="s">
        <v>6</v>
      </c>
    </row>
    <row r="171" spans="1:3" x14ac:dyDescent="0.25">
      <c r="A171" s="18">
        <v>7.0999999999999994E-2</v>
      </c>
      <c r="B171" s="18">
        <v>0</v>
      </c>
      <c r="C171" s="18">
        <v>0.1002</v>
      </c>
    </row>
    <row r="172" spans="1:3" x14ac:dyDescent="0.25">
      <c r="A172" s="18">
        <v>0.38</v>
      </c>
      <c r="B172" s="18">
        <v>0</v>
      </c>
      <c r="C172" s="18">
        <v>1</v>
      </c>
    </row>
    <row r="173" spans="1:3" x14ac:dyDescent="0.25">
      <c r="A173" s="18">
        <v>1.9300000000000001E-2</v>
      </c>
      <c r="B173" s="18" t="s">
        <v>107</v>
      </c>
      <c r="C173" s="18">
        <v>0.05</v>
      </c>
    </row>
    <row r="174" spans="1:3" x14ac:dyDescent="0.25">
      <c r="A174" s="18">
        <v>0.95</v>
      </c>
      <c r="B174" s="18" t="s">
        <v>99</v>
      </c>
      <c r="C174" s="18">
        <v>0.1</v>
      </c>
    </row>
    <row r="175" spans="1:3" x14ac:dyDescent="0.25">
      <c r="A175" s="18">
        <v>1.2200000000000001E-2</v>
      </c>
      <c r="B175" s="18">
        <v>0.19</v>
      </c>
      <c r="C175" s="18">
        <v>0.05</v>
      </c>
    </row>
    <row r="176" spans="1:3" x14ac:dyDescent="0.25">
      <c r="A176" s="18">
        <v>0.38</v>
      </c>
      <c r="B176" s="18">
        <v>1.3959999999999999</v>
      </c>
      <c r="C176" s="18">
        <v>0.1</v>
      </c>
    </row>
    <row r="177" spans="1:3" x14ac:dyDescent="0.25">
      <c r="A177" s="18">
        <v>1.2200000000000001E-2</v>
      </c>
      <c r="B177" s="18">
        <v>1</v>
      </c>
      <c r="C177" s="18">
        <v>0.05</v>
      </c>
    </row>
    <row r="178" spans="1:3" x14ac:dyDescent="0.25">
      <c r="A178" s="18">
        <v>2.3199999999999998</v>
      </c>
      <c r="B178" s="18">
        <v>0.08</v>
      </c>
      <c r="C178" s="18">
        <v>0.1</v>
      </c>
    </row>
    <row r="179" spans="1:3" x14ac:dyDescent="0.25">
      <c r="A179" s="18">
        <v>20</v>
      </c>
      <c r="B179" s="18">
        <v>1</v>
      </c>
      <c r="C179" s="18">
        <v>20</v>
      </c>
    </row>
    <row r="180" spans="1:3" x14ac:dyDescent="0.25">
      <c r="A180" s="18" t="s">
        <v>103</v>
      </c>
      <c r="B180" s="18" t="s">
        <v>105</v>
      </c>
      <c r="C180" s="18" t="s">
        <v>6</v>
      </c>
    </row>
    <row r="181" spans="1:3" x14ac:dyDescent="0.25">
      <c r="A181" s="18" t="s">
        <v>110</v>
      </c>
      <c r="B181" s="18">
        <v>0.19</v>
      </c>
    </row>
    <row r="182" spans="1:3" x14ac:dyDescent="0.25">
      <c r="B182" s="18">
        <v>1</v>
      </c>
    </row>
    <row r="183" spans="1:3" x14ac:dyDescent="0.25">
      <c r="B183" s="18">
        <v>0.08</v>
      </c>
    </row>
    <row r="184" spans="1:3" x14ac:dyDescent="0.25">
      <c r="B184" s="18">
        <v>2.7</v>
      </c>
    </row>
    <row r="185" spans="1:3" x14ac:dyDescent="0.25">
      <c r="B185" s="18">
        <v>0</v>
      </c>
    </row>
    <row r="186" spans="1:3" x14ac:dyDescent="0.25">
      <c r="B186" s="18">
        <v>0</v>
      </c>
    </row>
    <row r="187" spans="1:3" x14ac:dyDescent="0.25">
      <c r="B187" s="18" t="s">
        <v>107</v>
      </c>
    </row>
    <row r="188" spans="1:3" x14ac:dyDescent="0.25">
      <c r="B188" s="18" t="s">
        <v>102</v>
      </c>
    </row>
    <row r="189" spans="1:3" x14ac:dyDescent="0.25">
      <c r="B189" s="18">
        <v>0.19</v>
      </c>
    </row>
    <row r="190" spans="1:3" x14ac:dyDescent="0.25">
      <c r="B190" s="18">
        <v>1</v>
      </c>
    </row>
    <row r="191" spans="1:3" x14ac:dyDescent="0.25">
      <c r="B191" s="18">
        <v>2.7</v>
      </c>
    </row>
    <row r="192" spans="1:3" x14ac:dyDescent="0.25">
      <c r="B192" s="18">
        <v>0</v>
      </c>
    </row>
    <row r="193" spans="2:2" x14ac:dyDescent="0.25">
      <c r="B193" s="18">
        <v>1</v>
      </c>
    </row>
    <row r="194" spans="2:2" x14ac:dyDescent="0.25">
      <c r="B194" s="18" t="s">
        <v>107</v>
      </c>
    </row>
    <row r="195" spans="2:2" x14ac:dyDescent="0.25">
      <c r="B195" s="18" t="s">
        <v>154</v>
      </c>
    </row>
    <row r="196" spans="2:2" x14ac:dyDescent="0.25">
      <c r="B196" s="18">
        <v>0.19</v>
      </c>
    </row>
    <row r="197" spans="2:2" x14ac:dyDescent="0.25">
      <c r="B197" s="18">
        <v>4.5</v>
      </c>
    </row>
    <row r="198" spans="2:2" x14ac:dyDescent="0.25">
      <c r="B198" s="18">
        <v>8.2958059795569792</v>
      </c>
    </row>
    <row r="199" spans="2:2" x14ac:dyDescent="0.25">
      <c r="B199" s="18">
        <v>0.95</v>
      </c>
    </row>
    <row r="200" spans="2:2" x14ac:dyDescent="0.25">
      <c r="B200" s="18">
        <v>0.237617135207497</v>
      </c>
    </row>
    <row r="201" spans="2:2" x14ac:dyDescent="0.25">
      <c r="B201" s="18" t="s">
        <v>93</v>
      </c>
    </row>
    <row r="202" spans="2:2" x14ac:dyDescent="0.25">
      <c r="B202" s="18" t="s">
        <v>156</v>
      </c>
    </row>
    <row r="203" spans="2:2" x14ac:dyDescent="0.25">
      <c r="B203" s="18" t="s">
        <v>103</v>
      </c>
    </row>
    <row r="204" spans="2:2" x14ac:dyDescent="0.25">
      <c r="B204" s="18" t="s">
        <v>103</v>
      </c>
    </row>
    <row r="205" spans="2:2" x14ac:dyDescent="0.25">
      <c r="B205" s="18">
        <v>7.0999999999999994E-2</v>
      </c>
    </row>
    <row r="206" spans="2:2" x14ac:dyDescent="0.25">
      <c r="B206" s="18">
        <v>0.38</v>
      </c>
    </row>
    <row r="207" spans="2:2" x14ac:dyDescent="0.25">
      <c r="B207" s="18">
        <v>1.9300000000000001E-2</v>
      </c>
    </row>
    <row r="208" spans="2:2" x14ac:dyDescent="0.25">
      <c r="B208" s="18">
        <v>0.95</v>
      </c>
    </row>
    <row r="209" spans="2:2" x14ac:dyDescent="0.25">
      <c r="B209" s="18">
        <v>1.2200000000000001E-2</v>
      </c>
    </row>
    <row r="210" spans="2:2" x14ac:dyDescent="0.25">
      <c r="B210" s="18">
        <v>0.38</v>
      </c>
    </row>
    <row r="211" spans="2:2" x14ac:dyDescent="0.25">
      <c r="B211" s="18">
        <v>1.2200000000000001E-2</v>
      </c>
    </row>
    <row r="212" spans="2:2" x14ac:dyDescent="0.25">
      <c r="B212" s="18">
        <v>2.5099999999999998</v>
      </c>
    </row>
    <row r="213" spans="2:2" x14ac:dyDescent="0.25">
      <c r="B213" s="18">
        <v>20</v>
      </c>
    </row>
    <row r="214" spans="2:2" x14ac:dyDescent="0.25">
      <c r="B214" s="18" t="s">
        <v>103</v>
      </c>
    </row>
    <row r="215" spans="2:2" x14ac:dyDescent="0.25">
      <c r="B215" s="18" t="s">
        <v>110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"/>
  <sheetViews>
    <sheetView showGridLines="0" zoomScale="115" zoomScaleNormal="115" workbookViewId="0">
      <selection activeCell="D2" sqref="D2"/>
    </sheetView>
  </sheetViews>
  <sheetFormatPr defaultRowHeight="15" x14ac:dyDescent="0.25"/>
  <cols>
    <col min="1" max="1" width="8.42578125" customWidth="1"/>
    <col min="2" max="2" width="12.140625" customWidth="1"/>
    <col min="3" max="3" width="14.7109375" customWidth="1"/>
    <col min="4" max="4" width="17.85546875" bestFit="1" customWidth="1"/>
    <col min="5" max="6" width="7.7109375" customWidth="1"/>
    <col min="7" max="8" width="14.7109375" customWidth="1"/>
    <col min="9" max="9" width="17.85546875" bestFit="1" customWidth="1"/>
    <col min="10" max="36" width="7.7109375" customWidth="1"/>
  </cols>
  <sheetData>
    <row r="1" spans="1:39" ht="15.75" thickBot="1" x14ac:dyDescent="0.3">
      <c r="A1" s="71" t="s">
        <v>162</v>
      </c>
      <c r="B1" s="30" t="s">
        <v>61</v>
      </c>
      <c r="C1" s="30" t="s">
        <v>62</v>
      </c>
      <c r="D1" s="30" t="s">
        <v>63</v>
      </c>
      <c r="E1" s="30" t="s">
        <v>64</v>
      </c>
      <c r="F1" s="30" t="s">
        <v>70</v>
      </c>
      <c r="G1" s="2" t="s">
        <v>61</v>
      </c>
      <c r="H1" s="30" t="s">
        <v>62</v>
      </c>
      <c r="I1" s="30" t="s">
        <v>119</v>
      </c>
      <c r="J1" s="30" t="s">
        <v>66</v>
      </c>
      <c r="K1" s="30" t="s">
        <v>68</v>
      </c>
      <c r="L1" s="2" t="s">
        <v>65</v>
      </c>
      <c r="M1" s="30" t="s">
        <v>69</v>
      </c>
      <c r="N1" s="2" t="s">
        <v>71</v>
      </c>
      <c r="O1" s="3" t="s">
        <v>0</v>
      </c>
      <c r="P1" s="38" t="s">
        <v>10</v>
      </c>
      <c r="Q1" s="38" t="s">
        <v>11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</row>
    <row r="2" spans="1:39" ht="15.75" thickBot="1" x14ac:dyDescent="0.3">
      <c r="A2" s="72">
        <v>92.06</v>
      </c>
      <c r="B2" s="32" t="s">
        <v>159</v>
      </c>
      <c r="C2" s="32" t="s">
        <v>160</v>
      </c>
      <c r="D2" s="32" t="s">
        <v>87</v>
      </c>
      <c r="E2" s="33">
        <v>7.0999999999999994E-2</v>
      </c>
      <c r="F2" s="33">
        <v>4.5</v>
      </c>
      <c r="G2" s="31" t="s">
        <v>72</v>
      </c>
      <c r="H2" s="32" t="s">
        <v>158</v>
      </c>
      <c r="I2" s="32" t="s">
        <v>56</v>
      </c>
      <c r="J2" s="33">
        <v>0.08</v>
      </c>
      <c r="K2" s="33">
        <v>2.7</v>
      </c>
      <c r="L2" s="31" t="s">
        <v>67</v>
      </c>
      <c r="M2" s="35">
        <v>1.4</v>
      </c>
      <c r="N2" s="34">
        <v>11.18</v>
      </c>
      <c r="O2" s="35">
        <v>-1</v>
      </c>
      <c r="P2" s="29">
        <f>VLOOKUP($L$2,fast!A1:G50,4,FALSE)</f>
        <v>0.19</v>
      </c>
      <c r="Q2" s="40">
        <f>VLOOKUP($L$2,fast!A1:G50,5,FALSE)</f>
        <v>2</v>
      </c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</sheetData>
  <dataConsolidate/>
  <pageMargins left="0.7" right="0.7" top="0.75" bottom="0.75" header="0.3" footer="0.3"/>
  <pageSetup paperSize="9" scale="5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mat!$B$5:$B$9</xm:f>
          </x14:formula1>
          <xm:sqref>I2</xm:sqref>
        </x14:dataValidation>
        <x14:dataValidation type="list" allowBlank="1" showInputMessage="1" showErrorMessage="1">
          <x14:formula1>
            <xm:f>mat!$B$5:$B$9</xm:f>
          </x14:formula1>
          <xm:sqref>D2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B109"/>
  <sheetViews>
    <sheetView showGridLines="0" tabSelected="1" topLeftCell="C39" zoomScale="145" zoomScaleNormal="145" workbookViewId="0">
      <selection activeCell="D51" sqref="D51"/>
    </sheetView>
  </sheetViews>
  <sheetFormatPr defaultRowHeight="15" x14ac:dyDescent="0.25"/>
  <cols>
    <col min="1" max="1" width="7.28515625" style="36" bestFit="1" customWidth="1"/>
    <col min="2" max="2" width="11.85546875" style="7" bestFit="1" customWidth="1"/>
    <col min="3" max="9" width="9.140625" style="7"/>
    <col min="10" max="14" width="6.7109375" style="7" customWidth="1"/>
    <col min="15" max="15" width="6.7109375" style="44" customWidth="1"/>
    <col min="16" max="16" width="8.7109375" style="52" bestFit="1" customWidth="1"/>
    <col min="17" max="28" width="6.7109375" style="7" customWidth="1"/>
    <col min="29" max="43" width="6.7109375" style="51" customWidth="1"/>
    <col min="44" max="65" width="6.7109375" style="7" customWidth="1"/>
    <col min="66" max="16384" width="9.140625" style="7"/>
  </cols>
  <sheetData>
    <row r="1" spans="1:43" s="44" customFormat="1" x14ac:dyDescent="0.25">
      <c r="A1" s="36"/>
      <c r="P1" s="52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</row>
    <row r="2" spans="1:43" s="44" customFormat="1" x14ac:dyDescent="0.25">
      <c r="A2" s="36"/>
      <c r="P2" s="52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</row>
    <row r="3" spans="1:43" s="44" customFormat="1" x14ac:dyDescent="0.25">
      <c r="A3" s="36"/>
      <c r="P3" s="52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</row>
    <row r="4" spans="1:43" s="44" customFormat="1" x14ac:dyDescent="0.25">
      <c r="A4" s="36"/>
      <c r="P4" s="52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</row>
    <row r="5" spans="1:43" s="44" customFormat="1" x14ac:dyDescent="0.25">
      <c r="A5" s="36"/>
      <c r="P5" s="52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</row>
    <row r="6" spans="1:43" s="44" customFormat="1" x14ac:dyDescent="0.25">
      <c r="A6" s="36"/>
      <c r="P6" s="52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</row>
    <row r="7" spans="1:43" s="44" customFormat="1" x14ac:dyDescent="0.25">
      <c r="A7" s="36"/>
      <c r="P7" s="52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</row>
    <row r="8" spans="1:43" s="44" customFormat="1" x14ac:dyDescent="0.25">
      <c r="A8" s="36"/>
      <c r="P8" s="52"/>
      <c r="AC8" s="51"/>
      <c r="AD8" s="51"/>
    </row>
    <row r="9" spans="1:43" s="44" customFormat="1" x14ac:dyDescent="0.25">
      <c r="A9" s="36"/>
      <c r="P9" s="52"/>
      <c r="AC9" s="51"/>
      <c r="AD9" s="51"/>
    </row>
    <row r="10" spans="1:43" s="44" customFormat="1" x14ac:dyDescent="0.25">
      <c r="A10" s="36"/>
      <c r="P10" s="52"/>
      <c r="AC10" s="51"/>
      <c r="AD10" s="51"/>
    </row>
    <row r="11" spans="1:43" s="44" customFormat="1" x14ac:dyDescent="0.25">
      <c r="A11" s="36"/>
      <c r="P11" s="52"/>
      <c r="AC11" s="51"/>
      <c r="AD11" s="51"/>
      <c r="AH11" s="85" t="s">
        <v>145</v>
      </c>
      <c r="AI11" s="85"/>
      <c r="AJ11" s="85"/>
    </row>
    <row r="12" spans="1:43" s="44" customFormat="1" x14ac:dyDescent="0.25">
      <c r="A12" s="36"/>
      <c r="P12" s="52"/>
      <c r="AC12" s="51"/>
      <c r="AD12" s="51"/>
      <c r="AH12" s="20" t="s">
        <v>55</v>
      </c>
      <c r="AI12" s="48">
        <v>6.3E-2</v>
      </c>
      <c r="AJ12" s="5"/>
    </row>
    <row r="13" spans="1:43" s="44" customFormat="1" x14ac:dyDescent="0.25">
      <c r="A13" s="36"/>
      <c r="P13" s="52"/>
      <c r="AC13" s="51"/>
      <c r="AD13" s="51"/>
      <c r="AH13" s="85" t="s">
        <v>56</v>
      </c>
      <c r="AI13" s="85"/>
      <c r="AJ13" s="85"/>
    </row>
    <row r="14" spans="1:43" s="44" customFormat="1" x14ac:dyDescent="0.25">
      <c r="A14" s="36"/>
      <c r="P14" s="52"/>
      <c r="AC14" s="51"/>
      <c r="AD14" s="51"/>
    </row>
    <row r="15" spans="1:43" s="44" customFormat="1" x14ac:dyDescent="0.25">
      <c r="A15" s="36"/>
      <c r="P15" s="52"/>
      <c r="AC15" s="51"/>
      <c r="AD15" s="51"/>
    </row>
    <row r="16" spans="1:43" s="44" customFormat="1" x14ac:dyDescent="0.25">
      <c r="A16" s="36"/>
      <c r="P16" s="52"/>
      <c r="AC16" s="51"/>
      <c r="AD16" s="51"/>
    </row>
    <row r="17" spans="1:42" s="44" customFormat="1" x14ac:dyDescent="0.25">
      <c r="A17" s="36"/>
      <c r="P17" s="52"/>
      <c r="AC17" s="51"/>
      <c r="AD17" s="51"/>
    </row>
    <row r="18" spans="1:42" s="44" customFormat="1" x14ac:dyDescent="0.25">
      <c r="A18" s="36"/>
      <c r="P18" s="52"/>
      <c r="AC18" s="51"/>
      <c r="AD18" s="51"/>
    </row>
    <row r="19" spans="1:42" s="44" customFormat="1" x14ac:dyDescent="0.25">
      <c r="A19" s="36"/>
      <c r="P19" s="52"/>
      <c r="AC19" s="51"/>
      <c r="AD19" s="51"/>
    </row>
    <row r="20" spans="1:42" s="44" customFormat="1" x14ac:dyDescent="0.25">
      <c r="A20" s="36"/>
      <c r="P20" s="52"/>
      <c r="AC20" s="51"/>
      <c r="AD20" s="51"/>
    </row>
    <row r="21" spans="1:42" s="44" customFormat="1" x14ac:dyDescent="0.25">
      <c r="A21" s="36"/>
      <c r="P21" s="52"/>
      <c r="AC21" s="51"/>
      <c r="AD21" s="51"/>
    </row>
    <row r="22" spans="1:42" s="44" customFormat="1" x14ac:dyDescent="0.25">
      <c r="A22" s="36"/>
      <c r="P22" s="52"/>
      <c r="AC22" s="51"/>
      <c r="AD22" s="51"/>
    </row>
    <row r="23" spans="1:42" s="44" customFormat="1" x14ac:dyDescent="0.25">
      <c r="A23" s="36"/>
      <c r="P23" s="52"/>
      <c r="AC23" s="51"/>
      <c r="AD23" s="51"/>
      <c r="AH23" s="48">
        <v>0.38</v>
      </c>
    </row>
    <row r="24" spans="1:42" s="44" customFormat="1" x14ac:dyDescent="0.25">
      <c r="A24" s="36"/>
      <c r="P24" s="52"/>
      <c r="AC24" s="51"/>
      <c r="AD24" s="51"/>
      <c r="AO24" s="22" t="s">
        <v>58</v>
      </c>
      <c r="AP24" s="7"/>
    </row>
    <row r="25" spans="1:42" s="44" customFormat="1" x14ac:dyDescent="0.25">
      <c r="A25" s="36"/>
      <c r="P25" s="52"/>
      <c r="AC25" s="51"/>
      <c r="AD25" s="51"/>
      <c r="AO25" s="22" t="s">
        <v>59</v>
      </c>
      <c r="AP25" s="7"/>
    </row>
    <row r="26" spans="1:42" s="44" customFormat="1" x14ac:dyDescent="0.25">
      <c r="A26" s="36"/>
      <c r="P26" s="52"/>
      <c r="AC26" s="51"/>
      <c r="AD26" s="51"/>
    </row>
    <row r="27" spans="1:42" s="44" customFormat="1" x14ac:dyDescent="0.25">
      <c r="A27" s="36"/>
      <c r="P27" s="52"/>
      <c r="AC27" s="51"/>
      <c r="AD27" s="51"/>
    </row>
    <row r="28" spans="1:42" s="44" customFormat="1" x14ac:dyDescent="0.25">
      <c r="A28" s="36"/>
      <c r="P28" s="52"/>
      <c r="AC28" s="51"/>
      <c r="AD28" s="51"/>
      <c r="AM28" s="87">
        <f>D*2</f>
        <v>0.38</v>
      </c>
      <c r="AN28" s="87"/>
    </row>
    <row r="29" spans="1:42" s="44" customFormat="1" x14ac:dyDescent="0.25">
      <c r="A29" s="36"/>
      <c r="P29" s="52"/>
      <c r="AC29" s="51"/>
      <c r="AD29" s="51"/>
    </row>
    <row r="30" spans="1:42" s="44" customFormat="1" x14ac:dyDescent="0.25">
      <c r="A30" s="36"/>
      <c r="P30" s="52"/>
      <c r="AC30" s="51"/>
      <c r="AD30" s="51"/>
      <c r="AH30" s="48">
        <v>1</v>
      </c>
    </row>
    <row r="31" spans="1:42" s="44" customFormat="1" x14ac:dyDescent="0.25">
      <c r="A31" s="36"/>
      <c r="P31" s="52"/>
      <c r="AC31" s="51"/>
      <c r="AD31" s="51"/>
    </row>
    <row r="32" spans="1:42" s="44" customFormat="1" x14ac:dyDescent="0.25">
      <c r="A32" s="36"/>
      <c r="P32" s="52"/>
      <c r="AC32" s="51"/>
      <c r="AD32" s="51"/>
    </row>
    <row r="33" spans="1:54" s="44" customFormat="1" x14ac:dyDescent="0.25">
      <c r="A33" s="36"/>
      <c r="P33" s="52"/>
      <c r="AC33" s="51"/>
      <c r="AD33" s="51"/>
      <c r="AN33" s="86" t="s">
        <v>60</v>
      </c>
      <c r="AO33" s="86"/>
      <c r="AP33" s="86"/>
      <c r="AQ33" s="86"/>
    </row>
    <row r="34" spans="1:54" s="44" customFormat="1" x14ac:dyDescent="0.25">
      <c r="A34" s="36"/>
      <c r="P34" s="52"/>
      <c r="AC34" s="51"/>
      <c r="AD34" s="51"/>
      <c r="AN34" s="86" t="s">
        <v>157</v>
      </c>
      <c r="AO34" s="86"/>
      <c r="AP34" s="86"/>
      <c r="AQ34" s="21"/>
    </row>
    <row r="35" spans="1:54" s="44" customFormat="1" x14ac:dyDescent="0.25">
      <c r="A35" s="36"/>
      <c r="P35" s="52"/>
      <c r="AC35" s="51"/>
      <c r="AD35" s="51"/>
      <c r="AN35" s="20" t="s">
        <v>55</v>
      </c>
      <c r="AO35" s="48">
        <f>dtanal!J2</f>
        <v>0.08</v>
      </c>
      <c r="AQ35" s="21"/>
    </row>
    <row r="36" spans="1:54" s="44" customFormat="1" x14ac:dyDescent="0.25">
      <c r="A36" s="36"/>
      <c r="P36" s="52"/>
      <c r="AC36" s="51"/>
      <c r="AD36" s="51"/>
      <c r="AN36" s="86" t="e">
        <f>dtanal!#REF!</f>
        <v>#REF!</v>
      </c>
      <c r="AO36" s="86"/>
      <c r="AP36" s="86"/>
    </row>
    <row r="37" spans="1:54" s="44" customFormat="1" x14ac:dyDescent="0.25">
      <c r="A37" s="36"/>
      <c r="P37" s="52"/>
      <c r="AC37" s="51"/>
      <c r="AD37" s="51"/>
      <c r="AN37" s="86"/>
      <c r="AO37" s="86"/>
      <c r="AP37" s="86"/>
    </row>
    <row r="38" spans="1:54" s="44" customFormat="1" x14ac:dyDescent="0.25">
      <c r="A38" s="36"/>
      <c r="P38" s="52"/>
      <c r="AC38" s="51"/>
      <c r="AD38" s="51"/>
    </row>
    <row r="39" spans="1:54" s="44" customFormat="1" x14ac:dyDescent="0.25">
      <c r="A39" s="36"/>
      <c r="P39" s="52"/>
      <c r="AC39" s="51"/>
      <c r="AD39" s="51"/>
    </row>
    <row r="40" spans="1:54" s="44" customFormat="1" x14ac:dyDescent="0.25">
      <c r="A40" s="36"/>
      <c r="P40" s="52"/>
      <c r="AC40" s="51"/>
      <c r="AD40" s="51"/>
    </row>
    <row r="41" spans="1:54" s="44" customFormat="1" x14ac:dyDescent="0.25">
      <c r="A41" s="36"/>
      <c r="P41" s="52"/>
      <c r="AC41" s="51"/>
      <c r="AD41" s="51"/>
      <c r="AF41" s="85" t="s">
        <v>161</v>
      </c>
      <c r="AG41" s="85"/>
      <c r="AH41" s="85"/>
      <c r="AL41" s="85" t="s">
        <v>160</v>
      </c>
      <c r="AM41" s="85"/>
      <c r="AN41" s="85"/>
    </row>
    <row r="42" spans="1:54" s="44" customFormat="1" x14ac:dyDescent="0.25">
      <c r="A42" s="36"/>
      <c r="P42" s="52"/>
      <c r="AC42" s="51"/>
      <c r="AD42" s="51"/>
      <c r="AF42" s="20" t="s">
        <v>55</v>
      </c>
      <c r="AG42" s="48">
        <v>0.08</v>
      </c>
      <c r="AH42" s="5"/>
      <c r="AL42" s="20" t="s">
        <v>55</v>
      </c>
      <c r="AM42" s="48">
        <f>dtanal!E2</f>
        <v>7.0999999999999994E-2</v>
      </c>
      <c r="AN42" s="5"/>
    </row>
    <row r="43" spans="1:54" s="44" customFormat="1" x14ac:dyDescent="0.25">
      <c r="A43" s="36"/>
      <c r="P43" s="52"/>
      <c r="AC43" s="51"/>
      <c r="AD43" s="51"/>
      <c r="AF43" s="88" t="s">
        <v>87</v>
      </c>
      <c r="AG43" s="85"/>
      <c r="AH43" s="85"/>
      <c r="AL43" s="85" t="str">
        <f>dtanal!$I$2</f>
        <v>2024-T3 Clad Sheet</v>
      </c>
      <c r="AM43" s="85"/>
      <c r="AN43" s="85"/>
    </row>
    <row r="44" spans="1:54" s="44" customFormat="1" x14ac:dyDescent="0.25">
      <c r="A44" s="36"/>
      <c r="P44" s="52"/>
      <c r="AC44" s="51"/>
      <c r="AD44" s="51"/>
    </row>
    <row r="45" spans="1:54" s="44" customFormat="1" x14ac:dyDescent="0.25">
      <c r="A45" s="36"/>
      <c r="P45" s="52"/>
      <c r="AC45" s="51"/>
      <c r="AD45" s="51"/>
      <c r="AT45"/>
      <c r="AU45"/>
      <c r="AV45"/>
      <c r="AW45"/>
      <c r="AX45"/>
      <c r="AY45"/>
      <c r="AZ45"/>
      <c r="BA45"/>
      <c r="BB45"/>
    </row>
    <row r="46" spans="1:54" s="44" customFormat="1" x14ac:dyDescent="0.25">
      <c r="A46" s="36"/>
      <c r="P46" s="52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T46" s="22"/>
      <c r="AU46" s="22"/>
      <c r="AV46"/>
      <c r="AW46"/>
      <c r="AX46"/>
      <c r="AY46"/>
      <c r="AZ46"/>
      <c r="BA46"/>
      <c r="BB46"/>
    </row>
    <row r="47" spans="1:54" s="44" customFormat="1" x14ac:dyDescent="0.25">
      <c r="A47" s="36"/>
      <c r="P47" s="52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T47" s="21"/>
      <c r="AU47" s="5"/>
      <c r="AY47"/>
      <c r="AZ47"/>
      <c r="BA47"/>
      <c r="BB47"/>
    </row>
    <row r="48" spans="1:54" s="44" customFormat="1" x14ac:dyDescent="0.25">
      <c r="A48" s="36"/>
      <c r="P48" s="52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T48" s="22"/>
      <c r="AU48" s="22"/>
      <c r="AY48"/>
      <c r="AZ48"/>
      <c r="BA48"/>
      <c r="BB48"/>
    </row>
    <row r="49" spans="1:54" s="44" customFormat="1" x14ac:dyDescent="0.25">
      <c r="A49" s="36"/>
      <c r="P49" s="52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T49"/>
      <c r="AU49"/>
      <c r="AY49"/>
      <c r="AZ49"/>
      <c r="BA49"/>
      <c r="BB49"/>
    </row>
    <row r="50" spans="1:54" s="44" customFormat="1" x14ac:dyDescent="0.25">
      <c r="A50" s="36"/>
      <c r="P50" s="52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T50"/>
      <c r="AU50"/>
      <c r="AV50"/>
      <c r="AW50"/>
      <c r="AX50"/>
      <c r="AY50"/>
      <c r="AZ50"/>
      <c r="BA50"/>
      <c r="BB50"/>
    </row>
    <row r="51" spans="1:54" s="44" customFormat="1" x14ac:dyDescent="0.25">
      <c r="A51" s="36"/>
      <c r="E51" s="84"/>
      <c r="P51" s="52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T51"/>
      <c r="AU51"/>
      <c r="AV51"/>
      <c r="AW51"/>
      <c r="AX51"/>
      <c r="AY51"/>
      <c r="AZ51"/>
      <c r="BA51"/>
      <c r="BB51"/>
    </row>
    <row r="52" spans="1:54" s="44" customFormat="1" x14ac:dyDescent="0.25">
      <c r="A52" s="36"/>
      <c r="P52" s="52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T52"/>
      <c r="AU52"/>
      <c r="AV52"/>
      <c r="AW52"/>
      <c r="AX52"/>
      <c r="AY52"/>
      <c r="AZ52"/>
      <c r="BA52"/>
      <c r="BB52"/>
    </row>
    <row r="53" spans="1:54" s="44" customFormat="1" x14ac:dyDescent="0.25">
      <c r="A53" s="36"/>
      <c r="P53" s="52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T53"/>
      <c r="AU53"/>
      <c r="AV53"/>
      <c r="AW53"/>
      <c r="AX53"/>
      <c r="AY53"/>
      <c r="AZ53"/>
      <c r="BA53"/>
      <c r="BB53"/>
    </row>
    <row r="54" spans="1:54" s="44" customFormat="1" x14ac:dyDescent="0.25">
      <c r="A54" s="36"/>
      <c r="N54" s="44" t="s">
        <v>4</v>
      </c>
      <c r="P54" s="52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</row>
    <row r="55" spans="1:54" s="44" customFormat="1" x14ac:dyDescent="0.25">
      <c r="A55" s="36"/>
      <c r="E55" s="84" t="s">
        <v>10</v>
      </c>
      <c r="P55" s="52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</row>
    <row r="56" spans="1:54" s="44" customFormat="1" x14ac:dyDescent="0.25">
      <c r="A56" s="36"/>
      <c r="P56" s="52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</row>
    <row r="57" spans="1:54" s="44" customFormat="1" x14ac:dyDescent="0.25">
      <c r="A57" s="36"/>
      <c r="P57" s="52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</row>
    <row r="58" spans="1:54" s="44" customFormat="1" x14ac:dyDescent="0.25">
      <c r="A58" s="36"/>
      <c r="P58" s="52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</row>
    <row r="59" spans="1:54" s="44" customFormat="1" x14ac:dyDescent="0.25">
      <c r="A59" s="36"/>
      <c r="E59" s="84" t="s">
        <v>171</v>
      </c>
      <c r="P59" s="52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</row>
    <row r="60" spans="1:54" s="44" customFormat="1" x14ac:dyDescent="0.25">
      <c r="A60" s="36"/>
      <c r="P60" s="52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</row>
    <row r="61" spans="1:54" s="44" customFormat="1" x14ac:dyDescent="0.25">
      <c r="A61" s="36"/>
      <c r="P61" s="52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</row>
    <row r="62" spans="1:54" s="44" customFormat="1" x14ac:dyDescent="0.25">
      <c r="A62" s="36"/>
      <c r="P62" s="52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</row>
    <row r="63" spans="1:54" s="44" customFormat="1" x14ac:dyDescent="0.25">
      <c r="P63" s="52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</row>
    <row r="64" spans="1:54" x14ac:dyDescent="0.25">
      <c r="A64" s="36" t="s">
        <v>4</v>
      </c>
      <c r="B64" s="5">
        <v>92.06</v>
      </c>
      <c r="C64" s="5" t="s">
        <v>41</v>
      </c>
      <c r="D64" s="5" t="s">
        <v>40</v>
      </c>
      <c r="E64" s="5" t="s">
        <v>39</v>
      </c>
      <c r="F64" s="42" t="s">
        <v>80</v>
      </c>
      <c r="G64" s="5" t="s">
        <v>77</v>
      </c>
      <c r="H64" s="7" t="s">
        <v>37</v>
      </c>
    </row>
    <row r="65" spans="1:48" x14ac:dyDescent="0.25">
      <c r="A65" s="36" t="s">
        <v>7</v>
      </c>
      <c r="B65" s="5">
        <v>92.09</v>
      </c>
      <c r="C65" s="5">
        <v>11</v>
      </c>
      <c r="D65" s="5">
        <v>13</v>
      </c>
      <c r="E65" s="5">
        <v>14</v>
      </c>
      <c r="F65" s="42" t="s">
        <v>81</v>
      </c>
      <c r="G65" s="5">
        <v>74.2</v>
      </c>
      <c r="O65" s="20" t="s">
        <v>114</v>
      </c>
      <c r="P65" s="47">
        <f>dtanal!N2</f>
        <v>11.18</v>
      </c>
      <c r="Q65" s="45" t="s">
        <v>115</v>
      </c>
      <c r="R65" s="44"/>
      <c r="S65" s="5"/>
      <c r="T65" s="44"/>
    </row>
    <row r="66" spans="1:48" s="23" customFormat="1" x14ac:dyDescent="0.25">
      <c r="A66" s="36" t="s">
        <v>79</v>
      </c>
      <c r="B66" s="5">
        <v>92.09</v>
      </c>
      <c r="C66" s="5">
        <v>11</v>
      </c>
      <c r="D66" s="5">
        <v>13</v>
      </c>
      <c r="E66" s="5">
        <v>14</v>
      </c>
      <c r="F66" s="42" t="s">
        <v>80</v>
      </c>
      <c r="G66" s="5">
        <v>74.099999999999994</v>
      </c>
      <c r="O66" s="20" t="s">
        <v>0</v>
      </c>
      <c r="P66" s="47">
        <v>1</v>
      </c>
      <c r="Q66" s="45" t="s">
        <v>116</v>
      </c>
      <c r="R66" s="44"/>
      <c r="S66" s="5"/>
      <c r="T66" s="44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</row>
    <row r="67" spans="1:48" s="23" customFormat="1" x14ac:dyDescent="0.25">
      <c r="A67" s="36" t="s">
        <v>10</v>
      </c>
      <c r="B67" s="5">
        <v>92.07</v>
      </c>
      <c r="C67" s="5">
        <v>11</v>
      </c>
      <c r="D67" s="5">
        <v>13</v>
      </c>
      <c r="E67" s="5">
        <v>14</v>
      </c>
      <c r="F67" s="42" t="s">
        <v>81</v>
      </c>
      <c r="G67" s="5">
        <v>74.099999999999994</v>
      </c>
      <c r="H67" s="18"/>
      <c r="I67" s="5"/>
      <c r="J67" s="5"/>
      <c r="K67" s="5"/>
      <c r="L67" s="5"/>
      <c r="M67" s="5"/>
      <c r="O67" s="20" t="s">
        <v>117</v>
      </c>
      <c r="P67" s="76">
        <f>mat!$F$1</f>
        <v>22.9</v>
      </c>
      <c r="Q67" s="45" t="str">
        <f>dtanal!I2 &amp; ", " &amp; "C airplane environment"</f>
        <v>2024-T3 Clad Sheet, C airplane environment</v>
      </c>
      <c r="R67" s="44"/>
      <c r="S67" s="5"/>
      <c r="T67" s="44"/>
      <c r="Z67" s="5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T67" s="7"/>
      <c r="AU67" s="7"/>
      <c r="AV67" s="7"/>
    </row>
    <row r="68" spans="1:48" s="44" customFormat="1" x14ac:dyDescent="0.25">
      <c r="A68" s="36" t="s">
        <v>20</v>
      </c>
      <c r="B68" s="5"/>
      <c r="C68" s="5"/>
      <c r="D68" s="5"/>
      <c r="E68" s="5"/>
      <c r="F68" s="42"/>
      <c r="G68" s="5"/>
      <c r="H68" s="18"/>
      <c r="I68" s="5"/>
      <c r="J68" s="5"/>
      <c r="K68" s="5"/>
      <c r="L68" s="5"/>
      <c r="M68" s="5"/>
      <c r="O68" s="20" t="s">
        <v>118</v>
      </c>
      <c r="P68" s="76">
        <f>mat!$F$2</f>
        <v>29.2</v>
      </c>
      <c r="Q68" s="76" t="str">
        <f>dtanal!D2 &amp; ", " &amp; "C airplane environment"</f>
        <v>7075-T6 Clad Sheet, C airplane environment</v>
      </c>
      <c r="S68" s="5"/>
      <c r="Z68" s="5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</row>
    <row r="69" spans="1:48" s="44" customFormat="1" x14ac:dyDescent="0.25">
      <c r="A69" s="36" t="s">
        <v>29</v>
      </c>
      <c r="B69" s="5"/>
      <c r="C69" s="5"/>
      <c r="D69" s="5"/>
      <c r="E69" s="5"/>
      <c r="F69" s="42"/>
      <c r="G69" s="5"/>
      <c r="H69" s="18"/>
      <c r="I69" s="5"/>
      <c r="J69" s="5"/>
      <c r="K69" s="5"/>
      <c r="L69" s="5"/>
      <c r="M69" s="5"/>
      <c r="O69" s="20" t="s">
        <v>120</v>
      </c>
      <c r="P69" s="52">
        <f>I74</f>
        <v>73.912000000000035</v>
      </c>
      <c r="Q69" s="45" t="str">
        <f>dtanal!I2 &amp; ", " &amp; "Fty=2.228*B-1.228*A"</f>
        <v>2024-T3 Clad Sheet, Fty=2.228*B-1.228*A</v>
      </c>
      <c r="S69" s="5"/>
      <c r="Z69" s="5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</row>
    <row r="70" spans="1:48" s="44" customFormat="1" x14ac:dyDescent="0.25">
      <c r="A70" s="36" t="s">
        <v>112</v>
      </c>
      <c r="B70" s="5"/>
      <c r="C70" s="5"/>
      <c r="D70" s="5"/>
      <c r="E70" s="5"/>
      <c r="F70" s="42"/>
      <c r="G70" s="5"/>
      <c r="H70" s="18"/>
      <c r="I70" s="5"/>
      <c r="J70" s="5"/>
      <c r="K70" s="5"/>
      <c r="L70" s="5"/>
      <c r="M70" s="5"/>
      <c r="O70" s="20" t="s">
        <v>123</v>
      </c>
      <c r="P70" s="48">
        <f>D*2</f>
        <v>0.38</v>
      </c>
      <c r="Q70" s="49" t="s">
        <v>124</v>
      </c>
      <c r="S70" s="5"/>
      <c r="Z70" s="5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</row>
    <row r="71" spans="1:48" s="44" customFormat="1" x14ac:dyDescent="0.25">
      <c r="A71" s="36" t="s">
        <v>113</v>
      </c>
      <c r="B71" s="5"/>
      <c r="C71" s="5"/>
      <c r="D71" s="5"/>
      <c r="E71" s="5"/>
      <c r="F71" s="42"/>
      <c r="G71" s="5"/>
      <c r="H71" s="18"/>
      <c r="I71" s="5"/>
      <c r="J71" s="5"/>
      <c r="K71" s="5"/>
      <c r="L71" s="5"/>
      <c r="M71" s="5"/>
      <c r="O71" s="20" t="s">
        <v>139</v>
      </c>
      <c r="P71" s="48">
        <v>1</v>
      </c>
      <c r="Q71" s="49" t="s">
        <v>141</v>
      </c>
      <c r="Z71" s="5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</row>
    <row r="72" spans="1:48" s="23" customFormat="1" x14ac:dyDescent="0.25">
      <c r="A72" s="43"/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N72" s="18"/>
      <c r="O72" s="20" t="s">
        <v>129</v>
      </c>
      <c r="P72" s="47">
        <f>-51.4*0.473</f>
        <v>-24.312199999999997</v>
      </c>
      <c r="Q72" s="49" t="s">
        <v>140</v>
      </c>
      <c r="R72" s="44"/>
      <c r="S72" s="44"/>
      <c r="T72" s="44"/>
      <c r="U72" s="5"/>
      <c r="V72" s="5"/>
      <c r="W72" s="5"/>
      <c r="X72" s="5"/>
      <c r="Y72" s="5"/>
      <c r="Z72" s="18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18"/>
      <c r="AV72" s="18"/>
    </row>
    <row r="73" spans="1:48" x14ac:dyDescent="0.25">
      <c r="A73" s="62"/>
      <c r="B73" s="62"/>
      <c r="C73" s="62" t="s">
        <v>84</v>
      </c>
      <c r="D73" s="62" t="s">
        <v>0</v>
      </c>
      <c r="E73" s="62" t="s">
        <v>1</v>
      </c>
      <c r="F73" s="62" t="s">
        <v>2</v>
      </c>
      <c r="G73" s="62" t="s">
        <v>3</v>
      </c>
      <c r="H73" s="62" t="s">
        <v>74</v>
      </c>
      <c r="I73" s="62" t="s">
        <v>86</v>
      </c>
      <c r="J73" s="62" t="s">
        <v>73</v>
      </c>
      <c r="K73" s="62"/>
      <c r="L73" s="62"/>
      <c r="O73" s="20" t="s">
        <v>128</v>
      </c>
      <c r="P73" s="47">
        <f>MAX((P65+P72)/2,0)</f>
        <v>0</v>
      </c>
      <c r="Q73" s="49" t="s">
        <v>133</v>
      </c>
      <c r="R73" s="23"/>
      <c r="S73" s="23"/>
    </row>
    <row r="74" spans="1:48" x14ac:dyDescent="0.25">
      <c r="A74" s="23" t="s">
        <v>4</v>
      </c>
      <c r="B74" s="23" t="s">
        <v>53</v>
      </c>
      <c r="C74" s="36">
        <f>dtanal!$N$2</f>
        <v>11.18</v>
      </c>
      <c r="D74" s="66">
        <v>1</v>
      </c>
      <c r="E74" s="65">
        <v>1</v>
      </c>
      <c r="F74" s="23">
        <f>mat!$F$1</f>
        <v>22.9</v>
      </c>
      <c r="G74" s="75">
        <f>mat!$G$1</f>
        <v>3.5</v>
      </c>
      <c r="H74" s="36" t="str">
        <f>mat!$E$1</f>
        <v>AL7</v>
      </c>
      <c r="I74" s="36">
        <f>mat!J1</f>
        <v>73.912000000000035</v>
      </c>
      <c r="J74" s="37">
        <f>dtanal!$E$2</f>
        <v>7.0999999999999994E-2</v>
      </c>
      <c r="K74" s="23"/>
    </row>
    <row r="75" spans="1:48" s="37" customFormat="1" x14ac:dyDescent="0.25">
      <c r="A75" s="37" t="s">
        <v>41</v>
      </c>
      <c r="B75" s="37">
        <f>dtanal!$P$2</f>
        <v>0.19</v>
      </c>
      <c r="P75" s="48"/>
      <c r="Q75" s="45"/>
      <c r="R75" s="44"/>
      <c r="S75" s="5"/>
      <c r="AC75" s="53"/>
      <c r="AD75" s="53"/>
      <c r="AE75" s="53"/>
      <c r="AF75" s="53"/>
      <c r="AG75" s="53"/>
      <c r="AH75" s="53"/>
      <c r="AI75" s="53"/>
      <c r="AJ75" s="53"/>
      <c r="AK75" s="53"/>
      <c r="AL75" s="53"/>
      <c r="AM75" s="53"/>
      <c r="AN75" s="53"/>
      <c r="AO75" s="53"/>
      <c r="AP75" s="53"/>
      <c r="AQ75" s="53"/>
    </row>
    <row r="76" spans="1:48" s="37" customFormat="1" x14ac:dyDescent="0.25">
      <c r="A76" s="37" t="s">
        <v>40</v>
      </c>
      <c r="B76" s="37">
        <f>dtanal!$P$2</f>
        <v>0.19</v>
      </c>
      <c r="C76" s="37">
        <f>dtanal!$E$2</f>
        <v>7.0999999999999994E-2</v>
      </c>
      <c r="D76" s="67">
        <v>0</v>
      </c>
      <c r="E76" s="67">
        <v>0</v>
      </c>
      <c r="F76" s="67" t="s">
        <v>7</v>
      </c>
      <c r="P76" s="48"/>
      <c r="AC76" s="53"/>
      <c r="AD76" s="53"/>
      <c r="AE76" s="53"/>
      <c r="AF76" s="53"/>
      <c r="AG76" s="53"/>
      <c r="AH76" s="53"/>
      <c r="AI76" s="53"/>
      <c r="AJ76" s="53"/>
      <c r="AK76" s="53"/>
      <c r="AL76" s="53"/>
      <c r="AM76" s="53"/>
      <c r="AN76" s="53"/>
      <c r="AO76" s="53"/>
      <c r="AP76" s="53"/>
      <c r="AQ76" s="53"/>
    </row>
    <row r="77" spans="1:48" x14ac:dyDescent="0.25">
      <c r="A77" s="23" t="s">
        <v>39</v>
      </c>
      <c r="B77" s="37">
        <f>dtanal!$P$2</f>
        <v>0.19</v>
      </c>
      <c r="C77" s="36">
        <f>P85</f>
        <v>1.3959999999999999</v>
      </c>
      <c r="D77" s="66">
        <v>1</v>
      </c>
      <c r="E77" s="37">
        <f>dtanal!$E$2</f>
        <v>7.0999999999999994E-2</v>
      </c>
      <c r="F77" s="68">
        <v>2</v>
      </c>
      <c r="G77" s="23"/>
      <c r="H77" s="23"/>
      <c r="I77" s="23"/>
      <c r="J77" s="23"/>
      <c r="K77" s="23"/>
      <c r="L77" s="23"/>
      <c r="M77" s="23"/>
    </row>
    <row r="78" spans="1:48" x14ac:dyDescent="0.25">
      <c r="A78" s="42" t="s">
        <v>80</v>
      </c>
      <c r="B78" s="37">
        <f>dtanal!$P$2</f>
        <v>0.19</v>
      </c>
      <c r="C78" s="37">
        <f>$P$70</f>
        <v>0.38</v>
      </c>
      <c r="D78" s="37">
        <f>dtanal!$E$2</f>
        <v>7.0999999999999994E-2</v>
      </c>
      <c r="E78" s="37">
        <f>dtanal!$F$2</f>
        <v>4.5</v>
      </c>
      <c r="F78" s="67">
        <v>0</v>
      </c>
      <c r="G78" s="67">
        <v>0</v>
      </c>
      <c r="H78" s="65" t="s">
        <v>7</v>
      </c>
      <c r="I78" s="23"/>
      <c r="J78" s="23"/>
      <c r="K78" s="23"/>
      <c r="L78" s="23"/>
      <c r="M78" s="23"/>
    </row>
    <row r="79" spans="1:48" x14ac:dyDescent="0.25">
      <c r="A79" s="23" t="s">
        <v>77</v>
      </c>
      <c r="B79" s="37">
        <f>dtanal!$P$2</f>
        <v>0.19</v>
      </c>
      <c r="C79" s="41">
        <f>$P$93</f>
        <v>8.295805979556981</v>
      </c>
      <c r="D79" s="37">
        <f>dtanal!$P$2*5</f>
        <v>0.95</v>
      </c>
      <c r="E79" s="37">
        <f>dtanal!$E$2</f>
        <v>7.0999999999999994E-2</v>
      </c>
      <c r="F79" s="37">
        <f>dtanal!$F$2</f>
        <v>4.5</v>
      </c>
      <c r="G79" s="67">
        <v>0</v>
      </c>
      <c r="H79" s="67">
        <v>0</v>
      </c>
      <c r="I79" s="65" t="s">
        <v>7</v>
      </c>
      <c r="J79" s="23"/>
      <c r="K79" s="23"/>
      <c r="L79" s="23"/>
      <c r="M79" s="23"/>
    </row>
    <row r="80" spans="1:48" x14ac:dyDescent="0.25">
      <c r="A80" s="62" t="s">
        <v>37</v>
      </c>
      <c r="B80" s="61">
        <f>dtanal!$P$2</f>
        <v>0.19</v>
      </c>
      <c r="C80" s="70">
        <v>1</v>
      </c>
      <c r="D80" s="61">
        <f>dtanal!$F$2</f>
        <v>4.5</v>
      </c>
      <c r="E80" s="81">
        <f>$P$73</f>
        <v>0</v>
      </c>
      <c r="F80" s="61">
        <f>P70</f>
        <v>0.38</v>
      </c>
      <c r="G80" s="69" t="s">
        <v>7</v>
      </c>
      <c r="H80" s="63" t="s">
        <v>6</v>
      </c>
      <c r="I80" s="62"/>
      <c r="J80" s="62"/>
      <c r="K80" s="62"/>
      <c r="L80" s="62"/>
      <c r="M80" s="23"/>
    </row>
    <row r="81" spans="1:43" x14ac:dyDescent="0.25">
      <c r="A81" s="5" t="s">
        <v>7</v>
      </c>
      <c r="B81" s="5" t="s">
        <v>53</v>
      </c>
      <c r="C81" s="64">
        <f>dtanal!$N$2</f>
        <v>11.18</v>
      </c>
      <c r="D81" s="64">
        <f>dtanal!$O$2</f>
        <v>-1</v>
      </c>
      <c r="E81" s="5">
        <v>1</v>
      </c>
      <c r="F81" s="5">
        <f>mat!$F$1</f>
        <v>22.9</v>
      </c>
      <c r="G81" s="5">
        <f>mat!$G$1</f>
        <v>3.5</v>
      </c>
      <c r="H81" s="64" t="str">
        <f>mat!$E$1</f>
        <v>AL7</v>
      </c>
      <c r="I81" s="5"/>
      <c r="J81" s="5"/>
      <c r="K81" s="5"/>
      <c r="L81" s="5"/>
    </row>
    <row r="82" spans="1:43" x14ac:dyDescent="0.25">
      <c r="A82" s="37" t="s">
        <v>42</v>
      </c>
      <c r="B82" s="37">
        <f>dtanal!$P$2</f>
        <v>0.19</v>
      </c>
      <c r="C82" s="39">
        <f>dtanal!$Q$2</f>
        <v>2</v>
      </c>
      <c r="D82" s="37">
        <f>dtanal!$E$2</f>
        <v>7.0999999999999994E-2</v>
      </c>
      <c r="E82" s="5"/>
      <c r="F82" s="5"/>
      <c r="G82" s="5"/>
      <c r="H82" s="64"/>
      <c r="I82" s="5"/>
      <c r="J82" s="5"/>
      <c r="K82" s="5"/>
      <c r="L82" s="5"/>
    </row>
    <row r="83" spans="1:43" x14ac:dyDescent="0.25">
      <c r="A83" s="37" t="s">
        <v>40</v>
      </c>
      <c r="B83" s="37">
        <f>dtanal!$P$2</f>
        <v>0.19</v>
      </c>
      <c r="C83" s="37">
        <f>dtanal!$E$2</f>
        <v>7.0999999999999994E-2</v>
      </c>
      <c r="D83" s="37">
        <v>0</v>
      </c>
      <c r="E83" s="37">
        <v>0</v>
      </c>
      <c r="F83" s="23" t="s">
        <v>4</v>
      </c>
    </row>
    <row r="84" spans="1:43" s="23" customFormat="1" x14ac:dyDescent="0.25">
      <c r="A84" s="23" t="s">
        <v>39</v>
      </c>
      <c r="B84" s="37">
        <f>dtanal!$P$2</f>
        <v>0.19</v>
      </c>
      <c r="C84" s="36">
        <f>P85</f>
        <v>1.3959999999999999</v>
      </c>
      <c r="D84" s="66">
        <v>1</v>
      </c>
      <c r="E84" s="37">
        <f>dtanal!$E$2</f>
        <v>7.0999999999999994E-2</v>
      </c>
      <c r="F84" s="68">
        <v>1</v>
      </c>
      <c r="P84" s="52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</row>
    <row r="85" spans="1:43" x14ac:dyDescent="0.25">
      <c r="A85" s="42" t="s">
        <v>81</v>
      </c>
      <c r="B85" s="37">
        <f>dtanal!$P$2</f>
        <v>0.19</v>
      </c>
      <c r="C85" s="79">
        <f>$P$70</f>
        <v>0.38</v>
      </c>
      <c r="D85" s="37">
        <f>dtanal!$E$2</f>
        <v>7.0999999999999994E-2</v>
      </c>
      <c r="E85" s="37">
        <f>dtanal!$F$2</f>
        <v>4.5</v>
      </c>
      <c r="F85" s="37">
        <v>0</v>
      </c>
      <c r="G85" s="37">
        <v>0</v>
      </c>
      <c r="H85" s="44" t="s">
        <v>4</v>
      </c>
      <c r="O85" s="20" t="s">
        <v>131</v>
      </c>
      <c r="P85" s="47">
        <v>1.3959999999999999</v>
      </c>
      <c r="Q85" s="49" t="s">
        <v>115</v>
      </c>
      <c r="R85" s="44"/>
    </row>
    <row r="86" spans="1:43" x14ac:dyDescent="0.25">
      <c r="A86" s="62" t="s">
        <v>83</v>
      </c>
      <c r="B86" s="61">
        <f>dtanal!$P$2</f>
        <v>0.19</v>
      </c>
      <c r="C86" s="83">
        <v>1</v>
      </c>
      <c r="D86" s="61">
        <f>dtanal!$F$2</f>
        <v>4.5</v>
      </c>
      <c r="E86" s="81">
        <f>$P$73</f>
        <v>0</v>
      </c>
      <c r="F86" s="61">
        <f>$P$70</f>
        <v>0.38</v>
      </c>
      <c r="G86" s="62" t="s">
        <v>4</v>
      </c>
      <c r="H86" s="63" t="s">
        <v>6</v>
      </c>
      <c r="I86" s="62"/>
      <c r="J86" s="62"/>
      <c r="K86" s="62"/>
      <c r="L86" s="62"/>
      <c r="Q86" s="45"/>
    </row>
    <row r="87" spans="1:43" x14ac:dyDescent="0.25">
      <c r="A87" s="78" t="s">
        <v>79</v>
      </c>
      <c r="B87" s="79" t="s">
        <v>111</v>
      </c>
      <c r="C87" s="36">
        <f>dtanal!$N$2</f>
        <v>11.18</v>
      </c>
      <c r="D87" s="36">
        <f>dtanal!$O$2</f>
        <v>-1</v>
      </c>
      <c r="E87" s="78">
        <v>1</v>
      </c>
      <c r="F87" s="78">
        <f>mat!$F$2</f>
        <v>29.2</v>
      </c>
      <c r="G87" s="78">
        <f>mat!$G$2</f>
        <v>3.9</v>
      </c>
      <c r="H87" s="36" t="str">
        <f>mat!$E$2</f>
        <v>AL2</v>
      </c>
      <c r="I87" s="78"/>
      <c r="J87" s="78"/>
      <c r="K87" s="78"/>
      <c r="L87" s="78"/>
    </row>
    <row r="88" spans="1:43" x14ac:dyDescent="0.25">
      <c r="A88" s="37" t="s">
        <v>42</v>
      </c>
      <c r="B88" s="37">
        <f>dtanal!$P$2</f>
        <v>0.19</v>
      </c>
      <c r="C88" s="39">
        <f>dtanal!$Q$2</f>
        <v>2</v>
      </c>
      <c r="D88" s="37">
        <f>dtanal!$J$2</f>
        <v>0.08</v>
      </c>
      <c r="E88" s="44"/>
      <c r="F88" s="44"/>
      <c r="G88" s="13"/>
      <c r="H88" s="5"/>
      <c r="I88" s="5"/>
      <c r="J88" s="78"/>
      <c r="K88" s="5"/>
      <c r="L88" s="5"/>
    </row>
    <row r="89" spans="1:43" x14ac:dyDescent="0.25">
      <c r="A89" s="37" t="s">
        <v>40</v>
      </c>
      <c r="B89" s="37">
        <f>dtanal!$P$2</f>
        <v>0.19</v>
      </c>
      <c r="C89" s="37">
        <f>dtanal!$J$2</f>
        <v>0.08</v>
      </c>
      <c r="D89" s="37">
        <v>0</v>
      </c>
      <c r="E89" s="37">
        <v>0</v>
      </c>
      <c r="F89" s="44" t="s">
        <v>10</v>
      </c>
      <c r="G89" s="5"/>
      <c r="H89" s="64"/>
      <c r="I89" s="5"/>
      <c r="J89" s="5"/>
      <c r="K89" s="5"/>
      <c r="L89" s="5"/>
    </row>
    <row r="90" spans="1:43" x14ac:dyDescent="0.25">
      <c r="A90" s="23" t="s">
        <v>39</v>
      </c>
      <c r="B90" s="37">
        <f>dtanal!$P$2</f>
        <v>0.19</v>
      </c>
      <c r="C90" s="36">
        <f>P85</f>
        <v>1.3959999999999999</v>
      </c>
      <c r="D90" s="66">
        <v>1</v>
      </c>
      <c r="E90" s="37">
        <f>dtanal!$J$2</f>
        <v>0.08</v>
      </c>
      <c r="F90" s="68">
        <v>1</v>
      </c>
    </row>
    <row r="91" spans="1:43" s="23" customFormat="1" x14ac:dyDescent="0.25">
      <c r="A91" s="82" t="s">
        <v>80</v>
      </c>
      <c r="B91" s="13">
        <f>dtanal!$P$2</f>
        <v>0.19</v>
      </c>
      <c r="C91" s="79">
        <f>$P$70</f>
        <v>0.38</v>
      </c>
      <c r="D91" s="13">
        <f>dtanal!$J$2</f>
        <v>0.08</v>
      </c>
      <c r="E91" s="13">
        <f>dtanal!$K$2</f>
        <v>2.7</v>
      </c>
      <c r="F91" s="13">
        <v>0</v>
      </c>
      <c r="G91" s="13">
        <v>0</v>
      </c>
      <c r="H91" s="5" t="s">
        <v>10</v>
      </c>
      <c r="I91" s="5"/>
      <c r="J91" s="5"/>
      <c r="K91" s="5"/>
      <c r="L91" s="5"/>
      <c r="O91" s="20" t="s">
        <v>125</v>
      </c>
      <c r="P91" s="47">
        <f>dtanal!E2/dtanal!J2</f>
        <v>0.88749999999999996</v>
      </c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</row>
    <row r="92" spans="1:43" x14ac:dyDescent="0.25">
      <c r="A92" s="62" t="s">
        <v>83</v>
      </c>
      <c r="B92" s="61">
        <f>dtanal!$P$2</f>
        <v>0.19</v>
      </c>
      <c r="C92" s="83">
        <v>1</v>
      </c>
      <c r="D92" s="61">
        <f>dtanal!K2</f>
        <v>2.7</v>
      </c>
      <c r="E92" s="81">
        <f>$P$73</f>
        <v>0</v>
      </c>
      <c r="F92" s="61">
        <f>P70</f>
        <v>0.38</v>
      </c>
      <c r="G92" s="62" t="s">
        <v>10</v>
      </c>
      <c r="H92" s="63" t="s">
        <v>6</v>
      </c>
      <c r="I92" s="62"/>
      <c r="J92" s="62"/>
      <c r="K92" s="62"/>
      <c r="L92" s="62"/>
      <c r="O92" s="28" t="s">
        <v>126</v>
      </c>
      <c r="P92" s="47">
        <v>12</v>
      </c>
      <c r="Q92" s="49" t="s">
        <v>130</v>
      </c>
    </row>
    <row r="93" spans="1:43" x14ac:dyDescent="0.25">
      <c r="A93" s="78" t="s">
        <v>10</v>
      </c>
      <c r="B93" s="79" t="s">
        <v>111</v>
      </c>
      <c r="C93" s="36">
        <f>dtanal!$N$2</f>
        <v>11.18</v>
      </c>
      <c r="D93" s="36">
        <f>dtanal!$O$2</f>
        <v>-1</v>
      </c>
      <c r="E93" s="78">
        <v>1</v>
      </c>
      <c r="F93" s="78">
        <f>mat!$F$2</f>
        <v>29.2</v>
      </c>
      <c r="G93" s="78">
        <f>mat!$G$2</f>
        <v>3.9</v>
      </c>
      <c r="H93" s="36" t="str">
        <f>mat!$E$2</f>
        <v>AL2</v>
      </c>
      <c r="I93" s="78"/>
      <c r="J93" s="78"/>
      <c r="K93" s="78"/>
      <c r="L93" s="78"/>
      <c r="O93" s="20" t="s">
        <v>127</v>
      </c>
      <c r="P93" s="47">
        <f>P92*((dtanal!E2+dtanal!J2)/(2*D))^0.4</f>
        <v>8.295805979556981</v>
      </c>
    </row>
    <row r="94" spans="1:43" x14ac:dyDescent="0.25">
      <c r="A94" s="79" t="s">
        <v>42</v>
      </c>
      <c r="B94" s="79">
        <f>dtanal!$P$2</f>
        <v>0.19</v>
      </c>
      <c r="C94" s="39">
        <f>dtanal!$Q$2</f>
        <v>2</v>
      </c>
      <c r="D94" s="79">
        <f>dtanal!$J$2</f>
        <v>0.08</v>
      </c>
      <c r="E94" s="78"/>
      <c r="F94" s="78"/>
      <c r="G94" s="78"/>
      <c r="H94" s="78"/>
      <c r="I94" s="78"/>
      <c r="J94" s="78"/>
      <c r="K94" s="78"/>
      <c r="L94" s="78"/>
    </row>
    <row r="95" spans="1:43" x14ac:dyDescent="0.25">
      <c r="A95" s="79" t="s">
        <v>40</v>
      </c>
      <c r="B95" s="79">
        <f>dtanal!$P$2</f>
        <v>0.19</v>
      </c>
      <c r="C95" s="79">
        <f>dtanal!$J$2</f>
        <v>0.08</v>
      </c>
      <c r="D95" s="79">
        <v>0</v>
      </c>
      <c r="E95" s="79">
        <v>0</v>
      </c>
      <c r="F95" s="78" t="s">
        <v>79</v>
      </c>
      <c r="G95" s="78"/>
      <c r="H95" s="78"/>
      <c r="I95" s="78"/>
    </row>
    <row r="96" spans="1:43" s="23" customFormat="1" x14ac:dyDescent="0.25">
      <c r="A96" s="78" t="s">
        <v>39</v>
      </c>
      <c r="B96" s="79">
        <f>dtanal!$P$2</f>
        <v>0.19</v>
      </c>
      <c r="C96" s="36">
        <f>P82</f>
        <v>0</v>
      </c>
      <c r="D96" s="66">
        <v>1</v>
      </c>
      <c r="E96" s="79">
        <f>dtanal!$J$2</f>
        <v>0.08</v>
      </c>
      <c r="F96" s="68">
        <v>1</v>
      </c>
      <c r="G96" s="78"/>
      <c r="H96" s="78"/>
      <c r="I96" s="78"/>
      <c r="J96" s="78"/>
      <c r="O96" s="44"/>
      <c r="P96" s="52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</row>
    <row r="97" spans="1:43" s="23" customFormat="1" x14ac:dyDescent="0.25">
      <c r="A97" s="80" t="s">
        <v>81</v>
      </c>
      <c r="B97" s="79">
        <f>dtanal!$P$2</f>
        <v>0.19</v>
      </c>
      <c r="C97" s="79">
        <f>$P$70</f>
        <v>0.38</v>
      </c>
      <c r="D97" s="79">
        <f>dtanal!$J$2</f>
        <v>0.08</v>
      </c>
      <c r="E97" s="79">
        <f>dtanal!$K$2</f>
        <v>2.7</v>
      </c>
      <c r="F97" s="79">
        <v>0</v>
      </c>
      <c r="G97" s="79">
        <v>0</v>
      </c>
      <c r="H97" s="78" t="s">
        <v>79</v>
      </c>
      <c r="I97" s="78"/>
      <c r="J97" s="78"/>
      <c r="O97" s="44"/>
      <c r="P97" s="52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</row>
    <row r="98" spans="1:43" s="23" customFormat="1" x14ac:dyDescent="0.25">
      <c r="A98" s="78" t="s">
        <v>37</v>
      </c>
      <c r="B98" s="79">
        <f>dtanal!$P$2</f>
        <v>0.19</v>
      </c>
      <c r="C98" s="66">
        <v>1</v>
      </c>
      <c r="D98" s="79">
        <f>dtanal!$K$2</f>
        <v>2.7</v>
      </c>
      <c r="E98" s="36">
        <f>$P$73</f>
        <v>0</v>
      </c>
      <c r="F98" s="79">
        <f>$P$70</f>
        <v>0.38</v>
      </c>
      <c r="G98" s="78" t="s">
        <v>79</v>
      </c>
      <c r="H98" s="78"/>
      <c r="I98" s="78"/>
      <c r="J98" s="78"/>
      <c r="O98" s="44"/>
      <c r="P98" s="52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</row>
    <row r="99" spans="1:43" s="23" customFormat="1" x14ac:dyDescent="0.25">
      <c r="A99" s="50" t="s">
        <v>6</v>
      </c>
      <c r="B99" s="50" t="s">
        <v>6</v>
      </c>
      <c r="O99" s="44"/>
      <c r="P99" s="52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</row>
    <row r="100" spans="1:43" s="23" customFormat="1" x14ac:dyDescent="0.25">
      <c r="A100" s="46">
        <f>dtanal!$E$2</f>
        <v>7.0999999999999994E-2</v>
      </c>
      <c r="B100" s="46">
        <f>D*2</f>
        <v>0.38</v>
      </c>
      <c r="C100" s="46">
        <v>1.9300000000000001E-2</v>
      </c>
      <c r="D100" s="46">
        <f>D*5</f>
        <v>0.95</v>
      </c>
      <c r="E100" s="46">
        <v>1.2200000000000001E-2</v>
      </c>
      <c r="F100" s="46">
        <f>D*2</f>
        <v>0.38</v>
      </c>
      <c r="G100" s="46">
        <v>1.2200000000000001E-2</v>
      </c>
      <c r="H100" s="46">
        <f>dtanal!$K$2-$P$70</f>
        <v>2.3200000000000003</v>
      </c>
      <c r="I100" s="39">
        <v>20</v>
      </c>
      <c r="J100" s="50" t="s">
        <v>6</v>
      </c>
      <c r="O100" s="44"/>
      <c r="P100" s="52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</row>
    <row r="101" spans="1:43" s="23" customFormat="1" x14ac:dyDescent="0.25">
      <c r="A101" s="43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O101" s="20" t="s">
        <v>134</v>
      </c>
      <c r="P101" s="48">
        <f>D*5</f>
        <v>0.95</v>
      </c>
      <c r="Q101" s="49" t="s">
        <v>132</v>
      </c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</row>
    <row r="102" spans="1:43" x14ac:dyDescent="0.25">
      <c r="A102" s="53"/>
      <c r="B102" s="53"/>
      <c r="C102" s="53"/>
      <c r="D102" s="53"/>
      <c r="E102" s="53"/>
      <c r="F102" s="53"/>
      <c r="G102" s="53"/>
      <c r="H102" s="51"/>
    </row>
    <row r="103" spans="1:43" x14ac:dyDescent="0.25">
      <c r="O103" s="20" t="s">
        <v>142</v>
      </c>
      <c r="P103" s="48">
        <f>P104/(P105+P106+P107+P104)</f>
        <v>0.23761713520749667</v>
      </c>
      <c r="Q103" s="49" t="s">
        <v>143</v>
      </c>
    </row>
    <row r="104" spans="1:43" s="23" customFormat="1" x14ac:dyDescent="0.25">
      <c r="N104" s="51"/>
      <c r="O104" s="20" t="s">
        <v>144</v>
      </c>
      <c r="P104" s="48">
        <f>(dtanal!F2*dtanal!E2/2)</f>
        <v>0.15974999999999998</v>
      </c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</row>
    <row r="105" spans="1:43" x14ac:dyDescent="0.25">
      <c r="O105" s="20" t="s">
        <v>146</v>
      </c>
      <c r="P105" s="48">
        <f>AI12*dtanal!K2/2</f>
        <v>8.5050000000000001E-2</v>
      </c>
    </row>
    <row r="106" spans="1:43" x14ac:dyDescent="0.25">
      <c r="O106" s="20" t="s">
        <v>147</v>
      </c>
      <c r="P106" s="48">
        <f>dtanal!K2/2*dtanal!J2</f>
        <v>0.10800000000000001</v>
      </c>
    </row>
    <row r="107" spans="1:43" x14ac:dyDescent="0.25">
      <c r="A107" s="18"/>
      <c r="O107" s="20" t="s">
        <v>148</v>
      </c>
      <c r="P107" s="48">
        <f>dtanal!F2*dtanal!E2</f>
        <v>0.31949999999999995</v>
      </c>
    </row>
    <row r="108" spans="1:43" x14ac:dyDescent="0.25">
      <c r="A108" s="18"/>
    </row>
    <row r="109" spans="1:43" x14ac:dyDescent="0.25">
      <c r="A109" s="18"/>
    </row>
  </sheetData>
  <dataConsolidate/>
  <mergeCells count="11">
    <mergeCell ref="AH11:AJ11"/>
    <mergeCell ref="AH13:AJ13"/>
    <mergeCell ref="AL41:AN41"/>
    <mergeCell ref="AL43:AN43"/>
    <mergeCell ref="AN36:AP36"/>
    <mergeCell ref="AN34:AP34"/>
    <mergeCell ref="AN37:AP37"/>
    <mergeCell ref="AN33:AQ33"/>
    <mergeCell ref="AM28:AN28"/>
    <mergeCell ref="AF41:AH41"/>
    <mergeCell ref="AF43:AH43"/>
  </mergeCells>
  <pageMargins left="0.7" right="0.7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2"/>
  <sheetViews>
    <sheetView zoomScaleNormal="100" workbookViewId="0">
      <selection activeCell="I13" sqref="I13"/>
    </sheetView>
  </sheetViews>
  <sheetFormatPr defaultRowHeight="15" x14ac:dyDescent="0.25"/>
  <cols>
    <col min="1" max="1" width="7.7109375" style="75" customWidth="1"/>
    <col min="2" max="2" width="18.7109375" customWidth="1"/>
    <col min="3" max="3" width="7.7109375" customWidth="1"/>
    <col min="4" max="4" width="7.7109375" style="73" customWidth="1"/>
    <col min="5" max="9" width="7.7109375" customWidth="1"/>
    <col min="10" max="10" width="7.7109375" style="36" customWidth="1"/>
    <col min="11" max="11" width="3.7109375" customWidth="1"/>
  </cols>
  <sheetData>
    <row r="1" spans="1:11" s="23" customFormat="1" x14ac:dyDescent="0.25">
      <c r="A1" s="75" t="s">
        <v>166</v>
      </c>
      <c r="B1" s="47" t="str">
        <f>dtanal!D2</f>
        <v>7075-T6 Clad Sheet</v>
      </c>
      <c r="C1" s="74">
        <f>dtanal!E2</f>
        <v>7.0999999999999994E-2</v>
      </c>
      <c r="E1" s="36" t="str">
        <f>VLOOKUP($B1,$B$5:$J$8,4,0)</f>
        <v>AL7</v>
      </c>
      <c r="F1" s="75">
        <f>VLOOKUP($B1,$B$5:$J$8,5,0)</f>
        <v>22.9</v>
      </c>
      <c r="G1" s="75">
        <f>VLOOKUP($B1,$B$5:$J$8,6,0)</f>
        <v>3.5</v>
      </c>
      <c r="H1"/>
      <c r="I1"/>
      <c r="J1" s="36">
        <f>SUMIFS($J$5:$J$9,$B$5:$B$9,$B$1,$C$5:$C$9,"&lt;="&amp;$C$1,$D$5:$D$9,"&gt;"&amp;$C$1)</f>
        <v>73.912000000000035</v>
      </c>
      <c r="K1" s="26"/>
    </row>
    <row r="2" spans="1:11" s="23" customFormat="1" x14ac:dyDescent="0.25">
      <c r="A2" s="75" t="s">
        <v>167</v>
      </c>
      <c r="B2" s="47" t="str">
        <f>dtanal!I2</f>
        <v>2024-T3 Clad Sheet</v>
      </c>
      <c r="C2" s="74">
        <f>dtanal!J2</f>
        <v>0.08</v>
      </c>
      <c r="E2" s="36" t="str">
        <f>VLOOKUP(B2,$B$5:$J$8,4,0)</f>
        <v>AL2</v>
      </c>
      <c r="F2" s="75">
        <f>VLOOKUP(B2,$B$5:$J$8,5,0)</f>
        <v>29.2</v>
      </c>
      <c r="G2" s="75">
        <f>VLOOKUP(B2,$B$5:$J$8,6,0)</f>
        <v>3.9</v>
      </c>
      <c r="H2"/>
      <c r="I2"/>
      <c r="J2" s="36">
        <f>SUMIFS($J$5:$J$9,$B$5:$B$9,$B$2,$C$5:$C$9,"&lt;="&amp;$C$2,$D$5:$D$9,"&gt;"&amp;$C$2)</f>
        <v>49.45600000000001</v>
      </c>
      <c r="K2" s="26"/>
    </row>
    <row r="3" spans="1:11" s="23" customFormat="1" x14ac:dyDescent="0.25">
      <c r="A3" s="26"/>
      <c r="B3" s="26"/>
      <c r="C3" s="26"/>
      <c r="D3" s="26"/>
      <c r="E3" s="26"/>
      <c r="F3" s="26"/>
      <c r="G3" s="26"/>
      <c r="H3" s="26"/>
      <c r="I3" s="26"/>
      <c r="J3" s="43"/>
      <c r="K3" s="26"/>
    </row>
    <row r="4" spans="1:11" s="73" customFormat="1" x14ac:dyDescent="0.25">
      <c r="A4" s="75"/>
      <c r="B4" s="23" t="s">
        <v>32</v>
      </c>
      <c r="C4" s="75" t="s">
        <v>165</v>
      </c>
      <c r="D4" s="73" t="s">
        <v>164</v>
      </c>
      <c r="E4" s="23" t="s">
        <v>74</v>
      </c>
      <c r="F4" s="23" t="s">
        <v>2</v>
      </c>
      <c r="G4" s="23" t="s">
        <v>3</v>
      </c>
      <c r="H4" s="44" t="s">
        <v>121</v>
      </c>
      <c r="I4" s="44" t="s">
        <v>122</v>
      </c>
      <c r="J4" s="36" t="s">
        <v>86</v>
      </c>
      <c r="K4" s="26"/>
    </row>
    <row r="5" spans="1:11" s="23" customFormat="1" x14ac:dyDescent="0.25">
      <c r="A5" s="75">
        <v>1</v>
      </c>
      <c r="B5" s="36" t="s">
        <v>85</v>
      </c>
      <c r="C5" s="77">
        <v>0</v>
      </c>
      <c r="D5" s="75">
        <v>0.128</v>
      </c>
      <c r="E5" s="75" t="s">
        <v>33</v>
      </c>
      <c r="F5" s="75">
        <v>27.9</v>
      </c>
      <c r="G5" s="75">
        <v>3.9</v>
      </c>
      <c r="H5" s="75">
        <v>47</v>
      </c>
      <c r="I5" s="75">
        <v>48</v>
      </c>
      <c r="J5" s="36">
        <f>2.228*I5-1.228*H5</f>
        <v>49.228000000000016</v>
      </c>
      <c r="K5" s="26"/>
    </row>
    <row r="6" spans="1:11" x14ac:dyDescent="0.25">
      <c r="A6" s="75">
        <v>2</v>
      </c>
      <c r="B6" s="36" t="s">
        <v>56</v>
      </c>
      <c r="C6" s="77">
        <v>6.2E-2</v>
      </c>
      <c r="D6" s="75">
        <v>0.128</v>
      </c>
      <c r="E6" s="75" t="s">
        <v>33</v>
      </c>
      <c r="F6" s="75">
        <v>29.2</v>
      </c>
      <c r="G6" s="75">
        <v>3.9</v>
      </c>
      <c r="H6" s="75">
        <v>45</v>
      </c>
      <c r="I6" s="75">
        <v>47</v>
      </c>
      <c r="J6" s="36">
        <f>2.228*I6-1.228*H6</f>
        <v>49.45600000000001</v>
      </c>
      <c r="K6" s="27"/>
    </row>
    <row r="7" spans="1:11" x14ac:dyDescent="0.25">
      <c r="A7" s="75">
        <v>3</v>
      </c>
      <c r="B7" s="75" t="s">
        <v>163</v>
      </c>
      <c r="C7" s="77">
        <v>3.9E-2</v>
      </c>
      <c r="D7" s="75">
        <v>0.125</v>
      </c>
      <c r="E7" s="75" t="s">
        <v>82</v>
      </c>
      <c r="F7" s="75">
        <v>24.3</v>
      </c>
      <c r="G7" s="75">
        <v>3.5</v>
      </c>
      <c r="H7" s="75">
        <v>70</v>
      </c>
      <c r="I7" s="75">
        <v>72</v>
      </c>
      <c r="J7" s="36">
        <f>2.228*I7-1.228*H7</f>
        <v>74.456000000000031</v>
      </c>
      <c r="K7" s="27"/>
    </row>
    <row r="8" spans="1:11" x14ac:dyDescent="0.25">
      <c r="A8" s="75">
        <v>4</v>
      </c>
      <c r="B8" s="36" t="s">
        <v>87</v>
      </c>
      <c r="C8" s="77">
        <v>0.04</v>
      </c>
      <c r="D8" s="75">
        <v>6.3E-2</v>
      </c>
      <c r="E8" s="75" t="s">
        <v>82</v>
      </c>
      <c r="F8" s="75">
        <v>22.9</v>
      </c>
      <c r="G8" s="75">
        <v>3.5</v>
      </c>
      <c r="H8" s="75">
        <v>63</v>
      </c>
      <c r="I8" s="75">
        <v>66</v>
      </c>
      <c r="J8" s="36">
        <f>2.228*I8-1.228*H8</f>
        <v>69.683999999999997</v>
      </c>
      <c r="K8" s="27"/>
    </row>
    <row r="9" spans="1:11" x14ac:dyDescent="0.25">
      <c r="A9" s="75">
        <v>5</v>
      </c>
      <c r="B9" s="36" t="s">
        <v>87</v>
      </c>
      <c r="C9" s="77">
        <v>6.3E-2</v>
      </c>
      <c r="D9" s="75">
        <v>0.187</v>
      </c>
      <c r="E9" s="75" t="s">
        <v>82</v>
      </c>
      <c r="F9" s="75">
        <v>22.9</v>
      </c>
      <c r="G9" s="75">
        <v>3.5</v>
      </c>
      <c r="H9" s="75">
        <v>65</v>
      </c>
      <c r="I9" s="75">
        <v>69</v>
      </c>
      <c r="J9" s="36">
        <f>2.228*I9-1.228*H9</f>
        <v>73.912000000000035</v>
      </c>
      <c r="K9" s="27"/>
    </row>
    <row r="10" spans="1:11" x14ac:dyDescent="0.25">
      <c r="K10" s="27"/>
    </row>
    <row r="11" spans="1:11" x14ac:dyDescent="0.25">
      <c r="K11" s="27"/>
    </row>
    <row r="12" spans="1:11" x14ac:dyDescent="0.25">
      <c r="K12" s="27"/>
    </row>
    <row r="13" spans="1:11" x14ac:dyDescent="0.25">
      <c r="K13" s="27"/>
    </row>
    <row r="14" spans="1:11" x14ac:dyDescent="0.25">
      <c r="K14" s="27"/>
    </row>
    <row r="15" spans="1:11" x14ac:dyDescent="0.25">
      <c r="K15" s="27"/>
    </row>
    <row r="16" spans="1:11" x14ac:dyDescent="0.25">
      <c r="K16" s="27"/>
    </row>
    <row r="17" spans="11:11" x14ac:dyDescent="0.25">
      <c r="K17" s="27"/>
    </row>
    <row r="18" spans="11:11" x14ac:dyDescent="0.25">
      <c r="K18" s="27"/>
    </row>
    <row r="19" spans="11:11" x14ac:dyDescent="0.25">
      <c r="K19" s="27"/>
    </row>
    <row r="20" spans="11:11" x14ac:dyDescent="0.25">
      <c r="K20" s="27"/>
    </row>
    <row r="21" spans="11:11" x14ac:dyDescent="0.25">
      <c r="K21" s="27"/>
    </row>
    <row r="22" spans="11:11" x14ac:dyDescent="0.25">
      <c r="K22" s="27"/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"/>
  <sheetViews>
    <sheetView workbookViewId="0">
      <selection activeCell="D2" sqref="D2"/>
    </sheetView>
  </sheetViews>
  <sheetFormatPr defaultRowHeight="15" x14ac:dyDescent="0.25"/>
  <cols>
    <col min="1" max="1" width="6.28515625" customWidth="1"/>
    <col min="2" max="2" width="12.28515625" customWidth="1"/>
    <col min="3" max="3" width="13.42578125" customWidth="1"/>
    <col min="4" max="4" width="6.42578125" style="18" customWidth="1"/>
    <col min="5" max="5" width="5.28515625" customWidth="1"/>
  </cols>
  <sheetData>
    <row r="1" spans="1:5" s="23" customFormat="1" x14ac:dyDescent="0.25">
      <c r="A1" s="23" t="s">
        <v>74</v>
      </c>
      <c r="C1" s="23" t="s">
        <v>65</v>
      </c>
      <c r="D1" s="37" t="s">
        <v>10</v>
      </c>
      <c r="E1" s="37" t="s">
        <v>11</v>
      </c>
    </row>
    <row r="2" spans="1:5" s="23" customFormat="1" x14ac:dyDescent="0.25">
      <c r="A2" s="23" t="s">
        <v>67</v>
      </c>
      <c r="B2" s="23" t="s">
        <v>76</v>
      </c>
      <c r="C2" s="23" t="s">
        <v>75</v>
      </c>
      <c r="D2" s="37">
        <v>0.19</v>
      </c>
      <c r="E2" s="39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9"/>
  <sheetViews>
    <sheetView zoomScale="145" zoomScaleNormal="145" workbookViewId="0">
      <selection activeCell="D21" sqref="D21"/>
    </sheetView>
  </sheetViews>
  <sheetFormatPr defaultRowHeight="15" x14ac:dyDescent="0.25"/>
  <cols>
    <col min="1" max="1" width="9.140625" style="7"/>
  </cols>
  <sheetData>
    <row r="1" spans="1:14" ht="15.75" thickBot="1" x14ac:dyDescent="0.3">
      <c r="A1" s="15" t="s">
        <v>47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7"/>
    </row>
    <row r="2" spans="1:14" x14ac:dyDescent="0.25">
      <c r="A2" s="1"/>
      <c r="B2" s="8" t="s">
        <v>10</v>
      </c>
      <c r="C2" s="8" t="s">
        <v>11</v>
      </c>
      <c r="D2" s="9" t="s">
        <v>8</v>
      </c>
      <c r="E2" s="89" t="s">
        <v>54</v>
      </c>
      <c r="F2" s="90"/>
      <c r="G2" s="90"/>
      <c r="H2" s="90"/>
      <c r="I2" s="90"/>
      <c r="J2" s="90"/>
      <c r="K2" s="90"/>
      <c r="L2" s="90"/>
      <c r="M2" s="90"/>
      <c r="N2" s="91"/>
    </row>
    <row r="3" spans="1:14" ht="15.75" thickBot="1" x14ac:dyDescent="0.3">
      <c r="A3" s="6" t="s">
        <v>78</v>
      </c>
      <c r="B3" s="10">
        <f>dtanal!P2</f>
        <v>0.19</v>
      </c>
      <c r="C3" s="19">
        <f>fast!E2</f>
        <v>2</v>
      </c>
      <c r="D3" s="12">
        <f>dtanal!E2</f>
        <v>7.0999999999999994E-2</v>
      </c>
      <c r="E3" s="92" t="s">
        <v>51</v>
      </c>
      <c r="F3" s="93"/>
      <c r="G3" s="93"/>
      <c r="H3" s="93"/>
      <c r="I3" s="93"/>
      <c r="J3" s="93"/>
      <c r="K3" s="93"/>
      <c r="L3" s="93"/>
      <c r="M3" s="93"/>
      <c r="N3" s="94"/>
    </row>
    <row r="4" spans="1:14" x14ac:dyDescent="0.25">
      <c r="A4" s="4"/>
      <c r="B4" s="12" t="s">
        <v>10</v>
      </c>
      <c r="C4" s="89" t="s">
        <v>44</v>
      </c>
      <c r="D4" s="90"/>
      <c r="E4" s="90"/>
      <c r="F4" s="90"/>
      <c r="G4" s="90"/>
      <c r="H4" s="90"/>
      <c r="I4" s="90"/>
      <c r="J4" s="90"/>
      <c r="K4" s="90"/>
      <c r="L4" s="90"/>
      <c r="M4" s="90"/>
      <c r="N4" s="91"/>
    </row>
    <row r="5" spans="1:14" ht="15.75" thickBot="1" x14ac:dyDescent="0.3">
      <c r="A5" s="6" t="s">
        <v>41</v>
      </c>
      <c r="B5" s="11">
        <v>0.1</v>
      </c>
      <c r="C5" s="92" t="s">
        <v>50</v>
      </c>
      <c r="D5" s="93"/>
      <c r="E5" s="93"/>
      <c r="F5" s="93"/>
      <c r="G5" s="93"/>
      <c r="H5" s="93"/>
      <c r="I5" s="93"/>
      <c r="J5" s="93"/>
      <c r="K5" s="93"/>
      <c r="L5" s="93"/>
      <c r="M5" s="93"/>
      <c r="N5" s="94"/>
    </row>
    <row r="6" spans="1:14" x14ac:dyDescent="0.25">
      <c r="A6" s="1"/>
      <c r="B6" s="8" t="s">
        <v>10</v>
      </c>
      <c r="C6" s="9" t="s">
        <v>8</v>
      </c>
      <c r="D6" s="100" t="s">
        <v>44</v>
      </c>
      <c r="E6" s="98"/>
      <c r="F6" s="98"/>
      <c r="G6" s="98"/>
      <c r="H6" s="98"/>
      <c r="I6" s="98"/>
      <c r="J6" s="98"/>
      <c r="K6" s="98"/>
      <c r="L6" s="98"/>
      <c r="M6" s="98"/>
      <c r="N6" s="99"/>
    </row>
    <row r="7" spans="1:14" ht="15.75" thickBot="1" x14ac:dyDescent="0.3">
      <c r="A7" s="4" t="s">
        <v>40</v>
      </c>
      <c r="B7" s="13">
        <v>0.1</v>
      </c>
      <c r="C7" s="12">
        <v>0.1</v>
      </c>
      <c r="D7" s="95" t="s">
        <v>49</v>
      </c>
      <c r="E7" s="96"/>
      <c r="F7" s="96"/>
      <c r="G7" s="96"/>
      <c r="H7" s="96"/>
      <c r="I7" s="96"/>
      <c r="J7" s="96"/>
      <c r="K7" s="96"/>
      <c r="L7" s="96"/>
      <c r="M7" s="96"/>
      <c r="N7" s="97"/>
    </row>
    <row r="8" spans="1:14" x14ac:dyDescent="0.25">
      <c r="A8" s="1"/>
      <c r="B8" s="8" t="s">
        <v>10</v>
      </c>
      <c r="C8" s="8" t="s">
        <v>16</v>
      </c>
      <c r="D8" s="8" t="s">
        <v>17</v>
      </c>
      <c r="E8" s="8" t="s">
        <v>8</v>
      </c>
      <c r="F8" s="9" t="s">
        <v>18</v>
      </c>
      <c r="G8" s="98" t="s">
        <v>44</v>
      </c>
      <c r="H8" s="98"/>
      <c r="I8" s="98"/>
      <c r="J8" s="98"/>
      <c r="K8" s="98"/>
      <c r="L8" s="98"/>
      <c r="M8" s="98"/>
      <c r="N8" s="99"/>
    </row>
    <row r="9" spans="1:14" ht="15.75" thickBot="1" x14ac:dyDescent="0.3">
      <c r="A9" s="4" t="s">
        <v>39</v>
      </c>
      <c r="B9" s="13">
        <v>0.1</v>
      </c>
      <c r="C9" s="13">
        <v>0.1</v>
      </c>
      <c r="D9" s="13">
        <v>0.1</v>
      </c>
      <c r="E9" s="13">
        <v>0.1</v>
      </c>
      <c r="F9" s="12">
        <v>1</v>
      </c>
      <c r="G9" s="96" t="s">
        <v>48</v>
      </c>
      <c r="H9" s="96"/>
      <c r="I9" s="96"/>
      <c r="J9" s="96"/>
      <c r="K9" s="96"/>
      <c r="L9" s="96"/>
      <c r="M9" s="96"/>
      <c r="N9" s="97"/>
    </row>
    <row r="10" spans="1:14" x14ac:dyDescent="0.25">
      <c r="A10" s="1"/>
      <c r="B10" s="8" t="s">
        <v>10</v>
      </c>
      <c r="C10" s="8" t="s">
        <v>20</v>
      </c>
      <c r="D10" s="8" t="s">
        <v>8</v>
      </c>
      <c r="E10" s="8" t="s">
        <v>21</v>
      </c>
      <c r="F10" s="54" t="s">
        <v>44</v>
      </c>
      <c r="G10" s="55"/>
      <c r="H10" s="55"/>
      <c r="I10" s="8" t="s">
        <v>135</v>
      </c>
      <c r="J10" s="8" t="s">
        <v>136</v>
      </c>
      <c r="K10" s="60" t="s">
        <v>137</v>
      </c>
      <c r="L10" s="60" t="s">
        <v>138</v>
      </c>
      <c r="M10" s="55"/>
      <c r="N10" s="56"/>
    </row>
    <row r="11" spans="1:14" ht="15.75" thickBot="1" x14ac:dyDescent="0.3">
      <c r="A11" s="14" t="s">
        <v>52</v>
      </c>
      <c r="B11" s="13">
        <v>0.19</v>
      </c>
      <c r="C11" s="13">
        <v>0.38</v>
      </c>
      <c r="D11" s="13">
        <v>7.0999999999999994E-2</v>
      </c>
      <c r="E11" s="13">
        <v>4.5</v>
      </c>
      <c r="F11" s="57" t="s">
        <v>43</v>
      </c>
      <c r="G11" s="58"/>
      <c r="H11" s="58"/>
      <c r="I11" s="13">
        <v>0.2596</v>
      </c>
      <c r="J11" s="13">
        <v>2.7400000000000001E-2</v>
      </c>
      <c r="K11" s="10">
        <f>B11+I11+J11</f>
        <v>0.47699999999999998</v>
      </c>
      <c r="L11" s="10">
        <f>2*C11-I11+J11</f>
        <v>0.52779999999999994</v>
      </c>
      <c r="M11" s="58"/>
      <c r="N11" s="59"/>
    </row>
    <row r="12" spans="1:14" x14ac:dyDescent="0.25">
      <c r="A12" s="1"/>
      <c r="B12" s="8" t="s">
        <v>10</v>
      </c>
      <c r="C12" s="8" t="s">
        <v>25</v>
      </c>
      <c r="D12" s="8" t="s">
        <v>26</v>
      </c>
      <c r="E12" s="8" t="s">
        <v>8</v>
      </c>
      <c r="F12" s="8" t="s">
        <v>21</v>
      </c>
      <c r="G12" s="100" t="s">
        <v>57</v>
      </c>
      <c r="H12" s="98"/>
      <c r="I12" s="98"/>
      <c r="J12" s="98"/>
      <c r="K12" s="98"/>
      <c r="L12" s="98"/>
      <c r="M12" s="98"/>
      <c r="N12" s="99"/>
    </row>
    <row r="13" spans="1:14" ht="15.75" thickBot="1" x14ac:dyDescent="0.3">
      <c r="A13" s="6" t="s">
        <v>38</v>
      </c>
      <c r="B13" s="10">
        <v>0.1</v>
      </c>
      <c r="C13" s="10">
        <v>8</v>
      </c>
      <c r="D13" s="10">
        <v>1</v>
      </c>
      <c r="E13" s="10">
        <v>0.1</v>
      </c>
      <c r="F13" s="10">
        <v>0.1</v>
      </c>
      <c r="G13" s="95" t="s">
        <v>45</v>
      </c>
      <c r="H13" s="96"/>
      <c r="I13" s="96"/>
      <c r="J13" s="96"/>
      <c r="K13" s="96"/>
      <c r="L13" s="96"/>
      <c r="M13" s="96"/>
      <c r="N13" s="97"/>
    </row>
    <row r="14" spans="1:14" x14ac:dyDescent="0.25">
      <c r="A14" s="1"/>
      <c r="B14" s="8" t="s">
        <v>10</v>
      </c>
      <c r="C14" s="8" t="s">
        <v>17</v>
      </c>
      <c r="D14" s="8" t="s">
        <v>28</v>
      </c>
      <c r="E14" s="8" t="s">
        <v>29</v>
      </c>
      <c r="F14" s="8" t="s">
        <v>30</v>
      </c>
      <c r="G14" s="100" t="s">
        <v>44</v>
      </c>
      <c r="H14" s="98"/>
      <c r="I14" s="98"/>
      <c r="J14" s="98"/>
      <c r="K14" s="98"/>
      <c r="L14" s="98"/>
      <c r="M14" s="98"/>
      <c r="N14" s="99"/>
    </row>
    <row r="15" spans="1:14" ht="15.75" thickBot="1" x14ac:dyDescent="0.3">
      <c r="A15" s="6" t="s">
        <v>37</v>
      </c>
      <c r="B15" s="10">
        <v>0.1</v>
      </c>
      <c r="C15" s="10">
        <v>0.1</v>
      </c>
      <c r="D15" s="10">
        <v>0.1</v>
      </c>
      <c r="E15" s="10">
        <v>0.1</v>
      </c>
      <c r="F15" s="10">
        <v>0.1</v>
      </c>
      <c r="G15" s="95" t="s">
        <v>46</v>
      </c>
      <c r="H15" s="96"/>
      <c r="I15" s="96"/>
      <c r="J15" s="96"/>
      <c r="K15" s="96"/>
      <c r="L15" s="96"/>
      <c r="M15" s="96"/>
      <c r="N15" s="97"/>
    </row>
    <row r="17" spans="1:14" ht="15.75" thickBot="1" x14ac:dyDescent="0.3"/>
    <row r="18" spans="1:14" x14ac:dyDescent="0.25">
      <c r="A18" s="1"/>
      <c r="B18" s="8" t="s">
        <v>10</v>
      </c>
      <c r="C18" s="8" t="s">
        <v>150</v>
      </c>
      <c r="D18" s="8" t="s">
        <v>25</v>
      </c>
      <c r="E18" s="8" t="s">
        <v>26</v>
      </c>
      <c r="F18" s="8" t="s">
        <v>151</v>
      </c>
      <c r="G18" s="100" t="s">
        <v>44</v>
      </c>
      <c r="H18" s="98"/>
      <c r="I18" s="98"/>
      <c r="J18" s="98"/>
      <c r="K18" s="98"/>
      <c r="L18" s="98"/>
      <c r="M18" s="98"/>
      <c r="N18" s="99"/>
    </row>
    <row r="19" spans="1:14" ht="15.75" thickBot="1" x14ac:dyDescent="0.3">
      <c r="A19" s="6" t="s">
        <v>149</v>
      </c>
      <c r="B19" s="10">
        <v>0.1</v>
      </c>
      <c r="C19" s="10">
        <v>0.1</v>
      </c>
      <c r="D19" s="10">
        <v>0.1</v>
      </c>
      <c r="E19" s="10">
        <v>0.1</v>
      </c>
      <c r="F19" s="10">
        <v>0.1</v>
      </c>
      <c r="G19" s="95" t="s">
        <v>152</v>
      </c>
      <c r="H19" s="96"/>
      <c r="I19" s="96"/>
      <c r="J19" s="96"/>
      <c r="K19" s="96"/>
      <c r="L19" s="96"/>
      <c r="M19" s="96"/>
      <c r="N19" s="97"/>
    </row>
  </sheetData>
  <mergeCells count="14">
    <mergeCell ref="G18:N18"/>
    <mergeCell ref="G19:N19"/>
    <mergeCell ref="D6:N6"/>
    <mergeCell ref="D7:N7"/>
    <mergeCell ref="C4:N4"/>
    <mergeCell ref="C5:N5"/>
    <mergeCell ref="E2:N2"/>
    <mergeCell ref="E3:N3"/>
    <mergeCell ref="G15:N15"/>
    <mergeCell ref="G8:N8"/>
    <mergeCell ref="G9:N9"/>
    <mergeCell ref="G12:N12"/>
    <mergeCell ref="G13:N13"/>
    <mergeCell ref="G14:N14"/>
  </mergeCells>
  <hyperlinks>
    <hyperlink ref="A1" r:id="rId1" display="ref"/>
  </hyperlinks>
  <pageMargins left="0.7" right="0.7" top="0.75" bottom="0.75" header="0.3" footer="0.3"/>
  <pageSetup paperSize="9" scale="70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D2"/>
  <sheetViews>
    <sheetView workbookViewId="0">
      <selection activeCell="M30" sqref="M30"/>
    </sheetView>
  </sheetViews>
  <sheetFormatPr defaultRowHeight="15" x14ac:dyDescent="0.25"/>
  <sheetData>
    <row r="1" spans="3:4" x14ac:dyDescent="0.25">
      <c r="C1" t="s">
        <v>169</v>
      </c>
      <c r="D1" t="s">
        <v>170</v>
      </c>
    </row>
    <row r="2" spans="3:4" x14ac:dyDescent="0.25">
      <c r="C2">
        <v>1</v>
      </c>
      <c r="D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</vt:lpstr>
      <vt:lpstr>dtanal</vt:lpstr>
      <vt:lpstr>92.06</vt:lpstr>
      <vt:lpstr>mat</vt:lpstr>
      <vt:lpstr>fast</vt:lpstr>
      <vt:lpstr>J</vt:lpstr>
      <vt:lpstr>Sheet1</vt:lpstr>
      <vt:lpstr>D</vt:lpstr>
    </vt:vector>
  </TitlesOfParts>
  <Company>The Boeing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Klimovskikh, Alexander V</dc:creator>
  <cp:lastModifiedBy>Klimovskikh, Alexander V</cp:lastModifiedBy>
  <cp:lastPrinted>2020-01-09T09:58:53Z</cp:lastPrinted>
  <dcterms:created xsi:type="dcterms:W3CDTF">2019-12-11T10:12:04Z</dcterms:created>
  <dcterms:modified xsi:type="dcterms:W3CDTF">2020-01-13T09:17:13Z</dcterms:modified>
</cp:coreProperties>
</file>