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vk\index\xlsm\p06_chris\"/>
    </mc:Choice>
  </mc:AlternateContent>
  <bookViews>
    <workbookView xWindow="37290" yWindow="-15" windowWidth="13920" windowHeight="13380" tabRatio="830"/>
  </bookViews>
  <sheets>
    <sheet name="general" sheetId="4" r:id="rId1"/>
    <sheet name="hist" sheetId="12" r:id="rId2"/>
    <sheet name="wokflow" sheetId="15" r:id="rId3"/>
  </sheets>
  <functionGroups builtInGroupCount="18"/>
  <externalReferences>
    <externalReference r:id="rId4"/>
  </externalReferences>
  <definedNames>
    <definedName name="AMOC_S" localSheetId="2">#REF!</definedName>
    <definedName name="AMOC_S">#REF!</definedName>
    <definedName name="AMOC_ST" localSheetId="2">#REF!</definedName>
    <definedName name="AMOC_ST">#REF!</definedName>
    <definedName name="d" localSheetId="2">#REF!</definedName>
    <definedName name="d">#REF!</definedName>
    <definedName name="Dev_DE" localSheetId="2">#REF!</definedName>
    <definedName name="Dev_DE">#REF!</definedName>
    <definedName name="EM" localSheetId="2">#REF!</definedName>
    <definedName name="EM">#REF!</definedName>
    <definedName name="Fat_Fr" localSheetId="2">#REF!</definedName>
    <definedName name="Fat_Fr">#REF!</definedName>
    <definedName name="Fat_IS" localSheetId="2">#REF!</definedName>
    <definedName name="Fat_IS">#REF!</definedName>
    <definedName name="foreign" localSheetId="2">#REF!</definedName>
    <definedName name="foreign">#REF!</definedName>
    <definedName name="Fsu" localSheetId="2">#REF!</definedName>
    <definedName name="Fsu">#REF!</definedName>
    <definedName name="list">general!$A$22</definedName>
    <definedName name="Other" localSheetId="2">#REF!</definedName>
    <definedName name="Other">#REF!</definedName>
    <definedName name="Psh" localSheetId="2">#REF!</definedName>
    <definedName name="Psh">#REF!</definedName>
    <definedName name="t" localSheetId="2">#REF!</definedName>
    <definedName name="t">#REF!</definedName>
    <definedName name="tem">general!$AT$22</definedName>
    <definedName name="usa" localSheetId="2">#REF!</definedName>
    <definedName name="usa">#REF!</definedName>
  </definedNames>
  <calcPr calcId="152511"/>
</workbook>
</file>

<file path=xl/calcChain.xml><?xml version="1.0" encoding="utf-8"?>
<calcChain xmlns="http://schemas.openxmlformats.org/spreadsheetml/2006/main">
  <c r="A23" i="4" l="1"/>
</calcChain>
</file>

<file path=xl/sharedStrings.xml><?xml version="1.0" encoding="utf-8"?>
<sst xmlns="http://schemas.openxmlformats.org/spreadsheetml/2006/main" count="237" uniqueCount="178">
  <si>
    <t>-166 - [5/1]</t>
  </si>
  <si>
    <t>-524 - [5/1] - no angle</t>
  </si>
  <si>
    <t>-300/400</t>
  </si>
  <si>
    <t>-300/400/500</t>
  </si>
  <si>
    <t>-200/200C</t>
  </si>
  <si>
    <t>-1/-524 - [5/2] - no angle</t>
  </si>
  <si>
    <t>-1/-524 - [1/2] - no angle</t>
  </si>
  <si>
    <t>-1/-524 - [2/2] - no angle</t>
  </si>
  <si>
    <t>-524 - [1/1] - angle</t>
  </si>
  <si>
    <t>-524 - [2/1] - angle</t>
  </si>
  <si>
    <t>-166 - [1/1]</t>
  </si>
  <si>
    <t>-166 - [2/1]</t>
  </si>
  <si>
    <t>-358sh16 - [3/1] - bonded</t>
  </si>
  <si>
    <t>-358sh16 - [4/1] - bonded</t>
  </si>
  <si>
    <t>-358sh24 - [3/2] - chem_mil</t>
  </si>
  <si>
    <t>-358sh24 - [4/2] - chem_mil</t>
  </si>
  <si>
    <t>-183sh13,-230, -337, -340sh16 - [3/1]</t>
  </si>
  <si>
    <t>-183sh13,-230, -337, -340sh16 - [4/1]</t>
  </si>
  <si>
    <t>I</t>
  </si>
  <si>
    <t>III</t>
  </si>
  <si>
    <t>II</t>
  </si>
  <si>
    <t>Name</t>
  </si>
  <si>
    <t>dash</t>
  </si>
  <si>
    <t>65-47952-358</t>
  </si>
  <si>
    <t>Door P/N</t>
  </si>
  <si>
    <t>Door S/N</t>
  </si>
  <si>
    <t>Hours</t>
  </si>
  <si>
    <t>Cycles</t>
  </si>
  <si>
    <t>SR #</t>
  </si>
  <si>
    <t>#</t>
  </si>
  <si>
    <t>LN</t>
  </si>
  <si>
    <t>Var</t>
  </si>
  <si>
    <t>Basic</t>
  </si>
  <si>
    <t>Reg</t>
  </si>
  <si>
    <t>Serial</t>
  </si>
  <si>
    <t>FFr</t>
  </si>
  <si>
    <t>FE</t>
  </si>
  <si>
    <t>FD</t>
  </si>
  <si>
    <t>AD</t>
  </si>
  <si>
    <t>AE</t>
  </si>
  <si>
    <t>AFr</t>
  </si>
  <si>
    <t>s4a</t>
  </si>
  <si>
    <t>s4b</t>
  </si>
  <si>
    <t>s4c</t>
  </si>
  <si>
    <t>f4a</t>
  </si>
  <si>
    <t>f4b</t>
  </si>
  <si>
    <t>f5a</t>
  </si>
  <si>
    <t>f6a</t>
  </si>
  <si>
    <t>o1</t>
  </si>
  <si>
    <t>f6b</t>
  </si>
  <si>
    <t>tem</t>
  </si>
  <si>
    <t>s2a</t>
  </si>
  <si>
    <t>s2b</t>
  </si>
  <si>
    <t>OS replace</t>
  </si>
  <si>
    <t>OS splice</t>
  </si>
  <si>
    <t>o2</t>
  </si>
  <si>
    <t>T-chord replace</t>
  </si>
  <si>
    <t>Freeze Plug</t>
  </si>
  <si>
    <t>Block1</t>
  </si>
  <si>
    <t>Block 2</t>
  </si>
  <si>
    <t>Answer to requests -&gt; Castle -&gt; Job -&gt; Disposition Text -&gt; Job (at the up) -&gt;Request Approval -&gt; OK</t>
  </si>
  <si>
    <t>s4e</t>
  </si>
  <si>
    <t>Differnet fasteners IS</t>
  </si>
  <si>
    <t>Differnet fasteners OS</t>
  </si>
  <si>
    <t>f6c</t>
  </si>
  <si>
    <t>No</t>
  </si>
  <si>
    <t>s4f</t>
  </si>
  <si>
    <t>f2a</t>
  </si>
  <si>
    <t>Wrong location</t>
  </si>
  <si>
    <t>f1a</t>
  </si>
  <si>
    <t>Missing fastener</t>
  </si>
  <si>
    <t>s4g</t>
  </si>
  <si>
    <t>s1a</t>
  </si>
  <si>
    <t>s1b</t>
  </si>
  <si>
    <t>f5b</t>
  </si>
  <si>
    <t>24 flush rivet</t>
  </si>
  <si>
    <t>o3a</t>
  </si>
  <si>
    <t>s1c</t>
  </si>
  <si>
    <t>f5c</t>
  </si>
  <si>
    <t>o4</t>
  </si>
  <si>
    <t>o5</t>
  </si>
  <si>
    <t>Existing repair</t>
  </si>
  <si>
    <t>SEM -Channel</t>
  </si>
  <si>
    <t>SEM -IS</t>
  </si>
  <si>
    <t>SEM - Stop Fitting</t>
  </si>
  <si>
    <t>SEM Frame</t>
  </si>
  <si>
    <t>f3a</t>
  </si>
  <si>
    <t>1 instead of 2</t>
  </si>
  <si>
    <t>SEM - Repair T-chord</t>
  </si>
  <si>
    <t>Enlarged f.hole</t>
  </si>
  <si>
    <t>devFE</t>
  </si>
  <si>
    <t>devAE</t>
  </si>
  <si>
    <t>devFFr</t>
  </si>
  <si>
    <t>devFD</t>
  </si>
  <si>
    <t>SEM Angle</t>
  </si>
  <si>
    <t>C</t>
  </si>
  <si>
    <t>N</t>
  </si>
  <si>
    <t>M</t>
  </si>
  <si>
    <t>o6</t>
  </si>
  <si>
    <t>New Chan not match</t>
  </si>
  <si>
    <t>Contact with Stop Fit</t>
  </si>
  <si>
    <t>-01C</t>
  </si>
  <si>
    <t>s4h</t>
  </si>
  <si>
    <t>SEM - Inner chord -10</t>
  </si>
  <si>
    <t>SEM - Web -257</t>
  </si>
  <si>
    <t>s4i</t>
  </si>
  <si>
    <t>SEM -Tchord - 377</t>
  </si>
  <si>
    <t>s3a</t>
  </si>
  <si>
    <t>o3b</t>
  </si>
  <si>
    <t>Cover IS FWD</t>
  </si>
  <si>
    <t>f7a</t>
  </si>
  <si>
    <t>Cont ConRod Bond</t>
  </si>
  <si>
    <t>Cont ConRod Chem</t>
  </si>
  <si>
    <t>f6d</t>
  </si>
  <si>
    <t>short edge margins were found in the Beam E Radius Fillers (65C37547-22/-32).</t>
  </si>
  <si>
    <t>The radius fillers were segmented, and the short edge margins were accepted.</t>
  </si>
  <si>
    <t>G/C_E</t>
  </si>
  <si>
    <t>G/C_D</t>
  </si>
  <si>
    <t>s2c</t>
  </si>
  <si>
    <t>Cover IS FWD &amp; AFT</t>
  </si>
  <si>
    <t>TCO - SWA - always "spare door" | Ctrl+F - check Communication Report for "repair", "crack"</t>
  </si>
  <si>
    <t>Bolt in countersink</t>
  </si>
  <si>
    <t>END Margin</t>
  </si>
  <si>
    <t>s1d</t>
  </si>
  <si>
    <t>R Filler SEM FWD</t>
  </si>
  <si>
    <t>R Filler SEM AFT</t>
  </si>
  <si>
    <t>R Filler SEM both</t>
  </si>
  <si>
    <t>R Filler Oversized FWD</t>
  </si>
  <si>
    <t>s1e</t>
  </si>
  <si>
    <t>US/No</t>
  </si>
  <si>
    <t>Castle -&gt; Copy telex_name</t>
  </si>
  <si>
    <t>BCS -&gt; Paste telex_name</t>
  </si>
  <si>
    <t>BCS -&gt; CommunicationReport -&gt; Create c/avk/COmmunicationReport.txt</t>
  </si>
  <si>
    <t>24 flush rivet+OvSz</t>
  </si>
  <si>
    <t>IS OvSz+SEM</t>
  </si>
  <si>
    <t>E IC OvSz+SEM</t>
  </si>
  <si>
    <t>Beam E, Beam D</t>
  </si>
  <si>
    <t>f6e</t>
  </si>
  <si>
    <t>OS - fwd E</t>
  </si>
  <si>
    <t>f6f</t>
  </si>
  <si>
    <t>OS - aft E+OverS</t>
  </si>
  <si>
    <t>FF- Contact Collar</t>
  </si>
  <si>
    <t>f6g</t>
  </si>
  <si>
    <t>AF- Contact Collar</t>
  </si>
  <si>
    <t>size 6 instead of 5</t>
  </si>
  <si>
    <t>E&amp;D replacement</t>
  </si>
  <si>
    <t>STZ-YIH-17-0036</t>
  </si>
  <si>
    <t>15 Mar 2016</t>
  </si>
  <si>
    <t>3-3927221161</t>
  </si>
  <si>
    <t>STZ-YIH-17-0077</t>
  </si>
  <si>
    <t>PQ295</t>
  </si>
  <si>
    <t>B-2661</t>
  </si>
  <si>
    <t>002268</t>
  </si>
  <si>
    <t>37,478</t>
  </si>
  <si>
    <t>50, 826</t>
  </si>
  <si>
    <t>P6277</t>
  </si>
  <si>
    <t>17 Jul 2016</t>
  </si>
  <si>
    <t>GAMOC</t>
  </si>
  <si>
    <t>replace Channel</t>
  </si>
  <si>
    <t>acd</t>
  </si>
  <si>
    <t>problem</t>
  </si>
  <si>
    <t>repair</t>
  </si>
  <si>
    <t>Bookmark</t>
  </si>
  <si>
    <t>fatigue_analysis_e-mod.tem/dta</t>
  </si>
  <si>
    <t>737-52a1153_r00_fatigue_and dt.tem/dta</t>
  </si>
  <si>
    <t>comRep</t>
  </si>
  <si>
    <t>length</t>
  </si>
  <si>
    <t>comments</t>
  </si>
  <si>
    <t>bonded: 65-47952sh16(BB6), 65C30004sh21(VT6), 65C37547sh18(VH5)</t>
  </si>
  <si>
    <t>bonded: 65-47952sh24(CE6), 65C30004sh23(VH6), 65C37547sh21(VH6)</t>
  </si>
  <si>
    <t xml:space="preserve"> </t>
  </si>
  <si>
    <t xml:space="preserve">All Communications for SR #: 3-3813821845     -------------------------------------------------------------------------------- Message Number: STZ-YIH-17-0036-01C Type: Web - Inbound Sub Type: Request Owner: Vaughan Julie M Created: 03/15/2017 00:31:28  Email Subject: STZ-17-0374//B-2662//AFT CARGO DOOR CROSS BEAM E PREVENTIVE MODIFICATION - DEVIATIONS TO SB 737-52A1153 R1  Email Body: FROM: THE BOEING COMPANY TO: STAECO (STZ) [MESSAGE NUMBER:STZ-YIH-17-0036-01C]      Request MESSAGE DATE:  15 Mar 2017 0035 US PACIFIC TIME / 15  Mar 2017 0735 GMT  Your message has been received.  If a response has been requested it will be provided on or before 17-Mar-2017.  This message is sent to the following: 24 Hour STZ at STAECO Dai Siliu at China Postal Airlines Eng. &amp; Tech Group at China Postal Airlines Wenming Guo at China Postal Airlines Shuanglin Li at China Postal Airlines Yin  Yunxin at STAECO  SERVICE REQUEST ID:     3-3813821845 PRIORITY:               Critical ACCOUNT:                STAECO (STZ) DUE DATE:               17-Mar-2017 PROJECT:                BFSTNA-Jinan-China PRODUCT TYPE:           Airplane PRODUCT LINE:           737 PRODUCT:                737-300 ATA:                    5235-00  AIRPLANE (VARIABLE/SERIAL): PQ493/24988       REGISTRY: B-2662 HOURS/CYCLES:50 675/37 142       WINGLETS: No Winglets  SUBJECT: STZ-17-0374//B-2662//AFT CARGO DOOR CROSS BEAM E PREVENTIVE MODIFICATION - DEVIATIONS TO SB 737-52A1153 R1  REFERENCES: /A/ AFT CARGO DOOR P/N: 65-47952-358 S/N: 002324 /B/ BOEING SB 737-52A1153 Rev.01 /C/ DEVIATION SKETCH  DESCRIPTION: Description ====================== MESSAGE: During the 3C check to datum aircraft deviations were found while performing the preventive modification to the cross beam E of Ref/A/ per REF/B/. See REF/C/ for details. STZ propose to deal with these deviations as follows: Note: STZ/YIH confirmed that this repair area is outside of the cargo conversion affected area per PEMCO Supplemental Type Certificate (STC) conversion map. DEVIATION 1: As per the DWG 65C37547 sheet 20 the 4 indicated fastener holes diameter should be 5/32" however the actual diameter of the 4 holes is 3/16". SOLUTION 1: Install the BACB30YP6K* Hi-lok with BACC30BS collar at these 4 fastener locations. DEVIATION 2: As per the DWG 65C37547 sheet 20 the 4 indicated fastener holes diameter should be 5/32" however the actual diameter of the 4 holes is 3/16". And at location A &amp; B due to the space limit the Hi-lok+collar cannot be installed. SOLUTION 2: 1)	Install the BACB30YP6K* Hi-lok with BACC30BS collar at location C &amp; D. 2)	Install the BACR15CE6M* rivet at location A &amp; B.   Desired Action ====================== 1)	Please kindly advise whether our proposal can be acceptable or not. 2)	If not please provide a suitable solution method. 3)	Please respond on or before 17-Mar-2017. We always appreciate your timely help greatly!   Purchase Order Number (if required) ======================     Best wishes   ******************************************* Jack Yin yyx@staeco.com Technical &amp; Engineering Dep. STAECO Tel: 86-531-58802739 Fax: 86-531-82082975 Cell: 86-156 6581 7011 *******************************************   When present attachment names are listed below this line:  Attachment: STZ-17-0374.pdf   SR App (Legacy): https://myboeingfleet.boeing.com/servicerequests/index.html?entityId=3-1R2KXSJ&amp;entityType=CommunicationMessage       </t>
  </si>
  <si>
    <t>PQ493</t>
  </si>
  <si>
    <t>50 675</t>
  </si>
  <si>
    <t>37 142</t>
  </si>
  <si>
    <t>B-2662</t>
  </si>
  <si>
    <t>002324</t>
  </si>
  <si>
    <t>3-3813821845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</si>
</sst>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3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2" fillId="4" borderId="7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" fillId="0" borderId="1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/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 vertical="top"/>
    </xf>
    <xf numFmtId="0" fontId="2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 vertical="top"/>
    </xf>
    <xf numFmtId="0" fontId="5" fillId="0" borderId="19" xfId="0" applyFont="1" applyFill="1" applyBorder="1" applyAlignment="1">
      <alignment horizontal="left" vertical="top"/>
    </xf>
    <xf numFmtId="0" fontId="5" fillId="0" borderId="20" xfId="0" applyFont="1" applyFill="1" applyBorder="1" applyAlignment="1">
      <alignment horizontal="left" vertical="top"/>
    </xf>
    <xf numFmtId="0" fontId="5" fillId="0" borderId="1" xfId="0" applyFont="1" applyFill="1" applyBorder="1" applyAlignment="1">
      <alignment horizontal="left" vertical="top"/>
    </xf>
    <xf numFmtId="16" fontId="5" fillId="0" borderId="19" xfId="0" applyNumberFormat="1" applyFont="1" applyFill="1" applyBorder="1" applyAlignment="1">
      <alignment horizontal="left" vertical="top"/>
    </xf>
    <xf numFmtId="16" fontId="5" fillId="0" borderId="3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18" xfId="0" applyFill="1" applyBorder="1" applyAlignment="1">
      <alignment horizontal="left" vertical="top"/>
    </xf>
    <xf numFmtId="0" fontId="0" fillId="0" borderId="1" xfId="0" applyBorder="1" applyAlignment="1">
      <alignment vertical="top"/>
    </xf>
    <xf numFmtId="0" fontId="5" fillId="0" borderId="1" xfId="0" quotePrefix="1" applyFont="1" applyBorder="1" applyAlignment="1">
      <alignment horizontal="left" vertical="top"/>
    </xf>
    <xf numFmtId="16" fontId="5" fillId="0" borderId="1" xfId="0" quotePrefix="1" applyNumberFormat="1" applyFont="1" applyBorder="1" applyAlignment="1">
      <alignment horizontal="left" vertical="top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49" fontId="6" fillId="0" borderId="0" xfId="0" applyNumberFormat="1" applyFont="1" applyFill="1" applyBorder="1" applyAlignment="1">
      <alignment horizontal="center"/>
    </xf>
    <xf numFmtId="49" fontId="6" fillId="0" borderId="1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Border="1" applyAlignment="1">
      <alignment horizontal="left" vertical="top"/>
    </xf>
    <xf numFmtId="49" fontId="6" fillId="0" borderId="1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left" vertical="center"/>
    </xf>
    <xf numFmtId="0" fontId="0" fillId="5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0" borderId="1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3" fillId="0" borderId="0" xfId="0" quotePrefix="1" applyFont="1"/>
    <xf numFmtId="0" fontId="0" fillId="0" borderId="28" xfId="0" applyFill="1" applyBorder="1" applyAlignment="1">
      <alignment horizontal="center"/>
    </xf>
    <xf numFmtId="0" fontId="1" fillId="0" borderId="0" xfId="0" applyFont="1" applyBorder="1" applyAlignment="1">
      <alignment vertical="center"/>
    </xf>
    <xf numFmtId="0" fontId="1" fillId="0" borderId="9" xfId="0" applyFont="1" applyBorder="1" applyAlignment="1">
      <alignment horizontal="left" vertical="center"/>
    </xf>
    <xf numFmtId="0" fontId="1" fillId="0" borderId="29" xfId="0" applyFont="1" applyBorder="1" applyAlignment="1">
      <alignment horizontal="left" vertical="center"/>
    </xf>
    <xf numFmtId="0" fontId="1" fillId="0" borderId="28" xfId="0" applyFont="1" applyBorder="1" applyAlignment="1">
      <alignment horizontal="left"/>
    </xf>
    <xf numFmtId="0" fontId="3" fillId="0" borderId="5" xfId="0" applyFont="1" applyBorder="1" applyAlignment="1">
      <alignment horizontal="center" vertical="center"/>
    </xf>
    <xf numFmtId="0" fontId="6" fillId="0" borderId="12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2" fontId="3" fillId="0" borderId="13" xfId="0" applyNumberFormat="1" applyFont="1" applyBorder="1" applyAlignment="1">
      <alignment horizontal="center" textRotation="90"/>
    </xf>
    <xf numFmtId="2" fontId="3" fillId="0" borderId="12" xfId="0" applyNumberFormat="1" applyFont="1" applyBorder="1" applyAlignment="1">
      <alignment horizontal="center" textRotation="90"/>
    </xf>
    <xf numFmtId="2" fontId="3" fillId="0" borderId="14" xfId="0" applyNumberFormat="1" applyFont="1" applyBorder="1" applyAlignment="1">
      <alignment horizontal="center" textRotation="90"/>
    </xf>
    <xf numFmtId="0" fontId="0" fillId="5" borderId="4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2" fillId="5" borderId="6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1" fillId="2" borderId="6" xfId="0" quotePrefix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2" fontId="3" fillId="0" borderId="27" xfId="0" applyNumberFormat="1" applyFont="1" applyBorder="1" applyAlignment="1">
      <alignment horizontal="center" textRotation="90"/>
    </xf>
    <xf numFmtId="2" fontId="3" fillId="0" borderId="11" xfId="0" applyNumberFormat="1" applyFont="1" applyBorder="1" applyAlignment="1">
      <alignment horizontal="center" textRotation="90"/>
    </xf>
    <xf numFmtId="2" fontId="3" fillId="0" borderId="16" xfId="0" applyNumberFormat="1" applyFont="1" applyBorder="1" applyAlignment="1">
      <alignment horizontal="center" textRotation="90"/>
    </xf>
    <xf numFmtId="0" fontId="1" fillId="6" borderId="6" xfId="0" quotePrefix="1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2" fontId="3" fillId="5" borderId="13" xfId="0" applyNumberFormat="1" applyFont="1" applyFill="1" applyBorder="1" applyAlignment="1">
      <alignment horizontal="center" textRotation="90"/>
    </xf>
    <xf numFmtId="2" fontId="3" fillId="5" borderId="12" xfId="0" applyNumberFormat="1" applyFont="1" applyFill="1" applyBorder="1" applyAlignment="1">
      <alignment horizontal="center" textRotation="90"/>
    </xf>
    <xf numFmtId="2" fontId="3" fillId="5" borderId="14" xfId="0" applyNumberFormat="1" applyFont="1" applyFill="1" applyBorder="1" applyAlignment="1">
      <alignment horizontal="center" textRotation="90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2" fontId="3" fillId="0" borderId="26" xfId="0" applyNumberFormat="1" applyFont="1" applyBorder="1" applyAlignment="1">
      <alignment horizontal="center" textRotation="90"/>
    </xf>
    <xf numFmtId="2" fontId="3" fillId="0" borderId="17" xfId="0" applyNumberFormat="1" applyFont="1" applyBorder="1" applyAlignment="1">
      <alignment horizontal="center" textRotation="90"/>
    </xf>
    <xf numFmtId="2" fontId="3" fillId="0" borderId="23" xfId="0" applyNumberFormat="1" applyFont="1" applyBorder="1" applyAlignment="1">
      <alignment horizontal="center" textRotation="90"/>
    </xf>
    <xf numFmtId="0" fontId="1" fillId="3" borderId="6" xfId="0" quotePrefix="1" applyFont="1" applyFill="1" applyBorder="1" applyAlignment="1">
      <alignment horizontal="center"/>
    </xf>
    <xf numFmtId="0" fontId="1" fillId="3" borderId="7" xfId="0" quotePrefix="1" applyFont="1" applyFill="1" applyBorder="1" applyAlignment="1">
      <alignment horizontal="center"/>
    </xf>
    <xf numFmtId="0" fontId="1" fillId="3" borderId="8" xfId="0" quotePrefix="1" applyFont="1" applyFill="1" applyBorder="1" applyAlignment="1">
      <alignment horizontal="center"/>
    </xf>
    <xf numFmtId="0" fontId="1" fillId="0" borderId="6" xfId="0" quotePrefix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0" borderId="7" xfId="0" quotePrefix="1" applyFont="1" applyBorder="1" applyAlignment="1">
      <alignment horizontal="center"/>
    </xf>
    <xf numFmtId="0" fontId="1" fillId="0" borderId="8" xfId="0" quotePrefix="1" applyFont="1" applyBorder="1" applyAlignment="1">
      <alignment horizontal="center"/>
    </xf>
    <xf numFmtId="0" fontId="3" fillId="4" borderId="6" xfId="0" quotePrefix="1" applyFont="1" applyFill="1" applyBorder="1" applyAlignment="1">
      <alignment horizontal="center"/>
    </xf>
    <xf numFmtId="0" fontId="3" fillId="4" borderId="7" xfId="0" quotePrefix="1" applyFont="1" applyFill="1" applyBorder="1" applyAlignment="1">
      <alignment horizontal="center"/>
    </xf>
    <xf numFmtId="0" fontId="1" fillId="2" borderId="7" xfId="0" quotePrefix="1" applyFont="1" applyFill="1" applyBorder="1" applyAlignment="1">
      <alignment horizontal="center"/>
    </xf>
    <xf numFmtId="0" fontId="1" fillId="2" borderId="8" xfId="0" quotePrefix="1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3" fillId="5" borderId="6" xfId="0" quotePrefix="1" applyFont="1" applyFill="1" applyBorder="1" applyAlignment="1">
      <alignment horizontal="center"/>
    </xf>
    <xf numFmtId="0" fontId="3" fillId="5" borderId="7" xfId="0" quotePrefix="1" applyFont="1" applyFill="1" applyBorder="1" applyAlignment="1">
      <alignment horizontal="center"/>
    </xf>
    <xf numFmtId="0" fontId="3" fillId="5" borderId="8" xfId="0" quotePrefix="1" applyFont="1" applyFill="1" applyBorder="1" applyAlignment="1">
      <alignment horizontal="center"/>
    </xf>
    <xf numFmtId="0" fontId="0" fillId="4" borderId="0" xfId="0" applyFill="1" applyAlignment="1">
      <alignment horizontal="left"/>
    </xf>
    <xf numFmtId="0" fontId="0" fillId="0" borderId="24" xfId="0" applyFill="1" applyBorder="1" applyAlignment="1">
      <alignment horizontal="center"/>
    </xf>
    <xf numFmtId="0" fontId="0" fillId="7" borderId="0" xfId="0" applyFill="1" applyAlignment="1">
      <alignment horizontal="left"/>
    </xf>
    <xf numFmtId="0" fontId="0" fillId="7" borderId="0" xfId="0" applyFill="1" applyBorder="1" applyAlignment="1">
      <alignment horizontal="left"/>
    </xf>
    <xf numFmtId="0" fontId="0" fillId="0" borderId="25" xfId="0" applyFill="1" applyBorder="1" applyAlignment="1">
      <alignment horizontal="center"/>
    </xf>
    <xf numFmtId="3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49" fontId="6" fillId="0" borderId="0" xfId="0" quotePrefix="1" applyNumberFormat="1" applyFont="1" applyFill="1" applyBorder="1" applyAlignment="1">
      <alignment horizontal="center" wrapText="1"/>
    </xf>
    <xf numFmtId="3" fontId="6" fillId="0" borderId="0" xfId="0" quotePrefix="1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3" fontId="7" fillId="0" borderId="0" xfId="0" applyNumberFormat="1" applyFont="1" applyFill="1" applyBorder="1" applyAlignment="1">
      <alignment horizontal="center"/>
    </xf>
    <xf numFmtId="3" fontId="7" fillId="0" borderId="0" xfId="0" quotePrefix="1" applyNumberFormat="1" applyFont="1" applyFill="1" applyBorder="1" applyAlignment="1">
      <alignment horizontal="center"/>
    </xf>
    <xf numFmtId="49" fontId="7" fillId="0" borderId="0" xfId="0" quotePrefix="1" applyNumberFormat="1" applyFont="1" applyFill="1" applyBorder="1" applyAlignment="1">
      <alignment horizontal="center" wrapText="1"/>
    </xf>
    <xf numFmtId="49" fontId="7" fillId="0" borderId="17" xfId="0" applyNumberFormat="1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49" fontId="7" fillId="0" borderId="11" xfId="0" applyNumberFormat="1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3" fontId="8" fillId="0" borderId="0" xfId="0" applyNumberFormat="1" applyFont="1" applyFill="1" applyBorder="1" applyAlignment="1">
      <alignment horizontal="center"/>
    </xf>
    <xf numFmtId="3" fontId="8" fillId="0" borderId="0" xfId="0" quotePrefix="1" applyNumberFormat="1" applyFont="1" applyFill="1" applyBorder="1" applyAlignment="1">
      <alignment horizontal="center"/>
    </xf>
    <xf numFmtId="49" fontId="8" fillId="0" borderId="0" xfId="0" quotePrefix="1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228600</xdr:colOff>
          <xdr:row>15</xdr:row>
          <xdr:rowOff>0</xdr:rowOff>
        </xdr:from>
        <xdr:to>
          <xdr:col>45</xdr:col>
          <xdr:colOff>190500</xdr:colOff>
          <xdr:row>17</xdr:row>
          <xdr:rowOff>123825</xdr:rowOff>
        </xdr:to>
        <xdr:sp macro="" textlink="">
          <xdr:nvSpPr>
            <xdr:cNvPr id="4102" name="Send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103835</xdr:colOff>
      <xdr:row>4</xdr:row>
      <xdr:rowOff>92056</xdr:rowOff>
    </xdr:from>
    <xdr:to>
      <xdr:col>10</xdr:col>
      <xdr:colOff>182662</xdr:colOff>
      <xdr:row>6</xdr:row>
      <xdr:rowOff>66010</xdr:rowOff>
    </xdr:to>
    <xdr:sp macro="" textlink="">
      <xdr:nvSpPr>
        <xdr:cNvPr id="2" name="Rectangle 1"/>
        <xdr:cNvSpPr/>
      </xdr:nvSpPr>
      <xdr:spPr>
        <a:xfrm>
          <a:off x="3761435" y="854056"/>
          <a:ext cx="2517227" cy="354954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SEM</a:t>
          </a:r>
          <a:r>
            <a:rPr lang="en-US" sz="900" baseline="0"/>
            <a:t> in Filler</a:t>
          </a:r>
          <a:endParaRPr lang="en-US" sz="900"/>
        </a:p>
      </xdr:txBody>
    </xdr:sp>
    <xdr:clientData/>
  </xdr:twoCellAnchor>
  <xdr:twoCellAnchor>
    <xdr:from>
      <xdr:col>5</xdr:col>
      <xdr:colOff>102577</xdr:colOff>
      <xdr:row>9</xdr:row>
      <xdr:rowOff>53240</xdr:rowOff>
    </xdr:from>
    <xdr:to>
      <xdr:col>6</xdr:col>
      <xdr:colOff>133405</xdr:colOff>
      <xdr:row>11</xdr:row>
      <xdr:rowOff>0</xdr:rowOff>
    </xdr:to>
    <xdr:cxnSp macro="">
      <xdr:nvCxnSpPr>
        <xdr:cNvPr id="3" name="Straight Arrow Connector 2"/>
        <xdr:cNvCxnSpPr/>
      </xdr:nvCxnSpPr>
      <xdr:spPr>
        <a:xfrm flipH="1">
          <a:off x="3150577" y="1767740"/>
          <a:ext cx="640428" cy="32776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240128</xdr:colOff>
      <xdr:row>13</xdr:row>
      <xdr:rowOff>1841</xdr:rowOff>
    </xdr:from>
    <xdr:to>
      <xdr:col>3</xdr:col>
      <xdr:colOff>240128</xdr:colOff>
      <xdr:row>14</xdr:row>
      <xdr:rowOff>38182</xdr:rowOff>
    </xdr:to>
    <xdr:cxnSp macro="">
      <xdr:nvCxnSpPr>
        <xdr:cNvPr id="4" name="Straight Arrow Connector 3"/>
        <xdr:cNvCxnSpPr/>
      </xdr:nvCxnSpPr>
      <xdr:spPr>
        <a:xfrm>
          <a:off x="2068928" y="2478341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209177</xdr:colOff>
      <xdr:row>14</xdr:row>
      <xdr:rowOff>56541</xdr:rowOff>
    </xdr:from>
    <xdr:to>
      <xdr:col>15</xdr:col>
      <xdr:colOff>124240</xdr:colOff>
      <xdr:row>17</xdr:row>
      <xdr:rowOff>20971</xdr:rowOff>
    </xdr:to>
    <xdr:sp macro="" textlink="">
      <xdr:nvSpPr>
        <xdr:cNvPr id="5" name="Rectangle 4"/>
        <xdr:cNvSpPr/>
      </xdr:nvSpPr>
      <xdr:spPr>
        <a:xfrm>
          <a:off x="6305177" y="2723541"/>
          <a:ext cx="2963063" cy="535930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Deviation 1</a:t>
          </a:r>
        </a:p>
        <a:p>
          <a:pPr algn="ctr"/>
          <a:r>
            <a:rPr lang="en-US" sz="900"/>
            <a:t>Segment the Filler</a:t>
          </a:r>
        </a:p>
      </xdr:txBody>
    </xdr:sp>
    <xdr:clientData/>
  </xdr:twoCellAnchor>
  <xdr:twoCellAnchor>
    <xdr:from>
      <xdr:col>6</xdr:col>
      <xdr:colOff>131695</xdr:colOff>
      <xdr:row>7</xdr:row>
      <xdr:rowOff>114698</xdr:rowOff>
    </xdr:from>
    <xdr:to>
      <xdr:col>10</xdr:col>
      <xdr:colOff>210522</xdr:colOff>
      <xdr:row>10</xdr:row>
      <xdr:rowOff>74419</xdr:rowOff>
    </xdr:to>
    <xdr:sp macro="" textlink="">
      <xdr:nvSpPr>
        <xdr:cNvPr id="6" name="Rectangle 5"/>
        <xdr:cNvSpPr/>
      </xdr:nvSpPr>
      <xdr:spPr>
        <a:xfrm>
          <a:off x="3789295" y="1448198"/>
          <a:ext cx="2517227" cy="531221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Check Channel</a:t>
          </a:r>
          <a:r>
            <a:rPr lang="en-US" sz="900" baseline="0"/>
            <a:t> Bend Radius</a:t>
          </a:r>
          <a:endParaRPr lang="en-US" sz="900"/>
        </a:p>
      </xdr:txBody>
    </xdr:sp>
    <xdr:clientData/>
  </xdr:twoCellAnchor>
  <xdr:twoCellAnchor>
    <xdr:from>
      <xdr:col>1</xdr:col>
      <xdr:colOff>80597</xdr:colOff>
      <xdr:row>11</xdr:row>
      <xdr:rowOff>32638</xdr:rowOff>
    </xdr:from>
    <xdr:to>
      <xdr:col>6</xdr:col>
      <xdr:colOff>209057</xdr:colOff>
      <xdr:row>13</xdr:row>
      <xdr:rowOff>1</xdr:rowOff>
    </xdr:to>
    <xdr:sp macro="" textlink="">
      <xdr:nvSpPr>
        <xdr:cNvPr id="7" name="Rectangle 6"/>
        <xdr:cNvSpPr/>
      </xdr:nvSpPr>
      <xdr:spPr>
        <a:xfrm>
          <a:off x="690197" y="2128138"/>
          <a:ext cx="3176460" cy="348363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interference with hole</a:t>
          </a:r>
        </a:p>
      </xdr:txBody>
    </xdr:sp>
    <xdr:clientData/>
  </xdr:twoCellAnchor>
  <xdr:twoCellAnchor>
    <xdr:from>
      <xdr:col>11</xdr:col>
      <xdr:colOff>16120</xdr:colOff>
      <xdr:row>11</xdr:row>
      <xdr:rowOff>27234</xdr:rowOff>
    </xdr:from>
    <xdr:to>
      <xdr:col>15</xdr:col>
      <xdr:colOff>16565</xdr:colOff>
      <xdr:row>13</xdr:row>
      <xdr:rowOff>330</xdr:rowOff>
    </xdr:to>
    <xdr:sp macro="" textlink="">
      <xdr:nvSpPr>
        <xdr:cNvPr id="8" name="Rectangle 7"/>
        <xdr:cNvSpPr/>
      </xdr:nvSpPr>
      <xdr:spPr>
        <a:xfrm>
          <a:off x="6721720" y="2122734"/>
          <a:ext cx="2438845" cy="35409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no interference</a:t>
          </a:r>
        </a:p>
      </xdr:txBody>
    </xdr:sp>
    <xdr:clientData/>
  </xdr:twoCellAnchor>
  <xdr:twoCellAnchor>
    <xdr:from>
      <xdr:col>1</xdr:col>
      <xdr:colOff>226944</xdr:colOff>
      <xdr:row>14</xdr:row>
      <xdr:rowOff>41429</xdr:rowOff>
    </xdr:from>
    <xdr:to>
      <xdr:col>6</xdr:col>
      <xdr:colOff>56656</xdr:colOff>
      <xdr:row>17</xdr:row>
      <xdr:rowOff>0</xdr:rowOff>
    </xdr:to>
    <xdr:sp macro="" textlink="">
      <xdr:nvSpPr>
        <xdr:cNvPr id="9" name="Rectangle 8"/>
        <xdr:cNvSpPr/>
      </xdr:nvSpPr>
      <xdr:spPr>
        <a:xfrm>
          <a:off x="836544" y="2708429"/>
          <a:ext cx="2877712" cy="530071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Deviation 1</a:t>
          </a:r>
        </a:p>
        <a:p>
          <a:pPr algn="ctr"/>
          <a:r>
            <a:rPr lang="en-US" sz="900"/>
            <a:t>Replace Outer Skin</a:t>
          </a:r>
        </a:p>
      </xdr:txBody>
    </xdr:sp>
    <xdr:clientData/>
  </xdr:twoCellAnchor>
  <xdr:twoCellAnchor>
    <xdr:from>
      <xdr:col>2</xdr:col>
      <xdr:colOff>136922</xdr:colOff>
      <xdr:row>17</xdr:row>
      <xdr:rowOff>24848</xdr:rowOff>
    </xdr:from>
    <xdr:to>
      <xdr:col>3</xdr:col>
      <xdr:colOff>8282</xdr:colOff>
      <xdr:row>18</xdr:row>
      <xdr:rowOff>65484</xdr:rowOff>
    </xdr:to>
    <xdr:cxnSp macro="">
      <xdr:nvCxnSpPr>
        <xdr:cNvPr id="10" name="Straight Arrow Connector 9"/>
        <xdr:cNvCxnSpPr/>
      </xdr:nvCxnSpPr>
      <xdr:spPr>
        <a:xfrm flipH="1">
          <a:off x="1356122" y="3263348"/>
          <a:ext cx="480960" cy="23113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138205</xdr:colOff>
      <xdr:row>18</xdr:row>
      <xdr:rowOff>74677</xdr:rowOff>
    </xdr:from>
    <xdr:to>
      <xdr:col>4</xdr:col>
      <xdr:colOff>58158</xdr:colOff>
      <xdr:row>20</xdr:row>
      <xdr:rowOff>45703</xdr:rowOff>
    </xdr:to>
    <xdr:sp macro="" textlink="">
      <xdr:nvSpPr>
        <xdr:cNvPr id="11" name="Rectangle 10"/>
        <xdr:cNvSpPr/>
      </xdr:nvSpPr>
      <xdr:spPr>
        <a:xfrm>
          <a:off x="138205" y="3503677"/>
          <a:ext cx="2358353" cy="35202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SB area</a:t>
          </a:r>
        </a:p>
      </xdr:txBody>
    </xdr:sp>
    <xdr:clientData/>
  </xdr:twoCellAnchor>
  <xdr:twoCellAnchor>
    <xdr:from>
      <xdr:col>5</xdr:col>
      <xdr:colOff>202407</xdr:colOff>
      <xdr:row>17</xdr:row>
      <xdr:rowOff>5953</xdr:rowOff>
    </xdr:from>
    <xdr:to>
      <xdr:col>6</xdr:col>
      <xdr:colOff>45244</xdr:colOff>
      <xdr:row>18</xdr:row>
      <xdr:rowOff>75009</xdr:rowOff>
    </xdr:to>
    <xdr:cxnSp macro="">
      <xdr:nvCxnSpPr>
        <xdr:cNvPr id="12" name="Straight Arrow Connector 11"/>
        <xdr:cNvCxnSpPr/>
      </xdr:nvCxnSpPr>
      <xdr:spPr>
        <a:xfrm>
          <a:off x="3250407" y="3244453"/>
          <a:ext cx="452437" cy="25955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4855</xdr:colOff>
      <xdr:row>18</xdr:row>
      <xdr:rowOff>84202</xdr:rowOff>
    </xdr:from>
    <xdr:to>
      <xdr:col>8</xdr:col>
      <xdr:colOff>174839</xdr:colOff>
      <xdr:row>20</xdr:row>
      <xdr:rowOff>55228</xdr:rowOff>
    </xdr:to>
    <xdr:sp macro="" textlink="">
      <xdr:nvSpPr>
        <xdr:cNvPr id="13" name="Rectangle 12"/>
        <xdr:cNvSpPr/>
      </xdr:nvSpPr>
      <xdr:spPr>
        <a:xfrm>
          <a:off x="3052855" y="3513202"/>
          <a:ext cx="1998784" cy="35202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not</a:t>
          </a:r>
          <a:r>
            <a:rPr lang="en-US" sz="900" baseline="0"/>
            <a:t> SB area</a:t>
          </a:r>
        </a:p>
      </xdr:txBody>
    </xdr:sp>
    <xdr:clientData/>
  </xdr:twoCellAnchor>
  <xdr:twoCellAnchor>
    <xdr:from>
      <xdr:col>6</xdr:col>
      <xdr:colOff>209446</xdr:colOff>
      <xdr:row>20</xdr:row>
      <xdr:rowOff>59082</xdr:rowOff>
    </xdr:from>
    <xdr:to>
      <xdr:col>6</xdr:col>
      <xdr:colOff>209446</xdr:colOff>
      <xdr:row>21</xdr:row>
      <xdr:rowOff>95423</xdr:rowOff>
    </xdr:to>
    <xdr:cxnSp macro="">
      <xdr:nvCxnSpPr>
        <xdr:cNvPr id="14" name="Straight Arrow Connector 13"/>
        <xdr:cNvCxnSpPr/>
      </xdr:nvCxnSpPr>
      <xdr:spPr>
        <a:xfrm>
          <a:off x="3867046" y="3869082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71438</xdr:colOff>
      <xdr:row>21</xdr:row>
      <xdr:rowOff>98670</xdr:rowOff>
    </xdr:from>
    <xdr:to>
      <xdr:col>9</xdr:col>
      <xdr:colOff>160735</xdr:colOff>
      <xdr:row>24</xdr:row>
      <xdr:rowOff>57241</xdr:rowOff>
    </xdr:to>
    <xdr:sp macro="" textlink="">
      <xdr:nvSpPr>
        <xdr:cNvPr id="15" name="Rectangle 14"/>
        <xdr:cNvSpPr/>
      </xdr:nvSpPr>
      <xdr:spPr>
        <a:xfrm>
          <a:off x="2509838" y="4099170"/>
          <a:ext cx="3137297" cy="530071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Deviation</a:t>
          </a:r>
          <a:r>
            <a:rPr lang="en-US" sz="900" baseline="0"/>
            <a:t> 2</a:t>
          </a:r>
          <a:endParaRPr lang="en-US" sz="900"/>
        </a:p>
        <a:p>
          <a:pPr algn="ctr"/>
          <a:r>
            <a:rPr lang="en-US" sz="900"/>
            <a:t>Replace Outer T-chord</a:t>
          </a:r>
        </a:p>
      </xdr:txBody>
    </xdr:sp>
    <xdr:clientData/>
  </xdr:twoCellAnchor>
  <xdr:twoCellAnchor>
    <xdr:from>
      <xdr:col>8</xdr:col>
      <xdr:colOff>139749</xdr:colOff>
      <xdr:row>6</xdr:row>
      <xdr:rowOff>72179</xdr:rowOff>
    </xdr:from>
    <xdr:to>
      <xdr:col>8</xdr:col>
      <xdr:colOff>139749</xdr:colOff>
      <xdr:row>7</xdr:row>
      <xdr:rowOff>108520</xdr:rowOff>
    </xdr:to>
    <xdr:cxnSp macro="">
      <xdr:nvCxnSpPr>
        <xdr:cNvPr id="16" name="Straight Arrow Connector 15"/>
        <xdr:cNvCxnSpPr/>
      </xdr:nvCxnSpPr>
      <xdr:spPr>
        <a:xfrm>
          <a:off x="5016549" y="1215179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551</xdr:colOff>
      <xdr:row>13</xdr:row>
      <xdr:rowOff>11457</xdr:rowOff>
    </xdr:from>
    <xdr:to>
      <xdr:col>13</xdr:col>
      <xdr:colOff>551</xdr:colOff>
      <xdr:row>14</xdr:row>
      <xdr:rowOff>47798</xdr:rowOff>
    </xdr:to>
    <xdr:cxnSp macro="">
      <xdr:nvCxnSpPr>
        <xdr:cNvPr id="17" name="Straight Arrow Connector 16"/>
        <xdr:cNvCxnSpPr/>
      </xdr:nvCxnSpPr>
      <xdr:spPr>
        <a:xfrm>
          <a:off x="7925351" y="2487957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81184</xdr:colOff>
      <xdr:row>1</xdr:row>
      <xdr:rowOff>75359</xdr:rowOff>
    </xdr:from>
    <xdr:to>
      <xdr:col>10</xdr:col>
      <xdr:colOff>160011</xdr:colOff>
      <xdr:row>3</xdr:row>
      <xdr:rowOff>49313</xdr:rowOff>
    </xdr:to>
    <xdr:sp macro="" textlink="">
      <xdr:nvSpPr>
        <xdr:cNvPr id="18" name="Rectangle 17"/>
        <xdr:cNvSpPr/>
      </xdr:nvSpPr>
      <xdr:spPr>
        <a:xfrm>
          <a:off x="3738784" y="265859"/>
          <a:ext cx="2517227" cy="354954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Existing skin</a:t>
          </a:r>
        </a:p>
      </xdr:txBody>
    </xdr:sp>
    <xdr:clientData/>
  </xdr:twoCellAnchor>
  <xdr:twoCellAnchor>
    <xdr:from>
      <xdr:col>8</xdr:col>
      <xdr:colOff>120699</xdr:colOff>
      <xdr:row>3</xdr:row>
      <xdr:rowOff>54320</xdr:rowOff>
    </xdr:from>
    <xdr:to>
      <xdr:col>8</xdr:col>
      <xdr:colOff>120699</xdr:colOff>
      <xdr:row>4</xdr:row>
      <xdr:rowOff>90661</xdr:rowOff>
    </xdr:to>
    <xdr:cxnSp macro="">
      <xdr:nvCxnSpPr>
        <xdr:cNvPr id="19" name="Straight Arrow Connector 18"/>
        <xdr:cNvCxnSpPr/>
      </xdr:nvCxnSpPr>
      <xdr:spPr>
        <a:xfrm>
          <a:off x="4997499" y="625820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208359</xdr:colOff>
      <xdr:row>9</xdr:row>
      <xdr:rowOff>5953</xdr:rowOff>
    </xdr:from>
    <xdr:to>
      <xdr:col>12</xdr:col>
      <xdr:colOff>89297</xdr:colOff>
      <xdr:row>11</xdr:row>
      <xdr:rowOff>11906</xdr:rowOff>
    </xdr:to>
    <xdr:cxnSp macro="">
      <xdr:nvCxnSpPr>
        <xdr:cNvPr id="20" name="Straight Arrow Connector 19"/>
        <xdr:cNvCxnSpPr/>
      </xdr:nvCxnSpPr>
      <xdr:spPr>
        <a:xfrm>
          <a:off x="6304359" y="1720453"/>
          <a:ext cx="1100138" cy="38695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122560</xdr:colOff>
      <xdr:row>1</xdr:row>
      <xdr:rowOff>62437</xdr:rowOff>
    </xdr:from>
    <xdr:to>
      <xdr:col>23</xdr:col>
      <xdr:colOff>163025</xdr:colOff>
      <xdr:row>3</xdr:row>
      <xdr:rowOff>57405</xdr:rowOff>
    </xdr:to>
    <xdr:sp macro="" textlink="">
      <xdr:nvSpPr>
        <xdr:cNvPr id="21" name="Rectangle 20"/>
        <xdr:cNvSpPr/>
      </xdr:nvSpPr>
      <xdr:spPr>
        <a:xfrm>
          <a:off x="9266560" y="252937"/>
          <a:ext cx="4917265" cy="375968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New</a:t>
          </a:r>
          <a:r>
            <a:rPr lang="en-US" sz="900" baseline="0"/>
            <a:t> </a:t>
          </a:r>
          <a:r>
            <a:rPr lang="en-US" sz="900"/>
            <a:t>Skin (replaced</a:t>
          </a:r>
          <a:r>
            <a:rPr lang="en-US" sz="900" baseline="0"/>
            <a:t> by previous repair) </a:t>
          </a:r>
          <a:endParaRPr lang="en-US" sz="900"/>
        </a:p>
      </xdr:txBody>
    </xdr:sp>
    <xdr:clientData/>
  </xdr:twoCellAnchor>
  <xdr:twoCellAnchor>
    <xdr:from>
      <xdr:col>19</xdr:col>
      <xdr:colOff>108188</xdr:colOff>
      <xdr:row>3</xdr:row>
      <xdr:rowOff>73836</xdr:rowOff>
    </xdr:from>
    <xdr:to>
      <xdr:col>19</xdr:col>
      <xdr:colOff>108188</xdr:colOff>
      <xdr:row>4</xdr:row>
      <xdr:rowOff>110177</xdr:rowOff>
    </xdr:to>
    <xdr:cxnSp macro="">
      <xdr:nvCxnSpPr>
        <xdr:cNvPr id="22" name="Straight Arrow Connector 21"/>
        <xdr:cNvCxnSpPr/>
      </xdr:nvCxnSpPr>
      <xdr:spPr>
        <a:xfrm>
          <a:off x="11690588" y="645336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95004</xdr:colOff>
      <xdr:row>4</xdr:row>
      <xdr:rowOff>113424</xdr:rowOff>
    </xdr:from>
    <xdr:to>
      <xdr:col>21</xdr:col>
      <xdr:colOff>173195</xdr:colOff>
      <xdr:row>7</xdr:row>
      <xdr:rowOff>71995</xdr:rowOff>
    </xdr:to>
    <xdr:sp macro="" textlink="">
      <xdr:nvSpPr>
        <xdr:cNvPr id="23" name="Rectangle 22"/>
        <xdr:cNvSpPr/>
      </xdr:nvSpPr>
      <xdr:spPr>
        <a:xfrm>
          <a:off x="10458204" y="875424"/>
          <a:ext cx="2516591" cy="530071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Deviation 1</a:t>
          </a:r>
        </a:p>
        <a:p>
          <a:pPr algn="ctr"/>
          <a:r>
            <a:rPr lang="en-US" sz="900"/>
            <a:t>Replace Outer Skin</a:t>
          </a:r>
        </a:p>
      </xdr:txBody>
    </xdr:sp>
    <xdr:clientData/>
  </xdr:twoCellAnchor>
  <xdr:twoCellAnchor>
    <xdr:from>
      <xdr:col>16</xdr:col>
      <xdr:colOff>235019</xdr:colOff>
      <xdr:row>9</xdr:row>
      <xdr:rowOff>1348</xdr:rowOff>
    </xdr:from>
    <xdr:to>
      <xdr:col>22</xdr:col>
      <xdr:colOff>75838</xdr:colOff>
      <xdr:row>11</xdr:row>
      <xdr:rowOff>100723</xdr:rowOff>
    </xdr:to>
    <xdr:sp macro="" textlink="">
      <xdr:nvSpPr>
        <xdr:cNvPr id="24" name="Rectangle 23"/>
        <xdr:cNvSpPr/>
      </xdr:nvSpPr>
      <xdr:spPr>
        <a:xfrm>
          <a:off x="9988619" y="1715848"/>
          <a:ext cx="3498419" cy="480375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If</a:t>
          </a:r>
          <a:r>
            <a:rPr lang="en-US" sz="900" baseline="0"/>
            <a:t> h</a:t>
          </a:r>
          <a:r>
            <a:rPr lang="en-US" sz="900"/>
            <a:t>oles in Filler drill wrong</a:t>
          </a:r>
        </a:p>
      </xdr:txBody>
    </xdr:sp>
    <xdr:clientData/>
  </xdr:twoCellAnchor>
  <xdr:twoCellAnchor>
    <xdr:from>
      <xdr:col>19</xdr:col>
      <xdr:colOff>111501</xdr:colOff>
      <xdr:row>7</xdr:row>
      <xdr:rowOff>101996</xdr:rowOff>
    </xdr:from>
    <xdr:to>
      <xdr:col>19</xdr:col>
      <xdr:colOff>111501</xdr:colOff>
      <xdr:row>8</xdr:row>
      <xdr:rowOff>138336</xdr:rowOff>
    </xdr:to>
    <xdr:cxnSp macro="">
      <xdr:nvCxnSpPr>
        <xdr:cNvPr id="25" name="Straight Arrow Connector 24"/>
        <xdr:cNvCxnSpPr/>
      </xdr:nvCxnSpPr>
      <xdr:spPr>
        <a:xfrm>
          <a:off x="11693901" y="1435496"/>
          <a:ext cx="0" cy="22684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79969</xdr:colOff>
      <xdr:row>13</xdr:row>
      <xdr:rowOff>1875</xdr:rowOff>
    </xdr:from>
    <xdr:to>
      <xdr:col>21</xdr:col>
      <xdr:colOff>243510</xdr:colOff>
      <xdr:row>15</xdr:row>
      <xdr:rowOff>107110</xdr:rowOff>
    </xdr:to>
    <xdr:sp macro="" textlink="">
      <xdr:nvSpPr>
        <xdr:cNvPr id="26" name="Rectangle 25"/>
        <xdr:cNvSpPr/>
      </xdr:nvSpPr>
      <xdr:spPr>
        <a:xfrm>
          <a:off x="10443169" y="2478375"/>
          <a:ext cx="2601941" cy="486235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Deviation 1</a:t>
          </a:r>
        </a:p>
        <a:p>
          <a:pPr algn="ctr"/>
          <a:r>
            <a:rPr lang="en-US" sz="900"/>
            <a:t>Segment the Filler</a:t>
          </a:r>
        </a:p>
      </xdr:txBody>
    </xdr:sp>
    <xdr:clientData/>
  </xdr:twoCellAnchor>
  <xdr:twoCellAnchor>
    <xdr:from>
      <xdr:col>19</xdr:col>
      <xdr:colOff>119820</xdr:colOff>
      <xdr:row>11</xdr:row>
      <xdr:rowOff>97596</xdr:rowOff>
    </xdr:from>
    <xdr:to>
      <xdr:col>19</xdr:col>
      <xdr:colOff>119820</xdr:colOff>
      <xdr:row>12</xdr:row>
      <xdr:rowOff>133937</xdr:rowOff>
    </xdr:to>
    <xdr:cxnSp macro="">
      <xdr:nvCxnSpPr>
        <xdr:cNvPr id="27" name="Straight Arrow Connector 26"/>
        <xdr:cNvCxnSpPr/>
      </xdr:nvCxnSpPr>
      <xdr:spPr>
        <a:xfrm>
          <a:off x="11702220" y="2193096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143911</xdr:colOff>
      <xdr:row>25</xdr:row>
      <xdr:rowOff>84174</xdr:rowOff>
    </xdr:from>
    <xdr:to>
      <xdr:col>6</xdr:col>
      <xdr:colOff>233208</xdr:colOff>
      <xdr:row>28</xdr:row>
      <xdr:rowOff>42745</xdr:rowOff>
    </xdr:to>
    <xdr:sp macro="" textlink="">
      <xdr:nvSpPr>
        <xdr:cNvPr id="28" name="Rectangle 27"/>
        <xdr:cNvSpPr/>
      </xdr:nvSpPr>
      <xdr:spPr>
        <a:xfrm>
          <a:off x="753511" y="4846674"/>
          <a:ext cx="3137297" cy="530071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If</a:t>
          </a:r>
          <a:r>
            <a:rPr lang="en-US" sz="900" baseline="0"/>
            <a:t> h</a:t>
          </a:r>
          <a:r>
            <a:rPr lang="en-US" sz="900"/>
            <a:t>oles in Filler drill wrong</a:t>
          </a:r>
        </a:p>
      </xdr:txBody>
    </xdr:sp>
    <xdr:clientData/>
  </xdr:twoCellAnchor>
  <xdr:twoCellAnchor>
    <xdr:from>
      <xdr:col>1</xdr:col>
      <xdr:colOff>237339</xdr:colOff>
      <xdr:row>29</xdr:row>
      <xdr:rowOff>84702</xdr:rowOff>
    </xdr:from>
    <xdr:to>
      <xdr:col>6</xdr:col>
      <xdr:colOff>152401</xdr:colOff>
      <xdr:row>32</xdr:row>
      <xdr:rowOff>49132</xdr:rowOff>
    </xdr:to>
    <xdr:sp macro="" textlink="">
      <xdr:nvSpPr>
        <xdr:cNvPr id="29" name="Rectangle 28"/>
        <xdr:cNvSpPr/>
      </xdr:nvSpPr>
      <xdr:spPr>
        <a:xfrm>
          <a:off x="846939" y="5609202"/>
          <a:ext cx="2963062" cy="535930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Deviation 1</a:t>
          </a:r>
        </a:p>
        <a:p>
          <a:pPr algn="ctr"/>
          <a:r>
            <a:rPr lang="en-US" sz="900"/>
            <a:t>Segment the Filler</a:t>
          </a:r>
        </a:p>
      </xdr:txBody>
    </xdr:sp>
    <xdr:clientData/>
  </xdr:twoCellAnchor>
  <xdr:twoCellAnchor>
    <xdr:from>
      <xdr:col>4</xdr:col>
      <xdr:colOff>28712</xdr:colOff>
      <xdr:row>28</xdr:row>
      <xdr:rowOff>39618</xdr:rowOff>
    </xdr:from>
    <xdr:to>
      <xdr:col>4</xdr:col>
      <xdr:colOff>28712</xdr:colOff>
      <xdr:row>29</xdr:row>
      <xdr:rowOff>75959</xdr:rowOff>
    </xdr:to>
    <xdr:cxnSp macro="">
      <xdr:nvCxnSpPr>
        <xdr:cNvPr id="30" name="Straight Arrow Connector 29"/>
        <xdr:cNvCxnSpPr/>
      </xdr:nvCxnSpPr>
      <xdr:spPr>
        <a:xfrm>
          <a:off x="2467112" y="5373618"/>
          <a:ext cx="0" cy="22684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24847</xdr:colOff>
      <xdr:row>20</xdr:row>
      <xdr:rowOff>68591</xdr:rowOff>
    </xdr:from>
    <xdr:to>
      <xdr:col>2</xdr:col>
      <xdr:colOff>140804</xdr:colOff>
      <xdr:row>25</xdr:row>
      <xdr:rowOff>49695</xdr:rowOff>
    </xdr:to>
    <xdr:cxnSp macro="">
      <xdr:nvCxnSpPr>
        <xdr:cNvPr id="31" name="Straight Arrow Connector 30"/>
        <xdr:cNvCxnSpPr/>
      </xdr:nvCxnSpPr>
      <xdr:spPr>
        <a:xfrm>
          <a:off x="1244047" y="3878591"/>
          <a:ext cx="115957" cy="93360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24847</xdr:colOff>
      <xdr:row>24</xdr:row>
      <xdr:rowOff>66261</xdr:rowOff>
    </xdr:from>
    <xdr:to>
      <xdr:col>6</xdr:col>
      <xdr:colOff>107673</xdr:colOff>
      <xdr:row>25</xdr:row>
      <xdr:rowOff>82827</xdr:rowOff>
    </xdr:to>
    <xdr:cxnSp macro="">
      <xdr:nvCxnSpPr>
        <xdr:cNvPr id="32" name="Straight Arrow Connector 31"/>
        <xdr:cNvCxnSpPr/>
      </xdr:nvCxnSpPr>
      <xdr:spPr>
        <a:xfrm flipH="1">
          <a:off x="3682447" y="4638261"/>
          <a:ext cx="82826" cy="20706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96134</xdr:colOff>
      <xdr:row>48</xdr:row>
      <xdr:rowOff>101831</xdr:rowOff>
    </xdr:from>
    <xdr:to>
      <xdr:col>43</xdr:col>
      <xdr:colOff>11197</xdr:colOff>
      <xdr:row>51</xdr:row>
      <xdr:rowOff>66259</xdr:rowOff>
    </xdr:to>
    <xdr:sp macro="" textlink="">
      <xdr:nvSpPr>
        <xdr:cNvPr id="33" name="Rectangle 32"/>
        <xdr:cNvSpPr/>
      </xdr:nvSpPr>
      <xdr:spPr>
        <a:xfrm>
          <a:off x="23260934" y="9245831"/>
          <a:ext cx="2963063" cy="535928"/>
        </a:xfrm>
        <a:prstGeom prst="rect">
          <a:avLst/>
        </a:prstGeom>
        <a:solidFill>
          <a:srgbClr val="FFC000"/>
        </a:solidFill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SEM N_OChor=83t&gt;81t</a:t>
          </a:r>
        </a:p>
      </xdr:txBody>
    </xdr:sp>
    <xdr:clientData/>
  </xdr:twoCellAnchor>
  <xdr:twoCellAnchor>
    <xdr:from>
      <xdr:col>38</xdr:col>
      <xdr:colOff>16565</xdr:colOff>
      <xdr:row>33</xdr:row>
      <xdr:rowOff>33131</xdr:rowOff>
    </xdr:from>
    <xdr:to>
      <xdr:col>39</xdr:col>
      <xdr:colOff>86140</xdr:colOff>
      <xdr:row>36</xdr:row>
      <xdr:rowOff>44726</xdr:rowOff>
    </xdr:to>
    <xdr:cxnSp macro="">
      <xdr:nvCxnSpPr>
        <xdr:cNvPr id="34" name="Straight Arrow Connector 33"/>
        <xdr:cNvCxnSpPr/>
      </xdr:nvCxnSpPr>
      <xdr:spPr>
        <a:xfrm>
          <a:off x="23181365" y="6319631"/>
          <a:ext cx="679175" cy="58309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106017</xdr:colOff>
      <xdr:row>33</xdr:row>
      <xdr:rowOff>49697</xdr:rowOff>
    </xdr:from>
    <xdr:to>
      <xdr:col>43</xdr:col>
      <xdr:colOff>140804</xdr:colOff>
      <xdr:row>36</xdr:row>
      <xdr:rowOff>31475</xdr:rowOff>
    </xdr:to>
    <xdr:cxnSp macro="">
      <xdr:nvCxnSpPr>
        <xdr:cNvPr id="35" name="Straight Arrow Connector 34"/>
        <xdr:cNvCxnSpPr/>
      </xdr:nvCxnSpPr>
      <xdr:spPr>
        <a:xfrm flipH="1">
          <a:off x="25709217" y="6336197"/>
          <a:ext cx="644387" cy="553278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240168</xdr:colOff>
      <xdr:row>35</xdr:row>
      <xdr:rowOff>39415</xdr:rowOff>
    </xdr:from>
    <xdr:to>
      <xdr:col>40</xdr:col>
      <xdr:colOff>243051</xdr:colOff>
      <xdr:row>36</xdr:row>
      <xdr:rowOff>47744</xdr:rowOff>
    </xdr:to>
    <xdr:cxnSp macro="">
      <xdr:nvCxnSpPr>
        <xdr:cNvPr id="36" name="Straight Arrow Connector 35"/>
        <xdr:cNvCxnSpPr>
          <a:endCxn id="55" idx="0"/>
        </xdr:cNvCxnSpPr>
      </xdr:nvCxnSpPr>
      <xdr:spPr>
        <a:xfrm flipH="1">
          <a:off x="24624168" y="6706915"/>
          <a:ext cx="2883" cy="19882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156769</xdr:colOff>
      <xdr:row>33</xdr:row>
      <xdr:rowOff>79746</xdr:rowOff>
    </xdr:from>
    <xdr:to>
      <xdr:col>42</xdr:col>
      <xdr:colOff>75400</xdr:colOff>
      <xdr:row>35</xdr:row>
      <xdr:rowOff>50773</xdr:rowOff>
    </xdr:to>
    <xdr:sp macro="" textlink="">
      <xdr:nvSpPr>
        <xdr:cNvPr id="37" name="Rectangle 36"/>
        <xdr:cNvSpPr/>
      </xdr:nvSpPr>
      <xdr:spPr>
        <a:xfrm>
          <a:off x="23931169" y="6366246"/>
          <a:ext cx="1747431" cy="352027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R=0</a:t>
          </a:r>
        </a:p>
      </xdr:txBody>
    </xdr:sp>
    <xdr:clientData/>
  </xdr:twoCellAnchor>
  <xdr:twoCellAnchor>
    <xdr:from>
      <xdr:col>35</xdr:col>
      <xdr:colOff>14654</xdr:colOff>
      <xdr:row>31</xdr:row>
      <xdr:rowOff>65566</xdr:rowOff>
    </xdr:from>
    <xdr:to>
      <xdr:col>40</xdr:col>
      <xdr:colOff>16952</xdr:colOff>
      <xdr:row>33</xdr:row>
      <xdr:rowOff>36593</xdr:rowOff>
    </xdr:to>
    <xdr:sp macro="" textlink="">
      <xdr:nvSpPr>
        <xdr:cNvPr id="38" name="Rectangle 37"/>
        <xdr:cNvSpPr/>
      </xdr:nvSpPr>
      <xdr:spPr>
        <a:xfrm>
          <a:off x="21350654" y="5971066"/>
          <a:ext cx="3050298" cy="352027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DFR=11.10 pg.49</a:t>
          </a:r>
          <a:endParaRPr lang="en-US" sz="900" baseline="0"/>
        </a:p>
      </xdr:txBody>
    </xdr:sp>
    <xdr:clientData/>
  </xdr:twoCellAnchor>
  <xdr:twoCellAnchor>
    <xdr:from>
      <xdr:col>42</xdr:col>
      <xdr:colOff>32498</xdr:colOff>
      <xdr:row>31</xdr:row>
      <xdr:rowOff>60596</xdr:rowOff>
    </xdr:from>
    <xdr:to>
      <xdr:col>46</xdr:col>
      <xdr:colOff>107674</xdr:colOff>
      <xdr:row>33</xdr:row>
      <xdr:rowOff>31623</xdr:rowOff>
    </xdr:to>
    <xdr:sp macro="" textlink="">
      <xdr:nvSpPr>
        <xdr:cNvPr id="39" name="Rectangle 38"/>
        <xdr:cNvSpPr/>
      </xdr:nvSpPr>
      <xdr:spPr>
        <a:xfrm>
          <a:off x="25635698" y="5966096"/>
          <a:ext cx="2513576" cy="352027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Fmax=10.06 p.52</a:t>
          </a:r>
          <a:endParaRPr lang="en-US" sz="900" baseline="0"/>
        </a:p>
      </xdr:txBody>
    </xdr:sp>
    <xdr:clientData/>
  </xdr:twoCellAnchor>
  <xdr:twoCellAnchor>
    <xdr:from>
      <xdr:col>45</xdr:col>
      <xdr:colOff>49353</xdr:colOff>
      <xdr:row>29</xdr:row>
      <xdr:rowOff>89681</xdr:rowOff>
    </xdr:from>
    <xdr:to>
      <xdr:col>45</xdr:col>
      <xdr:colOff>188500</xdr:colOff>
      <xdr:row>31</xdr:row>
      <xdr:rowOff>49925</xdr:rowOff>
    </xdr:to>
    <xdr:cxnSp macro="">
      <xdr:nvCxnSpPr>
        <xdr:cNvPr id="40" name="Straight Arrow Connector 39"/>
        <xdr:cNvCxnSpPr/>
      </xdr:nvCxnSpPr>
      <xdr:spPr>
        <a:xfrm flipH="1">
          <a:off x="27481353" y="5614181"/>
          <a:ext cx="139147" cy="34124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160050</xdr:colOff>
      <xdr:row>26</xdr:row>
      <xdr:rowOff>91109</xdr:rowOff>
    </xdr:from>
    <xdr:to>
      <xdr:col>48</xdr:col>
      <xdr:colOff>81555</xdr:colOff>
      <xdr:row>29</xdr:row>
      <xdr:rowOff>92915</xdr:rowOff>
    </xdr:to>
    <xdr:sp macro="" textlink="">
      <xdr:nvSpPr>
        <xdr:cNvPr id="41" name="Rectangle 40"/>
        <xdr:cNvSpPr/>
      </xdr:nvSpPr>
      <xdr:spPr>
        <a:xfrm>
          <a:off x="26982450" y="5044109"/>
          <a:ext cx="2359905" cy="57330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SA elast</a:t>
          </a:r>
          <a:r>
            <a:rPr lang="en-US" sz="900" baseline="0"/>
            <a:t> bend</a:t>
          </a:r>
        </a:p>
        <a:p>
          <a:pPr algn="ctr"/>
          <a:r>
            <a:rPr lang="en-US" sz="900" baseline="0"/>
            <a:t>M=18,708</a:t>
          </a:r>
        </a:p>
      </xdr:txBody>
    </xdr:sp>
    <xdr:clientData/>
  </xdr:twoCellAnchor>
  <xdr:twoCellAnchor>
    <xdr:from>
      <xdr:col>39</xdr:col>
      <xdr:colOff>240197</xdr:colOff>
      <xdr:row>26</xdr:row>
      <xdr:rowOff>119269</xdr:rowOff>
    </xdr:from>
    <xdr:to>
      <xdr:col>44</xdr:col>
      <xdr:colOff>26892</xdr:colOff>
      <xdr:row>29</xdr:row>
      <xdr:rowOff>121075</xdr:rowOff>
    </xdr:to>
    <xdr:sp macro="" textlink="">
      <xdr:nvSpPr>
        <xdr:cNvPr id="42" name="Rectangle 41"/>
        <xdr:cNvSpPr/>
      </xdr:nvSpPr>
      <xdr:spPr>
        <a:xfrm>
          <a:off x="24014597" y="5072269"/>
          <a:ext cx="2834695" cy="57330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Geometry</a:t>
          </a:r>
          <a:endParaRPr lang="en-US" sz="900" baseline="0"/>
        </a:p>
        <a:p>
          <a:pPr algn="ctr"/>
          <a:r>
            <a:rPr lang="en-US" sz="900" baseline="0"/>
            <a:t>A=0.867 Ix=2.10</a:t>
          </a:r>
        </a:p>
      </xdr:txBody>
    </xdr:sp>
    <xdr:clientData/>
  </xdr:twoCellAnchor>
  <xdr:twoCellAnchor>
    <xdr:from>
      <xdr:col>42</xdr:col>
      <xdr:colOff>9305</xdr:colOff>
      <xdr:row>29</xdr:row>
      <xdr:rowOff>121075</xdr:rowOff>
    </xdr:from>
    <xdr:to>
      <xdr:col>43</xdr:col>
      <xdr:colOff>4972</xdr:colOff>
      <xdr:row>31</xdr:row>
      <xdr:rowOff>38101</xdr:rowOff>
    </xdr:to>
    <xdr:cxnSp macro="">
      <xdr:nvCxnSpPr>
        <xdr:cNvPr id="43" name="Straight Arrow Connector 42"/>
        <xdr:cNvCxnSpPr>
          <a:stCxn id="42" idx="2"/>
        </xdr:cNvCxnSpPr>
      </xdr:nvCxnSpPr>
      <xdr:spPr>
        <a:xfrm>
          <a:off x="25612505" y="5645575"/>
          <a:ext cx="605267" cy="29802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65944</xdr:colOff>
      <xdr:row>21</xdr:row>
      <xdr:rowOff>68880</xdr:rowOff>
    </xdr:from>
    <xdr:to>
      <xdr:col>37</xdr:col>
      <xdr:colOff>51289</xdr:colOff>
      <xdr:row>23</xdr:row>
      <xdr:rowOff>39906</xdr:rowOff>
    </xdr:to>
    <xdr:sp macro="" textlink="">
      <xdr:nvSpPr>
        <xdr:cNvPr id="44" name="Rectangle 43"/>
        <xdr:cNvSpPr/>
      </xdr:nvSpPr>
      <xdr:spPr>
        <a:xfrm>
          <a:off x="19573144" y="4069380"/>
          <a:ext cx="3033345" cy="35202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DFRbase=14.14 pg.43</a:t>
          </a:r>
          <a:endParaRPr lang="en-US" sz="900" baseline="0"/>
        </a:p>
      </xdr:txBody>
    </xdr:sp>
    <xdr:clientData/>
  </xdr:twoCellAnchor>
  <xdr:twoCellAnchor>
    <xdr:from>
      <xdr:col>33</xdr:col>
      <xdr:colOff>102072</xdr:colOff>
      <xdr:row>23</xdr:row>
      <xdr:rowOff>105323</xdr:rowOff>
    </xdr:from>
    <xdr:to>
      <xdr:col>37</xdr:col>
      <xdr:colOff>23578</xdr:colOff>
      <xdr:row>25</xdr:row>
      <xdr:rowOff>76349</xdr:rowOff>
    </xdr:to>
    <xdr:sp macro="" textlink="">
      <xdr:nvSpPr>
        <xdr:cNvPr id="45" name="Rectangle 44"/>
        <xdr:cNvSpPr/>
      </xdr:nvSpPr>
      <xdr:spPr>
        <a:xfrm>
          <a:off x="20218872" y="4486823"/>
          <a:ext cx="2359906" cy="35202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A=0.85</a:t>
          </a:r>
          <a:endParaRPr lang="en-US" sz="900" baseline="0"/>
        </a:p>
      </xdr:txBody>
    </xdr:sp>
    <xdr:clientData/>
  </xdr:twoCellAnchor>
  <xdr:twoCellAnchor>
    <xdr:from>
      <xdr:col>33</xdr:col>
      <xdr:colOff>113668</xdr:colOff>
      <xdr:row>26</xdr:row>
      <xdr:rowOff>9245</xdr:rowOff>
    </xdr:from>
    <xdr:to>
      <xdr:col>37</xdr:col>
      <xdr:colOff>35174</xdr:colOff>
      <xdr:row>27</xdr:row>
      <xdr:rowOff>121076</xdr:rowOff>
    </xdr:to>
    <xdr:sp macro="" textlink="">
      <xdr:nvSpPr>
        <xdr:cNvPr id="46" name="Rectangle 45"/>
        <xdr:cNvSpPr/>
      </xdr:nvSpPr>
      <xdr:spPr>
        <a:xfrm>
          <a:off x="20230468" y="4962245"/>
          <a:ext cx="2359906" cy="302331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B=0.90</a:t>
          </a:r>
          <a:endParaRPr lang="en-US" sz="900" baseline="0"/>
        </a:p>
      </xdr:txBody>
    </xdr:sp>
    <xdr:clientData/>
  </xdr:twoCellAnchor>
  <xdr:twoCellAnchor>
    <xdr:from>
      <xdr:col>33</xdr:col>
      <xdr:colOff>116981</xdr:colOff>
      <xdr:row>28</xdr:row>
      <xdr:rowOff>62253</xdr:rowOff>
    </xdr:from>
    <xdr:to>
      <xdr:col>37</xdr:col>
      <xdr:colOff>38487</xdr:colOff>
      <xdr:row>30</xdr:row>
      <xdr:rowOff>33280</xdr:rowOff>
    </xdr:to>
    <xdr:sp macro="" textlink="">
      <xdr:nvSpPr>
        <xdr:cNvPr id="47" name="Rectangle 46"/>
        <xdr:cNvSpPr/>
      </xdr:nvSpPr>
      <xdr:spPr>
        <a:xfrm>
          <a:off x="20233781" y="5396253"/>
          <a:ext cx="2359906" cy="352027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E=1.026</a:t>
          </a:r>
          <a:endParaRPr lang="en-US" sz="900" baseline="0"/>
        </a:p>
      </xdr:txBody>
    </xdr:sp>
    <xdr:clientData/>
  </xdr:twoCellAnchor>
  <xdr:twoCellAnchor>
    <xdr:from>
      <xdr:col>36</xdr:col>
      <xdr:colOff>109904</xdr:colOff>
      <xdr:row>30</xdr:row>
      <xdr:rowOff>51288</xdr:rowOff>
    </xdr:from>
    <xdr:to>
      <xdr:col>36</xdr:col>
      <xdr:colOff>190500</xdr:colOff>
      <xdr:row>31</xdr:row>
      <xdr:rowOff>57978</xdr:rowOff>
    </xdr:to>
    <xdr:cxnSp macro="">
      <xdr:nvCxnSpPr>
        <xdr:cNvPr id="48" name="Straight Arrow Connector 47"/>
        <xdr:cNvCxnSpPr/>
      </xdr:nvCxnSpPr>
      <xdr:spPr>
        <a:xfrm>
          <a:off x="22055504" y="5766288"/>
          <a:ext cx="80596" cy="19719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87923</xdr:colOff>
      <xdr:row>17</xdr:row>
      <xdr:rowOff>87922</xdr:rowOff>
    </xdr:from>
    <xdr:to>
      <xdr:col>32</xdr:col>
      <xdr:colOff>23579</xdr:colOff>
      <xdr:row>19</xdr:row>
      <xdr:rowOff>109478</xdr:rowOff>
    </xdr:to>
    <xdr:sp macro="" textlink="">
      <xdr:nvSpPr>
        <xdr:cNvPr id="49" name="Rectangle 48"/>
        <xdr:cNvSpPr/>
      </xdr:nvSpPr>
      <xdr:spPr>
        <a:xfrm>
          <a:off x="15327923" y="3326422"/>
          <a:ext cx="4202856" cy="40255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Jolt node=8 fbrft=2.14 pg.38</a:t>
          </a:r>
          <a:endParaRPr lang="en-US" sz="900" baseline="0"/>
        </a:p>
      </xdr:txBody>
    </xdr:sp>
    <xdr:clientData/>
  </xdr:twoCellAnchor>
  <xdr:twoCellAnchor>
    <xdr:from>
      <xdr:col>31</xdr:col>
      <xdr:colOff>124558</xdr:colOff>
      <xdr:row>19</xdr:row>
      <xdr:rowOff>102577</xdr:rowOff>
    </xdr:from>
    <xdr:to>
      <xdr:col>32</xdr:col>
      <xdr:colOff>124559</xdr:colOff>
      <xdr:row>21</xdr:row>
      <xdr:rowOff>61721</xdr:rowOff>
    </xdr:to>
    <xdr:cxnSp macro="">
      <xdr:nvCxnSpPr>
        <xdr:cNvPr id="50" name="Straight Arrow Connector 49"/>
        <xdr:cNvCxnSpPr/>
      </xdr:nvCxnSpPr>
      <xdr:spPr>
        <a:xfrm>
          <a:off x="19022158" y="3722077"/>
          <a:ext cx="609601" cy="34014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221342</xdr:colOff>
      <xdr:row>17</xdr:row>
      <xdr:rowOff>133484</xdr:rowOff>
    </xdr:from>
    <xdr:to>
      <xdr:col>35</xdr:col>
      <xdr:colOff>107674</xdr:colOff>
      <xdr:row>19</xdr:row>
      <xdr:rowOff>104510</xdr:rowOff>
    </xdr:to>
    <xdr:sp macro="" textlink="">
      <xdr:nvSpPr>
        <xdr:cNvPr id="51" name="Rectangle 50"/>
        <xdr:cNvSpPr/>
      </xdr:nvSpPr>
      <xdr:spPr>
        <a:xfrm>
          <a:off x="19728542" y="3371984"/>
          <a:ext cx="1715132" cy="35202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t=0.05</a:t>
          </a:r>
          <a:endParaRPr lang="en-US" sz="900" baseline="0"/>
        </a:p>
      </xdr:txBody>
    </xdr:sp>
    <xdr:clientData/>
  </xdr:twoCellAnchor>
  <xdr:twoCellAnchor>
    <xdr:from>
      <xdr:col>34</xdr:col>
      <xdr:colOff>154113</xdr:colOff>
      <xdr:row>19</xdr:row>
      <xdr:rowOff>110986</xdr:rowOff>
    </xdr:from>
    <xdr:to>
      <xdr:col>34</xdr:col>
      <xdr:colOff>183174</xdr:colOff>
      <xdr:row>21</xdr:row>
      <xdr:rowOff>68880</xdr:rowOff>
    </xdr:to>
    <xdr:cxnSp macro="">
      <xdr:nvCxnSpPr>
        <xdr:cNvPr id="52" name="Straight Arrow Connector 51"/>
        <xdr:cNvCxnSpPr>
          <a:endCxn id="44" idx="0"/>
        </xdr:cNvCxnSpPr>
      </xdr:nvCxnSpPr>
      <xdr:spPr>
        <a:xfrm>
          <a:off x="20880513" y="3730486"/>
          <a:ext cx="29061" cy="33889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34155</xdr:colOff>
      <xdr:row>17</xdr:row>
      <xdr:rowOff>136797</xdr:rowOff>
    </xdr:from>
    <xdr:to>
      <xdr:col>38</xdr:col>
      <xdr:colOff>149087</xdr:colOff>
      <xdr:row>19</xdr:row>
      <xdr:rowOff>107823</xdr:rowOff>
    </xdr:to>
    <xdr:sp macro="" textlink="">
      <xdr:nvSpPr>
        <xdr:cNvPr id="53" name="Rectangle 52"/>
        <xdr:cNvSpPr/>
      </xdr:nvSpPr>
      <xdr:spPr>
        <a:xfrm>
          <a:off x="21979755" y="3375297"/>
          <a:ext cx="1334132" cy="352026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d=0.164</a:t>
          </a:r>
          <a:endParaRPr lang="en-US" sz="900" baseline="0"/>
        </a:p>
      </xdr:txBody>
    </xdr:sp>
    <xdr:clientData/>
  </xdr:twoCellAnchor>
  <xdr:twoCellAnchor>
    <xdr:from>
      <xdr:col>36</xdr:col>
      <xdr:colOff>107674</xdr:colOff>
      <xdr:row>19</xdr:row>
      <xdr:rowOff>115270</xdr:rowOff>
    </xdr:from>
    <xdr:to>
      <xdr:col>37</xdr:col>
      <xdr:colOff>68716</xdr:colOff>
      <xdr:row>21</xdr:row>
      <xdr:rowOff>57979</xdr:rowOff>
    </xdr:to>
    <xdr:cxnSp macro="">
      <xdr:nvCxnSpPr>
        <xdr:cNvPr id="54" name="Straight Arrow Connector 53"/>
        <xdr:cNvCxnSpPr/>
      </xdr:nvCxnSpPr>
      <xdr:spPr>
        <a:xfrm flipH="1">
          <a:off x="22053274" y="3734770"/>
          <a:ext cx="570642" cy="323709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157826</xdr:colOff>
      <xdr:row>36</xdr:row>
      <xdr:rowOff>47744</xdr:rowOff>
    </xdr:from>
    <xdr:to>
      <xdr:col>43</xdr:col>
      <xdr:colOff>72889</xdr:colOff>
      <xdr:row>39</xdr:row>
      <xdr:rowOff>12174</xdr:rowOff>
    </xdr:to>
    <xdr:sp macro="" textlink="">
      <xdr:nvSpPr>
        <xdr:cNvPr id="55" name="Rectangle 54"/>
        <xdr:cNvSpPr/>
      </xdr:nvSpPr>
      <xdr:spPr>
        <a:xfrm>
          <a:off x="23322626" y="6905744"/>
          <a:ext cx="2963063" cy="535930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N_OChor=121t&gt;81t pg.53</a:t>
          </a:r>
        </a:p>
      </xdr:txBody>
    </xdr:sp>
    <xdr:clientData/>
  </xdr:twoCellAnchor>
  <xdr:twoCellAnchor>
    <xdr:from>
      <xdr:col>33</xdr:col>
      <xdr:colOff>157655</xdr:colOff>
      <xdr:row>41</xdr:row>
      <xdr:rowOff>120510</xdr:rowOff>
    </xdr:from>
    <xdr:to>
      <xdr:col>37</xdr:col>
      <xdr:colOff>186031</xdr:colOff>
      <xdr:row>43</xdr:row>
      <xdr:rowOff>91538</xdr:rowOff>
    </xdr:to>
    <xdr:sp macro="" textlink="">
      <xdr:nvSpPr>
        <xdr:cNvPr id="56" name="Rectangle 55"/>
        <xdr:cNvSpPr/>
      </xdr:nvSpPr>
      <xdr:spPr>
        <a:xfrm>
          <a:off x="20274455" y="7931010"/>
          <a:ext cx="2466776" cy="352028"/>
        </a:xfrm>
        <a:prstGeom prst="rect">
          <a:avLst/>
        </a:prstGeom>
        <a:solidFill>
          <a:srgbClr val="FFC000"/>
        </a:solidFill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SEM factor=0.907</a:t>
          </a:r>
          <a:endParaRPr lang="en-US" sz="900" baseline="0"/>
        </a:p>
      </xdr:txBody>
    </xdr:sp>
    <xdr:clientData/>
  </xdr:twoCellAnchor>
  <xdr:twoCellAnchor>
    <xdr:from>
      <xdr:col>36</xdr:col>
      <xdr:colOff>51288</xdr:colOff>
      <xdr:row>33</xdr:row>
      <xdr:rowOff>48553</xdr:rowOff>
    </xdr:from>
    <xdr:to>
      <xdr:col>36</xdr:col>
      <xdr:colOff>249049</xdr:colOff>
      <xdr:row>41</xdr:row>
      <xdr:rowOff>102577</xdr:rowOff>
    </xdr:to>
    <xdr:cxnSp macro="">
      <xdr:nvCxnSpPr>
        <xdr:cNvPr id="57" name="Straight Arrow Connector 56"/>
        <xdr:cNvCxnSpPr/>
      </xdr:nvCxnSpPr>
      <xdr:spPr>
        <a:xfrm flipH="1">
          <a:off x="21996888" y="6335053"/>
          <a:ext cx="197761" cy="157802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224087</xdr:colOff>
      <xdr:row>43</xdr:row>
      <xdr:rowOff>88531</xdr:rowOff>
    </xdr:from>
    <xdr:to>
      <xdr:col>36</xdr:col>
      <xdr:colOff>105103</xdr:colOff>
      <xdr:row>45</xdr:row>
      <xdr:rowOff>64938</xdr:rowOff>
    </xdr:to>
    <xdr:cxnSp macro="">
      <xdr:nvCxnSpPr>
        <xdr:cNvPr id="58" name="Straight Arrow Connector 57"/>
        <xdr:cNvCxnSpPr/>
      </xdr:nvCxnSpPr>
      <xdr:spPr>
        <a:xfrm>
          <a:off x="21560087" y="8280031"/>
          <a:ext cx="490616" cy="357407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67456</xdr:colOff>
      <xdr:row>45</xdr:row>
      <xdr:rowOff>48250</xdr:rowOff>
    </xdr:from>
    <xdr:to>
      <xdr:col>38</xdr:col>
      <xdr:colOff>238583</xdr:colOff>
      <xdr:row>47</xdr:row>
      <xdr:rowOff>19278</xdr:rowOff>
    </xdr:to>
    <xdr:sp macro="" textlink="">
      <xdr:nvSpPr>
        <xdr:cNvPr id="59" name="Rectangle 58"/>
        <xdr:cNvSpPr/>
      </xdr:nvSpPr>
      <xdr:spPr>
        <a:xfrm>
          <a:off x="21403456" y="8620750"/>
          <a:ext cx="1999927" cy="352028"/>
        </a:xfrm>
        <a:prstGeom prst="rect">
          <a:avLst/>
        </a:prstGeom>
        <a:solidFill>
          <a:srgbClr val="FFC000"/>
        </a:solidFill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DFR=10.07 p.50</a:t>
          </a:r>
          <a:endParaRPr lang="en-US" sz="900" baseline="0"/>
        </a:p>
      </xdr:txBody>
    </xdr:sp>
    <xdr:clientData/>
  </xdr:twoCellAnchor>
  <xdr:twoCellAnchor>
    <xdr:from>
      <xdr:col>38</xdr:col>
      <xdr:colOff>54608</xdr:colOff>
      <xdr:row>47</xdr:row>
      <xdr:rowOff>4448</xdr:rowOff>
    </xdr:from>
    <xdr:to>
      <xdr:col>38</xdr:col>
      <xdr:colOff>236483</xdr:colOff>
      <xdr:row>48</xdr:row>
      <xdr:rowOff>104354</xdr:rowOff>
    </xdr:to>
    <xdr:cxnSp macro="">
      <xdr:nvCxnSpPr>
        <xdr:cNvPr id="60" name="Straight Arrow Connector 59"/>
        <xdr:cNvCxnSpPr/>
      </xdr:nvCxnSpPr>
      <xdr:spPr>
        <a:xfrm>
          <a:off x="23219408" y="8957948"/>
          <a:ext cx="181875" cy="29040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132522</xdr:colOff>
      <xdr:row>33</xdr:row>
      <xdr:rowOff>38843</xdr:rowOff>
    </xdr:from>
    <xdr:to>
      <xdr:col>44</xdr:col>
      <xdr:colOff>165082</xdr:colOff>
      <xdr:row>48</xdr:row>
      <xdr:rowOff>82826</xdr:rowOff>
    </xdr:to>
    <xdr:cxnSp macro="">
      <xdr:nvCxnSpPr>
        <xdr:cNvPr id="61" name="Straight Arrow Connector 60"/>
        <xdr:cNvCxnSpPr/>
      </xdr:nvCxnSpPr>
      <xdr:spPr>
        <a:xfrm flipH="1">
          <a:off x="25735722" y="6325343"/>
          <a:ext cx="1251760" cy="2901483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202068</xdr:colOff>
      <xdr:row>47</xdr:row>
      <xdr:rowOff>99098</xdr:rowOff>
    </xdr:from>
    <xdr:to>
      <xdr:col>40</xdr:col>
      <xdr:colOff>204951</xdr:colOff>
      <xdr:row>48</xdr:row>
      <xdr:rowOff>107429</xdr:rowOff>
    </xdr:to>
    <xdr:cxnSp macro="">
      <xdr:nvCxnSpPr>
        <xdr:cNvPr id="62" name="Straight Arrow Connector 61"/>
        <xdr:cNvCxnSpPr/>
      </xdr:nvCxnSpPr>
      <xdr:spPr>
        <a:xfrm flipH="1">
          <a:off x="24586068" y="9052598"/>
          <a:ext cx="2883" cy="198831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118669</xdr:colOff>
      <xdr:row>45</xdr:row>
      <xdr:rowOff>141451</xdr:rowOff>
    </xdr:from>
    <xdr:to>
      <xdr:col>42</xdr:col>
      <xdr:colOff>37300</xdr:colOff>
      <xdr:row>47</xdr:row>
      <xdr:rowOff>110456</xdr:rowOff>
    </xdr:to>
    <xdr:sp macro="" textlink="">
      <xdr:nvSpPr>
        <xdr:cNvPr id="63" name="Rectangle 62"/>
        <xdr:cNvSpPr/>
      </xdr:nvSpPr>
      <xdr:spPr>
        <a:xfrm>
          <a:off x="23893069" y="8713951"/>
          <a:ext cx="1747431" cy="350005"/>
        </a:xfrm>
        <a:prstGeom prst="rect">
          <a:avLst/>
        </a:prstGeom>
        <a:solidFill>
          <a:srgbClr val="FFC000"/>
        </a:solidFill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/>
            <a:t>R=0</a:t>
          </a:r>
        </a:p>
      </xdr:txBody>
    </xdr:sp>
    <xdr:clientData/>
  </xdr:twoCellAnchor>
  <xdr:twoCellAnchor>
    <xdr:from>
      <xdr:col>35</xdr:col>
      <xdr:colOff>59122</xdr:colOff>
      <xdr:row>23</xdr:row>
      <xdr:rowOff>45982</xdr:rowOff>
    </xdr:from>
    <xdr:to>
      <xdr:col>35</xdr:col>
      <xdr:colOff>62826</xdr:colOff>
      <xdr:row>23</xdr:row>
      <xdr:rowOff>105323</xdr:rowOff>
    </xdr:to>
    <xdr:cxnSp macro="">
      <xdr:nvCxnSpPr>
        <xdr:cNvPr id="64" name="Straight Connector 63"/>
        <xdr:cNvCxnSpPr>
          <a:endCxn id="45" idx="0"/>
        </xdr:cNvCxnSpPr>
      </xdr:nvCxnSpPr>
      <xdr:spPr>
        <a:xfrm>
          <a:off x="21395122" y="4427482"/>
          <a:ext cx="3704" cy="593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62052</xdr:colOff>
      <xdr:row>25</xdr:row>
      <xdr:rowOff>84082</xdr:rowOff>
    </xdr:from>
    <xdr:to>
      <xdr:col>35</xdr:col>
      <xdr:colOff>65756</xdr:colOff>
      <xdr:row>25</xdr:row>
      <xdr:rowOff>143423</xdr:rowOff>
    </xdr:to>
    <xdr:cxnSp macro="">
      <xdr:nvCxnSpPr>
        <xdr:cNvPr id="65" name="Straight Connector 64"/>
        <xdr:cNvCxnSpPr/>
      </xdr:nvCxnSpPr>
      <xdr:spPr>
        <a:xfrm>
          <a:off x="21398052" y="4846582"/>
          <a:ext cx="3704" cy="593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55685</xdr:colOff>
      <xdr:row>27</xdr:row>
      <xdr:rowOff>128954</xdr:rowOff>
    </xdr:from>
    <xdr:to>
      <xdr:col>35</xdr:col>
      <xdr:colOff>59389</xdr:colOff>
      <xdr:row>28</xdr:row>
      <xdr:rowOff>44688</xdr:rowOff>
    </xdr:to>
    <xdr:cxnSp macro="">
      <xdr:nvCxnSpPr>
        <xdr:cNvPr id="66" name="Straight Connector 65"/>
        <xdr:cNvCxnSpPr/>
      </xdr:nvCxnSpPr>
      <xdr:spPr>
        <a:xfrm>
          <a:off x="21391685" y="5272454"/>
          <a:ext cx="3704" cy="1062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55747</xdr:colOff>
      <xdr:row>12</xdr:row>
      <xdr:rowOff>91107</xdr:rowOff>
    </xdr:from>
    <xdr:to>
      <xdr:col>48</xdr:col>
      <xdr:colOff>102577</xdr:colOff>
      <xdr:row>15</xdr:row>
      <xdr:rowOff>76348</xdr:rowOff>
    </xdr:to>
    <xdr:sp macro="" textlink="">
      <xdr:nvSpPr>
        <xdr:cNvPr id="67" name="Rectangle 66"/>
        <xdr:cNvSpPr/>
      </xdr:nvSpPr>
      <xdr:spPr>
        <a:xfrm>
          <a:off x="18953347" y="2377107"/>
          <a:ext cx="10410030" cy="556741"/>
        </a:xfrm>
        <a:prstGeom prst="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/>
            <a:t>horizontal Outer Chord Fatigue Analysis Flow</a:t>
          </a:r>
          <a:endParaRPr lang="en-US" sz="1400" baseline="0"/>
        </a:p>
      </xdr:txBody>
    </xdr:sp>
    <xdr:clientData/>
  </xdr:twoCellAnchor>
  <xdr:twoCellAnchor>
    <xdr:from>
      <xdr:col>24</xdr:col>
      <xdr:colOff>205154</xdr:colOff>
      <xdr:row>16</xdr:row>
      <xdr:rowOff>43962</xdr:rowOff>
    </xdr:from>
    <xdr:to>
      <xdr:col>54</xdr:col>
      <xdr:colOff>51287</xdr:colOff>
      <xdr:row>39</xdr:row>
      <xdr:rowOff>95250</xdr:rowOff>
    </xdr:to>
    <xdr:sp macro="" textlink="">
      <xdr:nvSpPr>
        <xdr:cNvPr id="69" name="Rectangle 68"/>
        <xdr:cNvSpPr/>
      </xdr:nvSpPr>
      <xdr:spPr>
        <a:xfrm>
          <a:off x="14835554" y="3091962"/>
          <a:ext cx="18134133" cy="4432788"/>
        </a:xfrm>
        <a:prstGeom prst="rect">
          <a:avLst/>
        </a:prstGeom>
        <a:noFill/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24</xdr:col>
      <xdr:colOff>196362</xdr:colOff>
      <xdr:row>40</xdr:row>
      <xdr:rowOff>108439</xdr:rowOff>
    </xdr:from>
    <xdr:to>
      <xdr:col>54</xdr:col>
      <xdr:colOff>42495</xdr:colOff>
      <xdr:row>52</xdr:row>
      <xdr:rowOff>124558</xdr:rowOff>
    </xdr:to>
    <xdr:sp macro="" textlink="">
      <xdr:nvSpPr>
        <xdr:cNvPr id="70" name="Rectangle 69"/>
        <xdr:cNvSpPr/>
      </xdr:nvSpPr>
      <xdr:spPr>
        <a:xfrm>
          <a:off x="14826762" y="7728439"/>
          <a:ext cx="18134133" cy="2302119"/>
        </a:xfrm>
        <a:prstGeom prst="rect">
          <a:avLst/>
        </a:prstGeom>
        <a:noFill/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06_chris_bu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hist"/>
      <sheetName val="jolt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24"/>
  <sheetViews>
    <sheetView tabSelected="1" topLeftCell="A10" zoomScale="85" zoomScaleNormal="85" workbookViewId="0">
      <selection activeCell="S19" sqref="S19"/>
    </sheetView>
  </sheetViews>
  <sheetFormatPr defaultRowHeight="15" x14ac:dyDescent="0.25"/>
  <cols>
    <col min="1" max="1" width="7.28515625" style="1" customWidth="1"/>
    <col min="2" max="6" width="3.7109375" style="27" customWidth="1"/>
    <col min="7" max="14" width="3.7109375" customWidth="1"/>
    <col min="15" max="15" width="3.7109375" style="1" customWidth="1"/>
    <col min="16" max="20" width="3.7109375" customWidth="1"/>
    <col min="21" max="22" width="3.7109375" style="22" customWidth="1"/>
    <col min="23" max="28" width="3.7109375" customWidth="1"/>
    <col min="29" max="29" width="5.28515625" customWidth="1"/>
    <col min="30" max="47" width="3.7109375" customWidth="1"/>
    <col min="48" max="48" width="3.7109375" style="24" customWidth="1"/>
    <col min="49" max="49" width="3.7109375" style="29" customWidth="1"/>
    <col min="50" max="51" width="3.7109375" style="56" customWidth="1"/>
    <col min="52" max="53" width="3.7109375" customWidth="1"/>
    <col min="54" max="54" width="3.7109375" style="22" customWidth="1"/>
    <col min="55" max="58" width="3.7109375" customWidth="1"/>
    <col min="59" max="59" width="3.7109375" style="22" customWidth="1"/>
    <col min="60" max="62" width="3.7109375" customWidth="1"/>
    <col min="63" max="64" width="3.7109375" style="22" customWidth="1"/>
    <col min="65" max="70" width="3.7109375" customWidth="1"/>
    <col min="71" max="72" width="3.7109375" style="22" customWidth="1"/>
    <col min="73" max="73" width="3.7109375" style="14" customWidth="1"/>
    <col min="74" max="74" width="3.7109375" customWidth="1"/>
    <col min="75" max="77" width="3.7109375" style="22" customWidth="1"/>
    <col min="78" max="78" width="3.7109375" customWidth="1"/>
    <col min="79" max="80" width="3.7109375" style="22" customWidth="1"/>
    <col min="81" max="89" width="3.7109375" customWidth="1"/>
    <col min="90" max="90" width="3.7109375" style="29" customWidth="1"/>
    <col min="91" max="91" width="7.42578125" style="29" customWidth="1"/>
    <col min="92" max="92" width="3.7109375" style="29" customWidth="1"/>
    <col min="93" max="93" width="7.42578125" style="29" customWidth="1"/>
    <col min="94" max="125" width="3.7109375" style="29" customWidth="1"/>
    <col min="126" max="157" width="3.7109375" customWidth="1"/>
  </cols>
  <sheetData>
    <row r="1" spans="1:125" s="5" customFormat="1" ht="15.75" thickBot="1" x14ac:dyDescent="0.3">
      <c r="A1" s="81">
        <v>1</v>
      </c>
      <c r="B1" s="81">
        <v>2</v>
      </c>
      <c r="C1" s="81">
        <v>3</v>
      </c>
      <c r="D1" s="81">
        <v>4</v>
      </c>
      <c r="E1" s="81">
        <v>5</v>
      </c>
      <c r="F1" s="81">
        <v>6</v>
      </c>
      <c r="G1" s="81">
        <v>7</v>
      </c>
      <c r="H1" s="81">
        <v>8</v>
      </c>
      <c r="I1" s="81">
        <v>9</v>
      </c>
      <c r="J1" s="81">
        <v>10</v>
      </c>
      <c r="K1" s="81">
        <v>11</v>
      </c>
      <c r="L1" s="81">
        <v>12</v>
      </c>
      <c r="M1" s="81">
        <v>13</v>
      </c>
      <c r="N1" s="81">
        <v>14</v>
      </c>
      <c r="O1" s="81">
        <v>15</v>
      </c>
      <c r="P1" s="81">
        <v>16</v>
      </c>
      <c r="Q1" s="81">
        <v>17</v>
      </c>
      <c r="R1" s="81">
        <v>18</v>
      </c>
      <c r="S1" s="81">
        <v>19</v>
      </c>
      <c r="T1" s="81">
        <v>20</v>
      </c>
      <c r="U1" s="81">
        <v>21</v>
      </c>
      <c r="V1" s="81">
        <v>22</v>
      </c>
      <c r="W1" s="81">
        <v>23</v>
      </c>
      <c r="X1" s="81">
        <v>24</v>
      </c>
      <c r="Y1" s="81">
        <v>25</v>
      </c>
      <c r="Z1" s="81">
        <v>26</v>
      </c>
      <c r="AA1" s="81">
        <v>27</v>
      </c>
      <c r="AB1" s="81">
        <v>28</v>
      </c>
      <c r="AC1" s="81">
        <v>29</v>
      </c>
      <c r="AD1" s="81">
        <v>30</v>
      </c>
      <c r="AE1" s="81">
        <v>31</v>
      </c>
      <c r="AF1" s="81">
        <v>32</v>
      </c>
      <c r="AG1" s="81">
        <v>33</v>
      </c>
      <c r="AH1" s="81">
        <v>34</v>
      </c>
      <c r="AI1" s="81">
        <v>35</v>
      </c>
      <c r="AJ1" s="81">
        <v>36</v>
      </c>
      <c r="AK1" s="81">
        <v>37</v>
      </c>
      <c r="AL1" s="81">
        <v>38</v>
      </c>
      <c r="AM1" s="81">
        <v>39</v>
      </c>
      <c r="AN1" s="81">
        <v>40</v>
      </c>
      <c r="AO1" s="81">
        <v>41</v>
      </c>
      <c r="AP1" s="81">
        <v>42</v>
      </c>
      <c r="AQ1" s="81">
        <v>43</v>
      </c>
      <c r="AR1" s="81">
        <v>44</v>
      </c>
      <c r="AS1" s="81">
        <v>45</v>
      </c>
      <c r="AT1" s="81">
        <v>46</v>
      </c>
      <c r="AU1" s="81">
        <v>47</v>
      </c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51"/>
      <c r="BL1" s="51"/>
      <c r="BM1" s="3"/>
      <c r="BN1" s="3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22"/>
      <c r="CI1" s="22"/>
      <c r="CJ1" s="22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</row>
    <row r="2" spans="1:125" ht="15.75" thickBot="1" x14ac:dyDescent="0.3">
      <c r="D2" s="4"/>
      <c r="E2" s="4"/>
      <c r="F2" s="4"/>
      <c r="G2" s="4"/>
      <c r="H2" s="4"/>
      <c r="AQ2" s="22"/>
      <c r="AR2" s="22"/>
      <c r="AS2" s="22"/>
      <c r="AU2" s="88" t="s">
        <v>162</v>
      </c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90"/>
      <c r="CJ2" s="22"/>
    </row>
    <row r="3" spans="1:125" ht="15.75" thickBot="1" x14ac:dyDescent="0.3">
      <c r="A3" s="91">
        <v>6</v>
      </c>
      <c r="B3" s="92"/>
      <c r="C3" s="130" t="s">
        <v>4</v>
      </c>
      <c r="D3" s="131"/>
      <c r="E3" s="131"/>
      <c r="F3" s="131"/>
      <c r="G3" s="131"/>
      <c r="H3" s="131"/>
      <c r="I3" s="132"/>
      <c r="J3" s="128">
        <v>874</v>
      </c>
      <c r="K3" s="129"/>
      <c r="L3" s="10"/>
      <c r="M3" s="124" t="s">
        <v>4</v>
      </c>
      <c r="N3" s="125"/>
      <c r="O3" s="125"/>
      <c r="P3" s="125"/>
      <c r="Q3" s="124" t="s">
        <v>2</v>
      </c>
      <c r="R3" s="125"/>
      <c r="S3" s="125"/>
      <c r="T3" s="125"/>
      <c r="U3" s="125"/>
      <c r="V3" s="125"/>
      <c r="W3" s="125"/>
      <c r="X3" s="128">
        <v>1643</v>
      </c>
      <c r="Y3" s="129"/>
      <c r="Z3" s="130" t="s">
        <v>3</v>
      </c>
      <c r="AA3" s="131"/>
      <c r="AB3" s="131"/>
      <c r="AC3" s="131"/>
      <c r="AD3" s="131"/>
      <c r="AE3" s="132"/>
      <c r="AF3" s="91">
        <v>2415</v>
      </c>
      <c r="AG3" s="92"/>
      <c r="AH3" s="130" t="s">
        <v>3</v>
      </c>
      <c r="AI3" s="131"/>
      <c r="AJ3" s="131"/>
      <c r="AK3" s="131"/>
      <c r="AL3" s="131"/>
      <c r="AM3" s="132"/>
      <c r="AN3" s="91">
        <v>3132</v>
      </c>
      <c r="AO3" s="92"/>
      <c r="AQ3" s="22"/>
      <c r="AR3" s="22"/>
      <c r="AS3" s="22"/>
      <c r="AT3" s="64" t="s">
        <v>159</v>
      </c>
      <c r="AU3" s="22"/>
      <c r="AV3" s="22"/>
      <c r="AW3" s="22"/>
      <c r="AX3" s="22"/>
      <c r="AY3" s="22"/>
      <c r="AZ3" s="22"/>
      <c r="BA3" s="22"/>
      <c r="BB3" s="65" t="s">
        <v>136</v>
      </c>
      <c r="BC3" s="22"/>
      <c r="BD3" s="22"/>
      <c r="BE3" s="22"/>
      <c r="BO3" s="68"/>
      <c r="BP3" s="68"/>
      <c r="BQ3" s="68"/>
      <c r="BR3" s="68"/>
      <c r="BS3" s="68"/>
      <c r="BT3" s="68"/>
      <c r="BU3" s="68"/>
      <c r="BV3" s="68"/>
      <c r="BW3" s="68"/>
      <c r="BX3" s="68"/>
      <c r="BY3" s="68"/>
      <c r="BZ3" s="68"/>
      <c r="CA3" s="68"/>
      <c r="CB3" s="68"/>
      <c r="CC3" s="65" t="s">
        <v>136</v>
      </c>
      <c r="CD3" s="68"/>
      <c r="CE3" s="68"/>
      <c r="CF3" s="68"/>
      <c r="CG3" s="68"/>
      <c r="CH3" s="22"/>
      <c r="CI3" s="22"/>
      <c r="CJ3" s="22"/>
    </row>
    <row r="4" spans="1:125" s="3" customFormat="1" ht="15.75" customHeight="1" thickBot="1" x14ac:dyDescent="0.3">
      <c r="A4" s="6" t="s">
        <v>18</v>
      </c>
      <c r="B4" s="117" t="s">
        <v>5</v>
      </c>
      <c r="C4" s="118"/>
      <c r="D4" s="118"/>
      <c r="E4" s="118"/>
      <c r="F4" s="118"/>
      <c r="G4" s="118"/>
      <c r="H4" s="118"/>
      <c r="I4" s="118"/>
      <c r="J4" s="119"/>
      <c r="K4" s="117" t="s">
        <v>6</v>
      </c>
      <c r="L4" s="122"/>
      <c r="M4" s="122"/>
      <c r="N4" s="122"/>
      <c r="O4" s="122"/>
      <c r="P4" s="123"/>
      <c r="Q4" s="117" t="s">
        <v>7</v>
      </c>
      <c r="R4" s="122"/>
      <c r="S4" s="122"/>
      <c r="T4" s="122"/>
      <c r="U4" s="122"/>
      <c r="V4" s="122"/>
      <c r="W4" s="122"/>
      <c r="X4" s="123"/>
      <c r="Y4" s="93" t="s">
        <v>16</v>
      </c>
      <c r="Z4" s="94"/>
      <c r="AA4" s="94"/>
      <c r="AB4" s="94"/>
      <c r="AC4" s="94"/>
      <c r="AD4" s="94"/>
      <c r="AE4" s="94"/>
      <c r="AF4" s="95"/>
      <c r="AG4" s="93" t="s">
        <v>17</v>
      </c>
      <c r="AH4" s="94"/>
      <c r="AI4" s="94"/>
      <c r="AJ4" s="94"/>
      <c r="AK4" s="94"/>
      <c r="AL4" s="94"/>
      <c r="AM4" s="94"/>
      <c r="AN4" s="95"/>
      <c r="AQ4" s="22"/>
      <c r="AR4" s="22"/>
      <c r="AS4" s="22"/>
      <c r="AT4" s="64" t="s">
        <v>160</v>
      </c>
      <c r="AU4" s="22"/>
      <c r="AV4" s="22"/>
      <c r="AW4" s="22"/>
      <c r="AX4" s="22"/>
      <c r="AY4" s="22"/>
      <c r="AZ4" s="22"/>
      <c r="BA4" s="22"/>
      <c r="BB4" s="65" t="s">
        <v>114</v>
      </c>
      <c r="BC4" s="22"/>
      <c r="BD4" s="22"/>
      <c r="BE4" s="22"/>
      <c r="BG4" s="67"/>
      <c r="BO4" s="68"/>
      <c r="BP4" s="68"/>
      <c r="BQ4" s="68"/>
      <c r="BR4" s="68"/>
      <c r="BS4" s="68"/>
      <c r="BT4" s="68"/>
      <c r="BU4" s="68"/>
      <c r="BV4" s="68"/>
      <c r="BW4" s="68"/>
      <c r="BX4" s="68"/>
      <c r="BY4" s="68"/>
      <c r="BZ4" s="68"/>
      <c r="CA4" s="68"/>
      <c r="CB4" s="68"/>
      <c r="CC4" s="65" t="s">
        <v>114</v>
      </c>
      <c r="CD4" s="68"/>
      <c r="CE4" s="68"/>
      <c r="CF4" s="68"/>
      <c r="CG4" s="68"/>
      <c r="CH4" s="22"/>
      <c r="CI4" s="22"/>
      <c r="CJ4" s="22"/>
    </row>
    <row r="5" spans="1:125" ht="15.75" thickBot="1" x14ac:dyDescent="0.3">
      <c r="A5" s="2" t="s">
        <v>20</v>
      </c>
      <c r="B5" s="114" t="s">
        <v>1</v>
      </c>
      <c r="C5" s="120"/>
      <c r="D5" s="120"/>
      <c r="E5" s="120"/>
      <c r="F5" s="120"/>
      <c r="G5" s="120"/>
      <c r="H5" s="120"/>
      <c r="I5" s="120"/>
      <c r="J5" s="121"/>
      <c r="K5" s="114" t="s">
        <v>8</v>
      </c>
      <c r="L5" s="115"/>
      <c r="M5" s="115"/>
      <c r="N5" s="115"/>
      <c r="O5" s="115"/>
      <c r="P5" s="116"/>
      <c r="Q5" s="93" t="s">
        <v>9</v>
      </c>
      <c r="R5" s="126"/>
      <c r="S5" s="126"/>
      <c r="T5" s="126"/>
      <c r="U5" s="126"/>
      <c r="V5" s="126"/>
      <c r="W5" s="126"/>
      <c r="X5" s="127"/>
      <c r="Y5" s="93" t="s">
        <v>12</v>
      </c>
      <c r="Z5" s="94"/>
      <c r="AA5" s="94"/>
      <c r="AB5" s="94"/>
      <c r="AC5" s="94"/>
      <c r="AD5" s="94"/>
      <c r="AE5" s="94"/>
      <c r="AF5" s="95"/>
      <c r="AG5" s="93" t="s">
        <v>13</v>
      </c>
      <c r="AH5" s="94"/>
      <c r="AI5" s="94"/>
      <c r="AJ5" s="94"/>
      <c r="AK5" s="94"/>
      <c r="AL5" s="94"/>
      <c r="AM5" s="94"/>
      <c r="AN5" s="95"/>
      <c r="AQ5" s="22"/>
      <c r="AR5" s="22"/>
      <c r="AS5" s="22"/>
      <c r="AT5" s="64" t="s">
        <v>161</v>
      </c>
      <c r="AU5" s="22"/>
      <c r="AV5" s="22"/>
      <c r="AW5" s="22"/>
      <c r="AX5" s="22"/>
      <c r="AY5" s="22"/>
      <c r="AZ5" s="22"/>
      <c r="BA5" s="22"/>
      <c r="BB5" s="65" t="s">
        <v>115</v>
      </c>
      <c r="BC5" s="22"/>
      <c r="BD5" s="22"/>
      <c r="BE5" s="22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5" t="s">
        <v>115</v>
      </c>
      <c r="CD5" s="68"/>
      <c r="CE5" s="68"/>
      <c r="CF5" s="68"/>
      <c r="CG5" s="68"/>
      <c r="CH5" s="22"/>
      <c r="CI5" s="22"/>
      <c r="CJ5" s="22"/>
    </row>
    <row r="6" spans="1:125" ht="15.75" thickBot="1" x14ac:dyDescent="0.3">
      <c r="A6" s="7" t="s">
        <v>19</v>
      </c>
      <c r="B6" s="114" t="s">
        <v>0</v>
      </c>
      <c r="C6" s="120"/>
      <c r="D6" s="120"/>
      <c r="E6" s="120"/>
      <c r="F6" s="120"/>
      <c r="G6" s="120"/>
      <c r="H6" s="120"/>
      <c r="I6" s="120"/>
      <c r="J6" s="121"/>
      <c r="K6" s="114" t="s">
        <v>10</v>
      </c>
      <c r="L6" s="115"/>
      <c r="M6" s="115"/>
      <c r="N6" s="115"/>
      <c r="O6" s="115"/>
      <c r="P6" s="116"/>
      <c r="Q6" s="93" t="s">
        <v>11</v>
      </c>
      <c r="R6" s="126"/>
      <c r="S6" s="126"/>
      <c r="T6" s="126"/>
      <c r="U6" s="126"/>
      <c r="V6" s="126"/>
      <c r="W6" s="126"/>
      <c r="X6" s="127"/>
      <c r="Y6" s="99" t="s">
        <v>14</v>
      </c>
      <c r="Z6" s="100"/>
      <c r="AA6" s="100"/>
      <c r="AB6" s="100"/>
      <c r="AC6" s="100"/>
      <c r="AD6" s="100"/>
      <c r="AE6" s="100"/>
      <c r="AF6" s="101"/>
      <c r="AG6" s="99" t="s">
        <v>15</v>
      </c>
      <c r="AH6" s="100"/>
      <c r="AI6" s="100"/>
      <c r="AJ6" s="100"/>
      <c r="AK6" s="100"/>
      <c r="AL6" s="100"/>
      <c r="AM6" s="100"/>
      <c r="AN6" s="101"/>
      <c r="AQ6" s="22"/>
      <c r="AR6" s="22"/>
      <c r="AS6" s="22"/>
      <c r="AT6" s="62"/>
      <c r="AU6" s="22"/>
      <c r="AV6" s="22"/>
      <c r="AW6" s="22"/>
      <c r="AX6" s="22"/>
      <c r="AY6" s="22"/>
      <c r="AZ6" s="22"/>
      <c r="BA6" s="22"/>
      <c r="BB6" s="62"/>
      <c r="BC6" s="22"/>
      <c r="BD6" s="22"/>
      <c r="BE6" s="22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6"/>
      <c r="CD6" s="68"/>
      <c r="CE6" s="68"/>
      <c r="CF6" s="68"/>
      <c r="CG6" s="68"/>
    </row>
    <row r="7" spans="1:125" x14ac:dyDescent="0.25"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6"/>
      <c r="AU7" s="61"/>
      <c r="AV7" s="61"/>
      <c r="AW7" s="61"/>
      <c r="AX7" s="61"/>
      <c r="AY7" s="61"/>
      <c r="AZ7" s="61"/>
      <c r="BA7" s="61"/>
      <c r="BB7" s="66"/>
      <c r="BC7" s="22"/>
      <c r="BD7" s="22"/>
      <c r="BE7" s="22"/>
      <c r="BO7" s="68"/>
      <c r="BP7" s="68"/>
      <c r="BQ7" s="68"/>
      <c r="BR7" s="68"/>
      <c r="BS7" s="68"/>
      <c r="BT7" s="68"/>
      <c r="BU7" s="68"/>
      <c r="BV7" s="68"/>
      <c r="BW7" s="68"/>
      <c r="BX7" s="68"/>
      <c r="BY7" s="68"/>
      <c r="BZ7" s="68"/>
      <c r="CA7" s="68"/>
      <c r="CB7" s="68"/>
      <c r="CC7" s="66"/>
      <c r="CD7" s="68"/>
      <c r="CE7" s="68"/>
      <c r="CF7" s="68"/>
      <c r="CG7" s="68"/>
    </row>
    <row r="8" spans="1:125" x14ac:dyDescent="0.25">
      <c r="A8" s="11">
        <v>1</v>
      </c>
      <c r="B8" s="133" t="s">
        <v>130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5"/>
      <c r="AQ8" s="22"/>
      <c r="AR8" s="22"/>
      <c r="AS8" s="22"/>
      <c r="AT8" s="62"/>
      <c r="AU8" s="22"/>
      <c r="AV8" s="22"/>
      <c r="AW8" s="22"/>
      <c r="AX8" s="22"/>
      <c r="AY8" s="22"/>
      <c r="AZ8" s="22"/>
      <c r="BA8" s="22"/>
      <c r="BB8" s="62"/>
      <c r="BC8" s="22"/>
      <c r="BD8" s="22"/>
      <c r="BE8" s="22"/>
      <c r="BQ8" s="18"/>
      <c r="BR8" s="22"/>
      <c r="BU8" s="22"/>
      <c r="BV8" s="22"/>
      <c r="BZ8" s="22"/>
      <c r="CC8" s="62"/>
      <c r="CD8" s="22"/>
      <c r="CE8" s="22"/>
      <c r="CF8" s="22"/>
      <c r="CG8" s="22"/>
      <c r="CH8" s="22"/>
      <c r="CI8" s="22"/>
    </row>
    <row r="9" spans="1:125" s="22" customFormat="1" x14ac:dyDescent="0.25">
      <c r="A9" s="58">
        <v>2</v>
      </c>
      <c r="B9" s="135" t="s">
        <v>131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35"/>
      <c r="O9" s="135"/>
      <c r="P9" s="135"/>
      <c r="Q9" s="135"/>
      <c r="R9" s="135"/>
      <c r="S9" s="135"/>
      <c r="T9" s="135"/>
      <c r="U9" s="135"/>
      <c r="V9" s="135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T9" s="62"/>
      <c r="BB9" s="62"/>
      <c r="CC9" s="62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</row>
    <row r="10" spans="1:125" x14ac:dyDescent="0.25">
      <c r="A10" s="11">
        <v>3</v>
      </c>
      <c r="B10" s="133" t="s">
        <v>132</v>
      </c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5"/>
      <c r="AQ10" s="22"/>
      <c r="AR10" s="22"/>
      <c r="AS10" s="22"/>
      <c r="AT10" s="62"/>
      <c r="AU10" s="22"/>
      <c r="AV10" s="22"/>
      <c r="AW10" s="22"/>
      <c r="AX10" s="22"/>
      <c r="AY10" s="22"/>
      <c r="AZ10" s="22"/>
      <c r="BA10" s="22"/>
      <c r="BB10" s="62"/>
      <c r="BC10" s="22"/>
      <c r="BD10" s="22"/>
      <c r="BE10" s="22"/>
      <c r="BR10" s="22"/>
      <c r="BU10" s="22"/>
      <c r="BV10" s="22"/>
      <c r="BZ10" s="22"/>
      <c r="CC10" s="62"/>
      <c r="CD10" s="22"/>
      <c r="CE10" s="22"/>
      <c r="CF10" s="22"/>
      <c r="CG10" s="22"/>
      <c r="CH10" s="22"/>
      <c r="CI10" s="22"/>
    </row>
    <row r="11" spans="1:125" x14ac:dyDescent="0.25">
      <c r="A11" s="12">
        <v>4</v>
      </c>
      <c r="B11" s="135"/>
      <c r="C11" s="135"/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5"/>
      <c r="S11" s="135"/>
      <c r="T11" s="135"/>
      <c r="U11" s="135"/>
      <c r="V11" s="135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5"/>
      <c r="AQ11" s="22"/>
      <c r="AR11" s="22"/>
      <c r="AS11" s="22"/>
      <c r="AT11" s="62"/>
      <c r="AU11" s="22"/>
      <c r="AV11" s="22"/>
      <c r="AW11" s="22"/>
      <c r="AX11" s="22"/>
      <c r="AY11" s="22"/>
      <c r="AZ11" s="22"/>
      <c r="BA11" s="22"/>
      <c r="BB11" s="62"/>
      <c r="BC11" s="22"/>
      <c r="BD11" s="22"/>
      <c r="BE11" s="22"/>
      <c r="BR11" s="22"/>
      <c r="BU11" s="22"/>
      <c r="BV11" s="22"/>
      <c r="BZ11" s="22"/>
      <c r="CC11" s="62"/>
      <c r="CD11" s="22"/>
      <c r="CE11" s="22"/>
      <c r="CF11" s="22"/>
      <c r="CG11" s="22"/>
      <c r="CH11" s="22"/>
      <c r="CI11" s="22"/>
    </row>
    <row r="12" spans="1:125" s="9" customFormat="1" x14ac:dyDescent="0.25">
      <c r="A12" s="11">
        <v>5</v>
      </c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5"/>
      <c r="AQ12" s="22"/>
      <c r="AR12" s="22"/>
      <c r="AS12" s="22"/>
      <c r="AT12" s="62"/>
      <c r="AU12" s="22"/>
      <c r="AV12" s="22"/>
      <c r="AW12" s="22"/>
      <c r="AX12" s="22"/>
      <c r="AY12" s="22"/>
      <c r="AZ12" s="22"/>
      <c r="BA12" s="22"/>
      <c r="BB12" s="62"/>
      <c r="BC12" s="22"/>
      <c r="BD12" s="22"/>
      <c r="BE12" s="22"/>
      <c r="BG12" s="22"/>
      <c r="BK12" s="22"/>
      <c r="BL12" s="22"/>
      <c r="BS12" s="22"/>
      <c r="BT12" s="22"/>
      <c r="BW12" s="22"/>
      <c r="BX12" s="22"/>
      <c r="BY12" s="22"/>
      <c r="CA12" s="22"/>
      <c r="CB12" s="22"/>
      <c r="CC12" s="62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</row>
    <row r="13" spans="1:125" s="9" customFormat="1" x14ac:dyDescent="0.25">
      <c r="A13" s="12">
        <v>6</v>
      </c>
      <c r="B13" s="136" t="s">
        <v>60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5"/>
      <c r="AQ13" s="22"/>
      <c r="AR13" s="22"/>
      <c r="AS13" s="22"/>
      <c r="AT13" s="62"/>
      <c r="AU13" s="22"/>
      <c r="AV13" s="22"/>
      <c r="AW13" s="22"/>
      <c r="AX13" s="22"/>
      <c r="AY13" s="22"/>
      <c r="AZ13" s="22"/>
      <c r="BA13" s="22"/>
      <c r="BB13" s="62"/>
      <c r="BC13" s="22"/>
      <c r="BD13" s="22"/>
      <c r="BE13" s="22"/>
      <c r="BG13" s="22"/>
      <c r="BK13" s="22"/>
      <c r="BL13" s="22"/>
      <c r="BS13" s="22"/>
      <c r="BT13" s="22"/>
      <c r="BU13" s="14"/>
      <c r="BW13" s="22"/>
      <c r="BX13" s="22"/>
      <c r="BY13" s="22"/>
      <c r="CA13" s="22"/>
      <c r="CB13" s="22"/>
      <c r="CC13" s="62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</row>
    <row r="14" spans="1:125" s="14" customFormat="1" x14ac:dyDescent="0.25">
      <c r="A14" s="11">
        <v>7</v>
      </c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  <c r="AC14" s="133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5"/>
      <c r="AQ14" s="22"/>
      <c r="AR14" s="22"/>
      <c r="AS14" s="22"/>
      <c r="AT14" s="62"/>
      <c r="AU14" s="22"/>
      <c r="AV14" s="22"/>
      <c r="AW14" s="22"/>
      <c r="AX14" s="22"/>
      <c r="AY14" s="22"/>
      <c r="AZ14" s="22"/>
      <c r="BA14" s="22"/>
      <c r="BB14" s="62"/>
      <c r="BC14" s="22"/>
      <c r="BD14" s="22"/>
      <c r="BE14" s="22"/>
      <c r="BG14" s="22"/>
      <c r="BK14" s="22"/>
      <c r="BL14" s="22"/>
      <c r="BS14" s="22"/>
      <c r="BT14" s="22"/>
      <c r="BW14" s="22"/>
      <c r="BX14" s="22"/>
      <c r="BY14" s="22"/>
      <c r="CA14" s="22"/>
      <c r="CB14" s="22"/>
      <c r="CC14" s="62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</row>
    <row r="15" spans="1:125" s="22" customFormat="1" x14ac:dyDescent="0.25">
      <c r="A15" s="23">
        <v>8</v>
      </c>
      <c r="B15" s="136" t="s">
        <v>120</v>
      </c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T15" s="64" t="s">
        <v>167</v>
      </c>
      <c r="AV15" s="24"/>
      <c r="AW15" s="29"/>
      <c r="AX15" s="56"/>
      <c r="AY15" s="56"/>
      <c r="BB15" s="62"/>
      <c r="BV15" s="75" t="s">
        <v>168</v>
      </c>
      <c r="BW15" s="75" t="s">
        <v>169</v>
      </c>
      <c r="CC15" s="62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</row>
    <row r="16" spans="1:125" s="30" customFormat="1" ht="15" customHeight="1" thickBot="1" x14ac:dyDescent="0.3">
      <c r="AT16" s="63"/>
      <c r="AU16" s="30" t="s">
        <v>90</v>
      </c>
      <c r="AV16" s="30" t="s">
        <v>91</v>
      </c>
      <c r="AW16" s="30" t="s">
        <v>90</v>
      </c>
      <c r="AX16" s="30" t="s">
        <v>91</v>
      </c>
      <c r="AY16" s="30" t="s">
        <v>91</v>
      </c>
      <c r="AZ16" s="30" t="s">
        <v>90</v>
      </c>
      <c r="BA16" s="30" t="s">
        <v>90</v>
      </c>
      <c r="BB16" s="63" t="s">
        <v>90</v>
      </c>
      <c r="BC16" s="30" t="s">
        <v>92</v>
      </c>
      <c r="BD16" s="30" t="s">
        <v>92</v>
      </c>
      <c r="BE16" s="30" t="s">
        <v>90</v>
      </c>
      <c r="BF16" s="30" t="s">
        <v>93</v>
      </c>
      <c r="BG16" s="30" t="s">
        <v>92</v>
      </c>
      <c r="BH16" s="30" t="s">
        <v>92</v>
      </c>
      <c r="BI16" s="30" t="s">
        <v>92</v>
      </c>
      <c r="BJ16" s="30" t="s">
        <v>90</v>
      </c>
      <c r="BK16" s="30" t="s">
        <v>90</v>
      </c>
      <c r="BL16" s="30" t="s">
        <v>90</v>
      </c>
      <c r="BM16" s="30" t="s">
        <v>92</v>
      </c>
      <c r="BN16" s="30" t="s">
        <v>92</v>
      </c>
      <c r="BO16" s="30" t="s">
        <v>92</v>
      </c>
      <c r="BP16" s="30" t="s">
        <v>93</v>
      </c>
      <c r="BQ16" s="30" t="s">
        <v>92</v>
      </c>
      <c r="BS16" s="30" t="s">
        <v>93</v>
      </c>
      <c r="BT16" s="30" t="s">
        <v>90</v>
      </c>
      <c r="BU16" s="30" t="s">
        <v>92</v>
      </c>
      <c r="BV16" s="30" t="s">
        <v>93</v>
      </c>
      <c r="BW16" s="30" t="s">
        <v>93</v>
      </c>
      <c r="BX16" s="30" t="s">
        <v>92</v>
      </c>
      <c r="BY16" s="30" t="s">
        <v>92</v>
      </c>
      <c r="BZ16" s="30" t="s">
        <v>92</v>
      </c>
      <c r="CA16" s="30" t="s">
        <v>92</v>
      </c>
      <c r="CB16" s="30" t="s">
        <v>92</v>
      </c>
      <c r="CC16" s="63" t="s">
        <v>92</v>
      </c>
      <c r="CD16" s="30" t="s">
        <v>90</v>
      </c>
      <c r="CE16" s="30" t="s">
        <v>92</v>
      </c>
      <c r="CF16" s="30" t="s">
        <v>92</v>
      </c>
      <c r="CG16" s="30" t="s">
        <v>90</v>
      </c>
      <c r="CH16" s="30" t="s">
        <v>90</v>
      </c>
      <c r="CI16" s="30" t="s">
        <v>93</v>
      </c>
    </row>
    <row r="17" spans="1:125" s="13" customFormat="1" ht="15.75" customHeight="1" x14ac:dyDescent="0.25">
      <c r="A17" s="78" t="s">
        <v>165</v>
      </c>
      <c r="B17" s="77"/>
      <c r="AT17" s="62"/>
      <c r="AU17" s="85" t="s">
        <v>124</v>
      </c>
      <c r="AV17" s="85" t="s">
        <v>125</v>
      </c>
      <c r="AW17" s="85" t="s">
        <v>126</v>
      </c>
      <c r="AX17" s="85" t="s">
        <v>127</v>
      </c>
      <c r="AY17" s="85" t="s">
        <v>135</v>
      </c>
      <c r="AZ17" s="96" t="s">
        <v>53</v>
      </c>
      <c r="BA17" s="85" t="s">
        <v>54</v>
      </c>
      <c r="BB17" s="102" t="s">
        <v>145</v>
      </c>
      <c r="BC17" s="111" t="s">
        <v>122</v>
      </c>
      <c r="BD17" s="85" t="s">
        <v>83</v>
      </c>
      <c r="BE17" s="85" t="s">
        <v>82</v>
      </c>
      <c r="BF17" s="85" t="s">
        <v>106</v>
      </c>
      <c r="BG17" s="85" t="s">
        <v>85</v>
      </c>
      <c r="BH17" s="85" t="s">
        <v>94</v>
      </c>
      <c r="BI17" s="85" t="s">
        <v>84</v>
      </c>
      <c r="BJ17" s="85" t="s">
        <v>88</v>
      </c>
      <c r="BK17" s="85" t="s">
        <v>103</v>
      </c>
      <c r="BL17" s="85" t="s">
        <v>104</v>
      </c>
      <c r="BM17" s="85" t="s">
        <v>70</v>
      </c>
      <c r="BN17" s="85" t="s">
        <v>68</v>
      </c>
      <c r="BO17" s="85" t="s">
        <v>87</v>
      </c>
      <c r="BP17" s="96" t="s">
        <v>63</v>
      </c>
      <c r="BQ17" s="85" t="s">
        <v>62</v>
      </c>
      <c r="BR17" s="85" t="s">
        <v>121</v>
      </c>
      <c r="BS17" s="85" t="s">
        <v>75</v>
      </c>
      <c r="BT17" s="85" t="s">
        <v>133</v>
      </c>
      <c r="BU17" s="96" t="s">
        <v>100</v>
      </c>
      <c r="BV17" s="85" t="s">
        <v>111</v>
      </c>
      <c r="BW17" s="85" t="s">
        <v>112</v>
      </c>
      <c r="BX17" s="85" t="s">
        <v>141</v>
      </c>
      <c r="BY17" s="85" t="s">
        <v>138</v>
      </c>
      <c r="BZ17" s="85" t="s">
        <v>140</v>
      </c>
      <c r="CA17" s="85" t="s">
        <v>143</v>
      </c>
      <c r="CB17" s="85" t="s">
        <v>134</v>
      </c>
      <c r="CC17" s="102" t="s">
        <v>56</v>
      </c>
      <c r="CD17" s="85" t="s">
        <v>57</v>
      </c>
      <c r="CE17" s="85" t="s">
        <v>109</v>
      </c>
      <c r="CF17" s="85" t="s">
        <v>119</v>
      </c>
      <c r="CG17" s="85" t="s">
        <v>81</v>
      </c>
      <c r="CH17" s="85" t="s">
        <v>89</v>
      </c>
      <c r="CI17" s="85" t="s">
        <v>99</v>
      </c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</row>
    <row r="18" spans="1:125" s="17" customFormat="1" ht="15.75" thickBot="1" x14ac:dyDescent="0.3">
      <c r="A18" s="80" t="s">
        <v>171</v>
      </c>
      <c r="B18" s="77" t="s">
        <v>170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T18" s="62"/>
      <c r="AU18" s="86"/>
      <c r="AV18" s="86"/>
      <c r="AW18" s="86"/>
      <c r="AX18" s="86"/>
      <c r="AY18" s="86"/>
      <c r="AZ18" s="97"/>
      <c r="BA18" s="86"/>
      <c r="BB18" s="103"/>
      <c r="BC18" s="112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97"/>
      <c r="BQ18" s="86"/>
      <c r="BR18" s="86"/>
      <c r="BS18" s="86"/>
      <c r="BT18" s="86"/>
      <c r="BU18" s="97"/>
      <c r="BV18" s="86"/>
      <c r="BW18" s="86"/>
      <c r="BX18" s="86"/>
      <c r="BY18" s="86"/>
      <c r="BZ18" s="86"/>
      <c r="CA18" s="86"/>
      <c r="CB18" s="86"/>
      <c r="CC18" s="103"/>
      <c r="CD18" s="86"/>
      <c r="CE18" s="86"/>
      <c r="CF18" s="86"/>
      <c r="CG18" s="86"/>
      <c r="CH18" s="86"/>
      <c r="CI18" s="86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</row>
    <row r="19" spans="1:125" s="16" customFormat="1" ht="15.75" thickBot="1" x14ac:dyDescent="0.3">
      <c r="A19" s="79" t="s">
        <v>166</v>
      </c>
      <c r="B19" s="77"/>
      <c r="C19" s="27"/>
      <c r="D19" s="27"/>
      <c r="E19" s="27"/>
      <c r="F19" s="27"/>
      <c r="U19" s="22"/>
      <c r="V19" s="22"/>
      <c r="AJ19" s="30"/>
      <c r="AK19" s="30"/>
      <c r="AL19" s="30"/>
      <c r="AM19" s="30"/>
      <c r="AT19" s="62"/>
      <c r="AU19" s="86"/>
      <c r="AV19" s="86"/>
      <c r="AW19" s="86"/>
      <c r="AX19" s="86"/>
      <c r="AY19" s="86"/>
      <c r="AZ19" s="97"/>
      <c r="BA19" s="86"/>
      <c r="BB19" s="103"/>
      <c r="BC19" s="112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97"/>
      <c r="BQ19" s="86"/>
      <c r="BR19" s="86"/>
      <c r="BS19" s="86"/>
      <c r="BT19" s="86"/>
      <c r="BU19" s="97"/>
      <c r="BV19" s="86"/>
      <c r="BW19" s="86"/>
      <c r="BX19" s="86"/>
      <c r="BY19" s="86"/>
      <c r="BZ19" s="86"/>
      <c r="CA19" s="86"/>
      <c r="CB19" s="86"/>
      <c r="CC19" s="103"/>
      <c r="CD19" s="86"/>
      <c r="CE19" s="86"/>
      <c r="CF19" s="86"/>
      <c r="CG19" s="86"/>
      <c r="CH19" s="86"/>
      <c r="CI19" s="86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</row>
    <row r="20" spans="1:125" s="15" customFormat="1" ht="15" customHeight="1" thickBot="1" x14ac:dyDescent="0.3">
      <c r="A20" s="80">
        <v>3406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52">
        <v>1</v>
      </c>
      <c r="AO20" s="53">
        <v>1</v>
      </c>
      <c r="AP20" s="50"/>
      <c r="AQ20" s="31"/>
      <c r="AR20" s="33"/>
      <c r="AS20" s="32"/>
      <c r="AT20" s="62"/>
      <c r="AU20" s="86"/>
      <c r="AV20" s="86"/>
      <c r="AW20" s="86"/>
      <c r="AX20" s="86"/>
      <c r="AY20" s="86"/>
      <c r="AZ20" s="97"/>
      <c r="BA20" s="86"/>
      <c r="BB20" s="103"/>
      <c r="BC20" s="112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97"/>
      <c r="BQ20" s="86"/>
      <c r="BR20" s="86"/>
      <c r="BS20" s="86"/>
      <c r="BT20" s="86"/>
      <c r="BU20" s="97"/>
      <c r="BV20" s="86"/>
      <c r="BW20" s="86"/>
      <c r="BX20" s="86"/>
      <c r="BY20" s="86"/>
      <c r="BZ20" s="86"/>
      <c r="CA20" s="86"/>
      <c r="CB20" s="86"/>
      <c r="CC20" s="103"/>
      <c r="CD20" s="86"/>
      <c r="CE20" s="86"/>
      <c r="CF20" s="86"/>
      <c r="CG20" s="86"/>
      <c r="CH20" s="86"/>
      <c r="CI20" s="86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</row>
    <row r="21" spans="1:125" s="19" customFormat="1" ht="15" customHeight="1" thickBot="1" x14ac:dyDescent="0.3">
      <c r="A21" s="76" t="s">
        <v>29</v>
      </c>
      <c r="B21" s="105" t="s">
        <v>58</v>
      </c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  <c r="AJ21" s="106"/>
      <c r="AK21" s="106"/>
      <c r="AL21" s="106"/>
      <c r="AM21" s="107"/>
      <c r="AN21" s="108" t="s">
        <v>59</v>
      </c>
      <c r="AO21" s="109"/>
      <c r="AP21" s="109"/>
      <c r="AQ21" s="109"/>
      <c r="AR21" s="109"/>
      <c r="AS21" s="110"/>
      <c r="AT21" s="21">
        <v>3</v>
      </c>
      <c r="AU21" s="98"/>
      <c r="AV21" s="98"/>
      <c r="AW21" s="98"/>
      <c r="AX21" s="98"/>
      <c r="AY21" s="98"/>
      <c r="AZ21" s="98"/>
      <c r="BA21" s="87"/>
      <c r="BB21" s="104"/>
      <c r="BC21" s="113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98"/>
      <c r="BQ21" s="87"/>
      <c r="BR21" s="87"/>
      <c r="BS21" s="87"/>
      <c r="BT21" s="87"/>
      <c r="BU21" s="98"/>
      <c r="BV21" s="87"/>
      <c r="BW21" s="87"/>
      <c r="BX21" s="87"/>
      <c r="BY21" s="87"/>
      <c r="BZ21" s="87"/>
      <c r="CA21" s="87"/>
      <c r="CB21" s="98"/>
      <c r="CC21" s="104"/>
      <c r="CD21" s="87"/>
      <c r="CE21" s="87"/>
      <c r="CF21" s="87"/>
      <c r="CG21" s="87"/>
      <c r="CH21" s="87"/>
      <c r="CI21" s="87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</row>
    <row r="22" spans="1:125" ht="15.75" thickBot="1" x14ac:dyDescent="0.3">
      <c r="A22" s="74" t="s">
        <v>29</v>
      </c>
      <c r="B22" s="134" t="s">
        <v>21</v>
      </c>
      <c r="C22" s="134"/>
      <c r="D22" s="134"/>
      <c r="E22" s="134"/>
      <c r="F22" s="134"/>
      <c r="G22" s="134" t="s">
        <v>22</v>
      </c>
      <c r="H22" s="134"/>
      <c r="I22" s="134" t="s">
        <v>31</v>
      </c>
      <c r="J22" s="134"/>
      <c r="K22" s="134" t="s">
        <v>30</v>
      </c>
      <c r="L22" s="134"/>
      <c r="M22" s="134" t="s">
        <v>34</v>
      </c>
      <c r="N22" s="134"/>
      <c r="O22" s="134" t="s">
        <v>26</v>
      </c>
      <c r="P22" s="134"/>
      <c r="Q22" s="134" t="s">
        <v>27</v>
      </c>
      <c r="R22" s="134"/>
      <c r="S22" s="134" t="s">
        <v>33</v>
      </c>
      <c r="T22" s="134"/>
      <c r="U22" s="134" t="s">
        <v>129</v>
      </c>
      <c r="V22" s="134"/>
      <c r="W22" s="134" t="s">
        <v>32</v>
      </c>
      <c r="X22" s="134"/>
      <c r="Y22" s="134" t="s">
        <v>24</v>
      </c>
      <c r="Z22" s="134"/>
      <c r="AA22" s="134"/>
      <c r="AB22" s="134"/>
      <c r="AC22" s="134" t="s">
        <v>25</v>
      </c>
      <c r="AD22" s="134"/>
      <c r="AE22" s="134"/>
      <c r="AF22" s="134" t="s">
        <v>116</v>
      </c>
      <c r="AG22" s="134"/>
      <c r="AH22" s="134" t="s">
        <v>117</v>
      </c>
      <c r="AI22" s="134"/>
      <c r="AJ22" s="134" t="s">
        <v>28</v>
      </c>
      <c r="AK22" s="134"/>
      <c r="AL22" s="134"/>
      <c r="AM22" s="137"/>
      <c r="AN22" s="20" t="s">
        <v>35</v>
      </c>
      <c r="AO22" s="20" t="s">
        <v>36</v>
      </c>
      <c r="AP22" s="20" t="s">
        <v>37</v>
      </c>
      <c r="AQ22" s="20" t="s">
        <v>38</v>
      </c>
      <c r="AR22" s="20" t="s">
        <v>39</v>
      </c>
      <c r="AS22" s="20" t="s">
        <v>40</v>
      </c>
      <c r="AT22" s="26" t="s">
        <v>50</v>
      </c>
      <c r="AU22" s="71" t="s">
        <v>72</v>
      </c>
      <c r="AV22" s="71" t="s">
        <v>73</v>
      </c>
      <c r="AW22" s="72" t="s">
        <v>77</v>
      </c>
      <c r="AX22" s="71" t="s">
        <v>123</v>
      </c>
      <c r="AY22" s="72" t="s">
        <v>128</v>
      </c>
      <c r="AZ22" s="71" t="s">
        <v>51</v>
      </c>
      <c r="BA22" s="71" t="s">
        <v>52</v>
      </c>
      <c r="BB22" s="71" t="s">
        <v>118</v>
      </c>
      <c r="BC22" s="71" t="s">
        <v>107</v>
      </c>
      <c r="BD22" s="73" t="s">
        <v>41</v>
      </c>
      <c r="BE22" s="71" t="s">
        <v>42</v>
      </c>
      <c r="BF22" s="71" t="s">
        <v>43</v>
      </c>
      <c r="BG22" s="71" t="s">
        <v>118</v>
      </c>
      <c r="BH22" s="71" t="s">
        <v>61</v>
      </c>
      <c r="BI22" s="71" t="s">
        <v>66</v>
      </c>
      <c r="BJ22" s="71" t="s">
        <v>71</v>
      </c>
      <c r="BK22" s="71" t="s">
        <v>102</v>
      </c>
      <c r="BL22" s="72" t="s">
        <v>105</v>
      </c>
      <c r="BM22" s="73" t="s">
        <v>69</v>
      </c>
      <c r="BN22" s="71" t="s">
        <v>67</v>
      </c>
      <c r="BO22" s="72" t="s">
        <v>86</v>
      </c>
      <c r="BP22" s="71" t="s">
        <v>44</v>
      </c>
      <c r="BQ22" s="71" t="s">
        <v>45</v>
      </c>
      <c r="BR22" s="71" t="s">
        <v>46</v>
      </c>
      <c r="BS22" s="71" t="s">
        <v>74</v>
      </c>
      <c r="BT22" s="72" t="s">
        <v>78</v>
      </c>
      <c r="BU22" s="71" t="s">
        <v>47</v>
      </c>
      <c r="BV22" s="71" t="s">
        <v>49</v>
      </c>
      <c r="BW22" s="71" t="s">
        <v>64</v>
      </c>
      <c r="BX22" s="72" t="s">
        <v>113</v>
      </c>
      <c r="BY22" s="72" t="s">
        <v>137</v>
      </c>
      <c r="BZ22" s="72" t="s">
        <v>139</v>
      </c>
      <c r="CA22" s="72" t="s">
        <v>142</v>
      </c>
      <c r="CB22" s="72" t="s">
        <v>110</v>
      </c>
      <c r="CC22" s="71" t="s">
        <v>48</v>
      </c>
      <c r="CD22" s="71" t="s">
        <v>55</v>
      </c>
      <c r="CE22" s="71" t="s">
        <v>76</v>
      </c>
      <c r="CF22" s="71" t="s">
        <v>108</v>
      </c>
      <c r="CG22" s="71" t="s">
        <v>79</v>
      </c>
      <c r="CH22" s="71" t="s">
        <v>80</v>
      </c>
      <c r="CI22" s="71" t="s">
        <v>98</v>
      </c>
      <c r="CL22" s="45"/>
      <c r="CM22" s="45"/>
      <c r="CN22" s="45"/>
      <c r="CO22" s="45"/>
      <c r="CP22" s="45"/>
      <c r="CQ22" s="45"/>
      <c r="CR22" s="45"/>
      <c r="CS22" s="45"/>
    </row>
    <row r="23" spans="1:125" s="69" customFormat="1" ht="15" customHeight="1" x14ac:dyDescent="0.25">
      <c r="A23" s="69">
        <f>1</f>
        <v>1</v>
      </c>
      <c r="B23" s="139" t="s">
        <v>149</v>
      </c>
      <c r="C23" s="139"/>
      <c r="D23" s="139"/>
      <c r="E23" s="139"/>
      <c r="F23" s="139"/>
      <c r="G23" s="139">
        <v>300</v>
      </c>
      <c r="H23" s="139"/>
      <c r="I23" s="138" t="s">
        <v>150</v>
      </c>
      <c r="J23" s="138"/>
      <c r="K23" s="138">
        <v>2418</v>
      </c>
      <c r="L23" s="138"/>
      <c r="M23" s="138">
        <v>26284</v>
      </c>
      <c r="N23" s="138"/>
      <c r="O23" s="141" t="s">
        <v>154</v>
      </c>
      <c r="P23" s="141"/>
      <c r="Q23" s="141" t="s">
        <v>153</v>
      </c>
      <c r="R23" s="141"/>
      <c r="S23" s="138" t="s">
        <v>151</v>
      </c>
      <c r="T23" s="138"/>
      <c r="U23" s="138" t="s">
        <v>65</v>
      </c>
      <c r="V23" s="138"/>
      <c r="W23" s="138" t="s">
        <v>155</v>
      </c>
      <c r="X23" s="138"/>
      <c r="Y23" s="139" t="s">
        <v>23</v>
      </c>
      <c r="Z23" s="139"/>
      <c r="AA23" s="139"/>
      <c r="AB23" s="139"/>
      <c r="AC23" s="140" t="s">
        <v>152</v>
      </c>
      <c r="AD23" s="140"/>
      <c r="AE23" s="140"/>
      <c r="AF23" s="69">
        <v>4</v>
      </c>
      <c r="AG23" s="69">
        <v>2</v>
      </c>
      <c r="AH23" s="69">
        <v>2</v>
      </c>
      <c r="AI23" s="69">
        <v>2</v>
      </c>
      <c r="AJ23" s="139" t="s">
        <v>148</v>
      </c>
      <c r="AK23" s="139"/>
      <c r="AL23" s="139"/>
      <c r="AM23" s="139"/>
      <c r="AN23" s="60" t="s">
        <v>96</v>
      </c>
      <c r="AO23" s="54" t="s">
        <v>97</v>
      </c>
      <c r="AP23" s="54" t="s">
        <v>96</v>
      </c>
      <c r="AQ23" s="54" t="s">
        <v>96</v>
      </c>
      <c r="AR23" s="54" t="s">
        <v>95</v>
      </c>
      <c r="AS23" s="55" t="s">
        <v>96</v>
      </c>
      <c r="AT23" s="82">
        <v>3</v>
      </c>
      <c r="AU23" s="83"/>
      <c r="AW23" s="84"/>
      <c r="AZ23" s="83"/>
      <c r="BA23" s="83"/>
      <c r="BB23" s="83">
        <v>1</v>
      </c>
      <c r="BC23" s="83"/>
      <c r="BE23" s="83"/>
      <c r="BF23" s="83"/>
      <c r="BG23" s="83"/>
      <c r="BH23" s="83"/>
      <c r="BM23" s="83"/>
      <c r="BN23" s="83"/>
      <c r="BO23" s="83"/>
      <c r="BP23" s="83"/>
      <c r="BQ23" s="83"/>
      <c r="BR23" s="83"/>
      <c r="BS23" s="83"/>
      <c r="BT23" s="83"/>
      <c r="BU23" s="83"/>
      <c r="BV23" s="83"/>
      <c r="BW23" s="83"/>
      <c r="BX23" s="83"/>
      <c r="BY23" s="83"/>
      <c r="BZ23" s="83"/>
      <c r="CA23" s="83"/>
      <c r="CB23" s="83"/>
      <c r="CC23" s="83">
        <v>2</v>
      </c>
      <c r="CD23" s="83"/>
      <c r="CE23" s="83"/>
      <c r="CF23" s="83"/>
      <c r="CG23" s="83"/>
      <c r="CH23" s="83"/>
    </row>
    <row r="24" spans="1:125" s="142" customFormat="1" ht="15" customHeight="1" x14ac:dyDescent="0.25">
      <c r="A24" s="153">
        <v>2</v>
      </c>
      <c r="B24" s="154" t="s">
        <v>146</v>
      </c>
      <c r="C24" s="143"/>
      <c r="D24" s="143"/>
      <c r="E24" s="143"/>
      <c r="F24" s="143"/>
      <c r="G24" s="154">
        <v>300</v>
      </c>
      <c r="H24" s="143"/>
      <c r="I24" s="155" t="s">
        <v>172</v>
      </c>
      <c r="J24" s="144"/>
      <c r="K24" s="144">
        <v>2418</v>
      </c>
      <c r="L24" s="144"/>
      <c r="M24" s="155">
        <v>24988</v>
      </c>
      <c r="N24" s="144"/>
      <c r="O24" s="156" t="s">
        <v>173</v>
      </c>
      <c r="P24" s="145"/>
      <c r="Q24" s="156" t="s">
        <v>174</v>
      </c>
      <c r="R24" s="145"/>
      <c r="S24" s="155" t="s">
        <v>175</v>
      </c>
      <c r="T24" s="144"/>
      <c r="U24" s="144" t="s">
        <v>65</v>
      </c>
      <c r="V24" s="144"/>
      <c r="W24" s="144" t="s">
        <v>155</v>
      </c>
      <c r="X24" s="144"/>
      <c r="Y24" s="154" t="s">
        <v>23</v>
      </c>
      <c r="Z24" s="143"/>
      <c r="AA24" s="143"/>
      <c r="AB24" s="143"/>
      <c r="AC24" s="157" t="s">
        <v>176</v>
      </c>
      <c r="AD24" s="146"/>
      <c r="AE24" s="146"/>
      <c r="AF24" s="142">
        <v>4</v>
      </c>
      <c r="AG24" s="142">
        <v>2</v>
      </c>
      <c r="AH24" s="142">
        <v>2</v>
      </c>
      <c r="AI24" s="142">
        <v>2</v>
      </c>
      <c r="AJ24" s="154" t="s">
        <v>177</v>
      </c>
      <c r="AK24" s="143"/>
      <c r="AL24" s="143"/>
      <c r="AM24" s="143"/>
      <c r="AN24" s="147" t="s">
        <v>96</v>
      </c>
      <c r="AO24" s="148" t="s">
        <v>97</v>
      </c>
      <c r="AP24" s="148" t="s">
        <v>96</v>
      </c>
      <c r="AQ24" s="148" t="s">
        <v>96</v>
      </c>
      <c r="AR24" s="148" t="s">
        <v>95</v>
      </c>
      <c r="AS24" s="149" t="s">
        <v>96</v>
      </c>
      <c r="AT24" s="150">
        <v>3</v>
      </c>
      <c r="AU24" s="151"/>
      <c r="AW24" s="152"/>
      <c r="AZ24" s="151"/>
      <c r="BA24" s="151"/>
      <c r="BB24" s="151">
        <v>1</v>
      </c>
      <c r="BC24" s="151"/>
      <c r="BE24" s="151"/>
      <c r="BF24" s="151"/>
      <c r="BG24" s="151"/>
      <c r="BH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>
        <v>2</v>
      </c>
      <c r="CD24" s="151"/>
      <c r="CE24" s="151"/>
      <c r="CF24" s="151"/>
      <c r="CG24" s="151"/>
      <c r="CH24" s="151"/>
    </row>
  </sheetData>
  <dataConsolidate/>
  <mergeCells count="118">
    <mergeCell ref="W24:X24"/>
    <mergeCell ref="Y24:AB24"/>
    <mergeCell ref="AC24:AE24"/>
    <mergeCell ref="AJ24:AM24"/>
    <mergeCell ref="B24:F24"/>
    <mergeCell ref="G24:H24"/>
    <mergeCell ref="I24:J24"/>
    <mergeCell ref="K24:L24"/>
    <mergeCell ref="M24:N24"/>
    <mergeCell ref="O24:P24"/>
    <mergeCell ref="Q24:R24"/>
    <mergeCell ref="S24:T24"/>
    <mergeCell ref="U24:V24"/>
    <mergeCell ref="W23:X23"/>
    <mergeCell ref="Y23:AB23"/>
    <mergeCell ref="AC23:AE23"/>
    <mergeCell ref="AJ23:AM23"/>
    <mergeCell ref="B23:F23"/>
    <mergeCell ref="G23:H23"/>
    <mergeCell ref="I23:J23"/>
    <mergeCell ref="K23:L23"/>
    <mergeCell ref="M23:N23"/>
    <mergeCell ref="O23:P23"/>
    <mergeCell ref="Q23:R23"/>
    <mergeCell ref="S23:T23"/>
    <mergeCell ref="U23:V23"/>
    <mergeCell ref="Y6:AF6"/>
    <mergeCell ref="B6:J6"/>
    <mergeCell ref="K6:P6"/>
    <mergeCell ref="O22:P22"/>
    <mergeCell ref="Q22:R22"/>
    <mergeCell ref="B15:AO15"/>
    <mergeCell ref="AF22:AG22"/>
    <mergeCell ref="AH22:AI22"/>
    <mergeCell ref="W22:X22"/>
    <mergeCell ref="AJ22:AM22"/>
    <mergeCell ref="S22:T22"/>
    <mergeCell ref="B13:AO13"/>
    <mergeCell ref="B14:AO14"/>
    <mergeCell ref="AG4:AN4"/>
    <mergeCell ref="AN3:AO3"/>
    <mergeCell ref="C3:I3"/>
    <mergeCell ref="B12:AO12"/>
    <mergeCell ref="Q6:X6"/>
    <mergeCell ref="J3:K3"/>
    <mergeCell ref="U22:V22"/>
    <mergeCell ref="BY17:BY21"/>
    <mergeCell ref="G22:H22"/>
    <mergeCell ref="M22:N22"/>
    <mergeCell ref="I22:J22"/>
    <mergeCell ref="B9:AO9"/>
    <mergeCell ref="K22:L22"/>
    <mergeCell ref="Z3:AE3"/>
    <mergeCell ref="AH3:AM3"/>
    <mergeCell ref="B10:AO10"/>
    <mergeCell ref="B11:AO11"/>
    <mergeCell ref="B22:F22"/>
    <mergeCell ref="AC22:AE22"/>
    <mergeCell ref="Y22:AB22"/>
    <mergeCell ref="BA17:BA21"/>
    <mergeCell ref="BG17:BG21"/>
    <mergeCell ref="BF17:BF21"/>
    <mergeCell ref="B8:AO8"/>
    <mergeCell ref="K5:P5"/>
    <mergeCell ref="B4:J4"/>
    <mergeCell ref="B5:J5"/>
    <mergeCell ref="A3:B3"/>
    <mergeCell ref="K4:P4"/>
    <mergeCell ref="M3:P3"/>
    <mergeCell ref="Q3:W3"/>
    <mergeCell ref="Q4:X4"/>
    <mergeCell ref="Q5:X5"/>
    <mergeCell ref="X3:Y3"/>
    <mergeCell ref="BI17:BI21"/>
    <mergeCell ref="AZ17:AZ21"/>
    <mergeCell ref="BE17:BE21"/>
    <mergeCell ref="AX17:AX21"/>
    <mergeCell ref="AY17:AY21"/>
    <mergeCell ref="B21:AM21"/>
    <mergeCell ref="AN21:AS21"/>
    <mergeCell ref="BB17:BB21"/>
    <mergeCell ref="BH17:BH21"/>
    <mergeCell ref="AV17:AV21"/>
    <mergeCell ref="BC17:BC21"/>
    <mergeCell ref="AU17:AU21"/>
    <mergeCell ref="CF17:CF21"/>
    <mergeCell ref="CG17:CG21"/>
    <mergeCell ref="BO17:BO21"/>
    <mergeCell ref="CE17:CE21"/>
    <mergeCell ref="BS17:BS21"/>
    <mergeCell ref="CD17:CD21"/>
    <mergeCell ref="BW17:BW21"/>
    <mergeCell ref="CB17:CB21"/>
    <mergeCell ref="BR17:BR21"/>
    <mergeCell ref="BJ17:BJ21"/>
    <mergeCell ref="BD17:BD21"/>
    <mergeCell ref="AU2:CI2"/>
    <mergeCell ref="AF3:AG3"/>
    <mergeCell ref="Y5:AF5"/>
    <mergeCell ref="Y4:AF4"/>
    <mergeCell ref="AG5:AN5"/>
    <mergeCell ref="BL17:BL21"/>
    <mergeCell ref="BU17:BU21"/>
    <mergeCell ref="AW17:AW21"/>
    <mergeCell ref="BT17:BT21"/>
    <mergeCell ref="CH17:CH21"/>
    <mergeCell ref="AG6:AN6"/>
    <mergeCell ref="BX17:BX21"/>
    <mergeCell ref="CA17:CA21"/>
    <mergeCell ref="BK17:BK21"/>
    <mergeCell ref="BN17:BN21"/>
    <mergeCell ref="BM17:BM21"/>
    <mergeCell ref="CI17:CI21"/>
    <mergeCell ref="BV17:BV21"/>
    <mergeCell ref="BP17:BP21"/>
    <mergeCell ref="BQ17:BQ21"/>
    <mergeCell ref="BZ17:BZ21"/>
    <mergeCell ref="CC17:CC21"/>
  </mergeCells>
  <dataValidations count="3">
    <dataValidation type="list" allowBlank="1" showInputMessage="1" showErrorMessage="1" sqref="AS23:AS24 AN23:AN24">
      <formula1>$BO$2:$BO$3</formula1>
    </dataValidation>
    <dataValidation type="list" allowBlank="1" showInputMessage="1" showErrorMessage="1" sqref="AR23:AR24 AO23:AO24">
      <formula1>$BP$2:$BP$4</formula1>
    </dataValidation>
    <dataValidation type="list" allowBlank="1" showInputMessage="1" showErrorMessage="1" sqref="AP23:AQ24">
      <formula1>$BO$2:$BO$4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controls>
    <mc:AlternateContent xmlns:mc="http://schemas.openxmlformats.org/markup-compatibility/2006">
      <mc:Choice Requires="x14">
        <control shapeId="4102" r:id="rId4" name="Send">
          <controlPr defaultSize="0" autoLine="0" r:id="rId5">
            <anchor moveWithCells="1">
              <from>
                <xdr:col>41</xdr:col>
                <xdr:colOff>228600</xdr:colOff>
                <xdr:row>15</xdr:row>
                <xdr:rowOff>0</xdr:rowOff>
              </from>
              <to>
                <xdr:col>45</xdr:col>
                <xdr:colOff>190500</xdr:colOff>
                <xdr:row>17</xdr:row>
                <xdr:rowOff>123825</xdr:rowOff>
              </to>
            </anchor>
          </controlPr>
        </control>
      </mc:Choice>
      <mc:Fallback>
        <control shapeId="4102" r:id="rId4" name="S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1"/>
  <sheetViews>
    <sheetView zoomScale="115" zoomScaleNormal="115" workbookViewId="0">
      <selection activeCell="F11" sqref="F11"/>
    </sheetView>
  </sheetViews>
  <sheetFormatPr defaultRowHeight="15" x14ac:dyDescent="0.25"/>
  <cols>
    <col min="1" max="3" width="4.85546875" style="34" customWidth="1"/>
    <col min="4" max="4" width="24.5703125" style="34" bestFit="1" customWidth="1"/>
    <col min="5" max="5" width="16.42578125" style="34" bestFit="1" customWidth="1"/>
    <col min="6" max="6" width="33.5703125" style="34" bestFit="1" customWidth="1"/>
    <col min="7" max="7" width="21.140625" style="34" bestFit="1" customWidth="1"/>
    <col min="8" max="8" width="22.140625" style="34" bestFit="1" customWidth="1"/>
    <col min="9" max="9" width="19.85546875" style="34" bestFit="1" customWidth="1"/>
    <col min="10" max="10" width="15.7109375" style="34" bestFit="1" customWidth="1"/>
    <col min="11" max="11" width="29.85546875" style="34" bestFit="1" customWidth="1"/>
    <col min="12" max="12" width="14.7109375" style="34" customWidth="1"/>
    <col min="13" max="14" width="32.140625" style="34" bestFit="1" customWidth="1"/>
    <col min="15" max="15" width="23.85546875" style="34" bestFit="1" customWidth="1"/>
    <col min="16" max="16" width="7.140625" style="34" bestFit="1" customWidth="1"/>
    <col min="17" max="18" width="12.140625" style="34" customWidth="1"/>
    <col min="19" max="16384" width="9.140625" style="34"/>
  </cols>
  <sheetData>
    <row r="1" spans="1:16" ht="15.75" thickBot="1" x14ac:dyDescent="0.3">
      <c r="D1" s="47" t="s">
        <v>146</v>
      </c>
    </row>
    <row r="2" spans="1:16" ht="15.75" thickBot="1" x14ac:dyDescent="0.3">
      <c r="D2" s="48" t="s">
        <v>101</v>
      </c>
      <c r="E2" s="48"/>
      <c r="F2" s="48"/>
      <c r="G2" s="48"/>
      <c r="H2" s="48"/>
      <c r="I2" s="35"/>
      <c r="J2" s="35"/>
      <c r="K2" s="36"/>
      <c r="L2" s="37"/>
      <c r="M2" s="37"/>
      <c r="N2" s="37"/>
      <c r="O2" s="37"/>
      <c r="P2" s="37"/>
    </row>
    <row r="3" spans="1:16" ht="15.75" thickBot="1" x14ac:dyDescent="0.3">
      <c r="D3" s="49" t="s">
        <v>147</v>
      </c>
      <c r="E3" s="49"/>
      <c r="F3" s="49"/>
      <c r="G3" s="49"/>
      <c r="H3" s="49"/>
      <c r="I3" s="38"/>
      <c r="J3" s="38"/>
      <c r="K3" s="39"/>
      <c r="L3" s="39"/>
      <c r="M3" s="39"/>
      <c r="N3" s="39"/>
      <c r="O3" s="39"/>
      <c r="P3" s="39"/>
    </row>
    <row r="4" spans="1:16" ht="15.75" thickBot="1" x14ac:dyDescent="0.3">
      <c r="A4" s="40">
        <v>1</v>
      </c>
      <c r="B4" s="41"/>
      <c r="C4" s="42"/>
      <c r="D4" s="34" t="s">
        <v>144</v>
      </c>
      <c r="E4" s="46"/>
      <c r="F4" s="43"/>
      <c r="G4" s="43"/>
      <c r="H4" s="43"/>
      <c r="I4" s="43"/>
      <c r="J4" s="43"/>
      <c r="K4" s="44"/>
      <c r="L4" s="44"/>
      <c r="M4" s="44"/>
      <c r="N4" s="44"/>
      <c r="O4" s="44"/>
      <c r="P4" s="44"/>
    </row>
    <row r="5" spans="1:16" x14ac:dyDescent="0.25">
      <c r="A5" s="40">
        <v>2</v>
      </c>
      <c r="B5" s="41"/>
      <c r="C5" s="42"/>
      <c r="D5" s="34" t="s">
        <v>144</v>
      </c>
      <c r="E5" s="59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</row>
    <row r="6" spans="1:16" ht="15.75" thickBot="1" x14ac:dyDescent="0.3"/>
    <row r="7" spans="1:16" ht="15.75" thickBot="1" x14ac:dyDescent="0.3">
      <c r="D7" s="47" t="s">
        <v>149</v>
      </c>
    </row>
    <row r="8" spans="1:16" ht="15.75" thickBot="1" x14ac:dyDescent="0.3">
      <c r="D8" s="48" t="s">
        <v>101</v>
      </c>
      <c r="E8" s="48"/>
      <c r="F8" s="48"/>
      <c r="G8" s="48"/>
      <c r="H8" s="48"/>
      <c r="I8" s="35"/>
      <c r="J8" s="35"/>
      <c r="K8" s="36"/>
      <c r="L8" s="37"/>
      <c r="M8" s="37"/>
      <c r="N8" s="37"/>
      <c r="O8" s="37"/>
      <c r="P8" s="37"/>
    </row>
    <row r="9" spans="1:16" ht="15.75" thickBot="1" x14ac:dyDescent="0.3">
      <c r="D9" s="49" t="s">
        <v>156</v>
      </c>
      <c r="E9" s="49"/>
      <c r="F9" s="49"/>
      <c r="G9" s="49"/>
      <c r="H9" s="49"/>
      <c r="I9" s="38"/>
      <c r="J9" s="38"/>
      <c r="K9" s="39"/>
      <c r="L9" s="39"/>
      <c r="M9" s="39"/>
      <c r="N9" s="39"/>
      <c r="O9" s="39"/>
      <c r="P9" s="39"/>
    </row>
    <row r="10" spans="1:16" ht="15.75" thickBot="1" x14ac:dyDescent="0.3">
      <c r="A10" s="40">
        <v>1</v>
      </c>
      <c r="B10" s="41"/>
      <c r="C10" s="42"/>
      <c r="D10" s="34" t="s">
        <v>157</v>
      </c>
      <c r="E10" s="46"/>
      <c r="F10" s="43"/>
      <c r="G10" s="43"/>
      <c r="H10" s="43"/>
      <c r="I10" s="43"/>
      <c r="J10" s="43"/>
      <c r="K10" s="44"/>
      <c r="L10" s="44"/>
      <c r="M10" s="44"/>
      <c r="N10" s="44"/>
      <c r="O10" s="44"/>
      <c r="P10" s="44"/>
    </row>
    <row r="11" spans="1:16" x14ac:dyDescent="0.25">
      <c r="A11" s="40">
        <v>2</v>
      </c>
      <c r="B11" s="41"/>
      <c r="C11" s="42"/>
      <c r="D11" s="34" t="s">
        <v>158</v>
      </c>
      <c r="E11" s="59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</row>
  </sheetData>
  <pageMargins left="0.7" right="0.7" top="0.75" bottom="0.75" header="0.3" footer="0.3"/>
  <pageSetup scale="4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V18:AV42"/>
  <sheetViews>
    <sheetView showGridLines="0" zoomScale="85" zoomScaleNormal="85" workbookViewId="0">
      <selection activeCell="S18" sqref="S18"/>
    </sheetView>
  </sheetViews>
  <sheetFormatPr defaultRowHeight="11.25" x14ac:dyDescent="0.2"/>
  <cols>
    <col min="1" max="120" width="3.7109375" style="8" customWidth="1"/>
    <col min="121" max="16384" width="9.140625" style="8"/>
  </cols>
  <sheetData>
    <row r="18" spans="48:48" x14ac:dyDescent="0.2">
      <c r="AV18" s="70" t="s">
        <v>164</v>
      </c>
    </row>
    <row r="42" spans="48:48" x14ac:dyDescent="0.2">
      <c r="AV42" s="70" t="s">
        <v>163</v>
      </c>
    </row>
  </sheetData>
  <pageMargins left="0.7" right="0.7" top="0.75" bottom="0.75" header="0.3" footer="0.3"/>
  <pageSetup scale="6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77215B44-3340-4091-8562-0D6865AE18C0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general</vt:lpstr>
      <vt:lpstr>hist</vt:lpstr>
      <vt:lpstr>wokflow</vt:lpstr>
      <vt:lpstr>list</vt:lpstr>
      <vt:lpstr>tem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737Service Bulletin</dc:title>
  <dc:creator>Alex Klimovskikh</dc:creator>
  <cp:lastModifiedBy>Alex Klimovskikh</cp:lastModifiedBy>
  <cp:lastPrinted>2017-03-15T17:33:48Z</cp:lastPrinted>
  <dcterms:created xsi:type="dcterms:W3CDTF">2015-04-23T17:00:47Z</dcterms:created>
  <dcterms:modified xsi:type="dcterms:W3CDTF">2018-01-18T10:50:18Z</dcterms:modified>
</cp:coreProperties>
</file>