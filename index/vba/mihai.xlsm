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avk\index\vba\"/>
    </mc:Choice>
  </mc:AlternateContent>
  <bookViews>
    <workbookView xWindow="31635" yWindow="-15" windowWidth="26970" windowHeight="9930" tabRatio="439"/>
  </bookViews>
  <sheets>
    <sheet name="pac" sheetId="10" r:id="rId1"/>
    <sheet name="st1" sheetId="13" r:id="rId2"/>
    <sheet name="st2" sheetId="12" r:id="rId3"/>
    <sheet name="3" sheetId="5" r:id="rId4"/>
    <sheet name="4" sheetId="9" r:id="rId5"/>
    <sheet name="5" sheetId="6" r:id="rId6"/>
    <sheet name="new" sheetId="14" r:id="rId7"/>
    <sheet name="s1" sheetId="16" r:id="rId8"/>
    <sheet name="profile" sheetId="17" r:id="rId9"/>
  </sheets>
  <functionGroups builtInGroupCount="18"/>
  <calcPr calcId="152511"/>
</workbook>
</file>

<file path=xl/calcChain.xml><?xml version="1.0" encoding="utf-8"?>
<calcChain xmlns="http://schemas.openxmlformats.org/spreadsheetml/2006/main">
  <c r="S48" i="13" l="1"/>
  <c r="R48" i="13"/>
  <c r="Q48" i="13"/>
  <c r="D48" i="13"/>
  <c r="E48" i="13"/>
  <c r="F48" i="13"/>
  <c r="G48" i="13"/>
  <c r="H48" i="13"/>
  <c r="I48" i="13"/>
  <c r="J48" i="13"/>
  <c r="K48" i="13"/>
  <c r="L48" i="13"/>
  <c r="M48" i="13"/>
  <c r="N48" i="13"/>
  <c r="O48" i="13"/>
  <c r="P48" i="13"/>
  <c r="C48" i="13"/>
  <c r="S47" i="13"/>
  <c r="R47" i="13"/>
  <c r="Q47" i="13"/>
  <c r="D47" i="13"/>
  <c r="E47" i="13"/>
  <c r="F47" i="13"/>
  <c r="G47" i="13"/>
  <c r="H47" i="13"/>
  <c r="I47" i="13"/>
  <c r="J47" i="13"/>
  <c r="K47" i="13"/>
  <c r="L47" i="13"/>
  <c r="M47" i="13"/>
  <c r="N47" i="13"/>
  <c r="O47" i="13"/>
  <c r="P47" i="13"/>
  <c r="C47" i="13"/>
  <c r="S46" i="13"/>
  <c r="R46" i="13"/>
  <c r="Q46" i="13"/>
  <c r="D46" i="13"/>
  <c r="E46" i="13"/>
  <c r="F46" i="13"/>
  <c r="G46" i="13"/>
  <c r="H46" i="13"/>
  <c r="I46" i="13"/>
  <c r="J46" i="13"/>
  <c r="K46" i="13"/>
  <c r="L46" i="13"/>
  <c r="M46" i="13"/>
  <c r="N46" i="13"/>
  <c r="O46" i="13"/>
  <c r="P46" i="13"/>
  <c r="C46" i="13"/>
  <c r="S45" i="13"/>
  <c r="R45" i="13"/>
  <c r="Q45" i="13"/>
  <c r="D45" i="13"/>
  <c r="E45" i="13"/>
  <c r="F45" i="13"/>
  <c r="G45" i="13"/>
  <c r="H45" i="13"/>
  <c r="I45" i="13"/>
  <c r="J45" i="13"/>
  <c r="K45" i="13"/>
  <c r="L45" i="13"/>
  <c r="M45" i="13"/>
  <c r="N45" i="13"/>
  <c r="O45" i="13"/>
  <c r="P45" i="13"/>
  <c r="C45" i="13"/>
  <c r="S44" i="13"/>
  <c r="R44" i="13"/>
  <c r="Q44" i="13"/>
  <c r="D44" i="13"/>
  <c r="E44" i="13"/>
  <c r="F44" i="13"/>
  <c r="G44" i="13"/>
  <c r="H44" i="13"/>
  <c r="I44" i="13"/>
  <c r="J44" i="13"/>
  <c r="K44" i="13"/>
  <c r="L44" i="13"/>
  <c r="M44" i="13"/>
  <c r="N44" i="13"/>
  <c r="O44" i="13"/>
  <c r="P44" i="13"/>
  <c r="C44" i="13"/>
  <c r="S42" i="13"/>
  <c r="R42" i="13"/>
  <c r="Q42" i="13"/>
  <c r="D42" i="13"/>
  <c r="E42" i="13"/>
  <c r="F42" i="13"/>
  <c r="G42" i="13"/>
  <c r="H42" i="13"/>
  <c r="I42" i="13"/>
  <c r="J42" i="13"/>
  <c r="K42" i="13"/>
  <c r="L42" i="13"/>
  <c r="M42" i="13"/>
  <c r="N42" i="13"/>
  <c r="O42" i="13"/>
  <c r="P42" i="13"/>
  <c r="C42" i="13"/>
  <c r="S43" i="13"/>
  <c r="R43" i="13"/>
  <c r="Q43" i="13"/>
  <c r="D43" i="13"/>
  <c r="E43" i="13"/>
  <c r="F43" i="13"/>
  <c r="G43" i="13"/>
  <c r="H43" i="13"/>
  <c r="I43" i="13"/>
  <c r="J43" i="13"/>
  <c r="K43" i="13"/>
  <c r="L43" i="13"/>
  <c r="M43" i="13"/>
  <c r="N43" i="13"/>
  <c r="O43" i="13"/>
  <c r="P43" i="13"/>
  <c r="C43" i="13"/>
  <c r="AE152" i="12" l="1"/>
  <c r="D115" i="12" l="1"/>
  <c r="E115" i="12"/>
  <c r="F115" i="12"/>
  <c r="G115" i="12"/>
  <c r="H115" i="12"/>
  <c r="I115" i="12"/>
  <c r="J115" i="12"/>
  <c r="K115" i="12"/>
  <c r="L115" i="12"/>
  <c r="M115" i="12"/>
  <c r="N115" i="12"/>
  <c r="O115" i="12"/>
  <c r="P115" i="12"/>
  <c r="Q115" i="12"/>
  <c r="R115" i="12"/>
  <c r="S115" i="12"/>
  <c r="D114" i="12"/>
  <c r="E114" i="12"/>
  <c r="F114" i="12"/>
  <c r="G114" i="12"/>
  <c r="H114" i="12"/>
  <c r="I114" i="12"/>
  <c r="J114" i="12"/>
  <c r="K114" i="12"/>
  <c r="L114" i="12"/>
  <c r="M114" i="12"/>
  <c r="N114" i="12"/>
  <c r="O114" i="12"/>
  <c r="P114" i="12"/>
  <c r="Q114" i="12"/>
  <c r="R114" i="12"/>
  <c r="S114" i="12"/>
  <c r="D113" i="12"/>
  <c r="E113" i="12"/>
  <c r="F113" i="12"/>
  <c r="G113" i="12"/>
  <c r="H113" i="12"/>
  <c r="I113" i="12"/>
  <c r="J113" i="12"/>
  <c r="K113" i="12"/>
  <c r="L113" i="12"/>
  <c r="M113" i="12"/>
  <c r="N113" i="12"/>
  <c r="O113" i="12"/>
  <c r="P113" i="12"/>
  <c r="Q113" i="12"/>
  <c r="R113" i="12"/>
  <c r="S113" i="12"/>
  <c r="D112" i="12"/>
  <c r="E112" i="12"/>
  <c r="F112" i="12"/>
  <c r="G112" i="12"/>
  <c r="H112" i="12"/>
  <c r="I112" i="12"/>
  <c r="J112" i="12"/>
  <c r="K112" i="12"/>
  <c r="L112" i="12"/>
  <c r="M112" i="12"/>
  <c r="N112" i="12"/>
  <c r="O112" i="12"/>
  <c r="P112" i="12"/>
  <c r="Q112" i="12"/>
  <c r="R112" i="12"/>
  <c r="S112" i="12"/>
  <c r="C112" i="12"/>
  <c r="C113" i="12"/>
  <c r="C114" i="12"/>
  <c r="C115" i="12"/>
  <c r="D111" i="12"/>
  <c r="E111" i="12"/>
  <c r="F111" i="12"/>
  <c r="G111" i="12"/>
  <c r="H111" i="12"/>
  <c r="I111" i="12"/>
  <c r="J111" i="12"/>
  <c r="K111" i="12"/>
  <c r="L111" i="12"/>
  <c r="M111" i="12"/>
  <c r="N111" i="12"/>
  <c r="O111" i="12"/>
  <c r="P111" i="12"/>
  <c r="Q111" i="12"/>
  <c r="R111" i="12"/>
  <c r="S111" i="12"/>
  <c r="C111" i="12"/>
  <c r="D110" i="12"/>
  <c r="E110" i="12"/>
  <c r="F110" i="12"/>
  <c r="G110" i="12"/>
  <c r="H110" i="12"/>
  <c r="I110" i="12"/>
  <c r="J110" i="12"/>
  <c r="K110" i="12"/>
  <c r="L110" i="12"/>
  <c r="M110" i="12"/>
  <c r="N110" i="12"/>
  <c r="O110" i="12"/>
  <c r="P110" i="12"/>
  <c r="Q110" i="12"/>
  <c r="R110" i="12"/>
  <c r="S110" i="12"/>
  <c r="D109" i="12"/>
  <c r="E109" i="12"/>
  <c r="F109" i="12"/>
  <c r="G109" i="12"/>
  <c r="H109" i="12"/>
  <c r="I109" i="12"/>
  <c r="J109" i="12"/>
  <c r="K109" i="12"/>
  <c r="L109" i="12"/>
  <c r="M109" i="12"/>
  <c r="N109" i="12"/>
  <c r="O109" i="12"/>
  <c r="P109" i="12"/>
  <c r="Q109" i="12"/>
  <c r="R109" i="12"/>
  <c r="S109" i="12"/>
  <c r="D108" i="12"/>
  <c r="E108" i="12"/>
  <c r="F108" i="12"/>
  <c r="G108" i="12"/>
  <c r="H108" i="12"/>
  <c r="I108" i="12"/>
  <c r="J108" i="12"/>
  <c r="J20" i="12" s="1"/>
  <c r="K108" i="12"/>
  <c r="L108" i="12"/>
  <c r="M108" i="12"/>
  <c r="N108" i="12"/>
  <c r="O108" i="12"/>
  <c r="O18" i="12" s="1"/>
  <c r="P108" i="12"/>
  <c r="Q108" i="12"/>
  <c r="R108" i="12"/>
  <c r="S108" i="12"/>
  <c r="D107" i="12"/>
  <c r="E107" i="12"/>
  <c r="F107" i="12"/>
  <c r="G107" i="12"/>
  <c r="H107" i="12"/>
  <c r="I107" i="12"/>
  <c r="J107" i="12"/>
  <c r="K107" i="12"/>
  <c r="L107" i="12"/>
  <c r="M107" i="12"/>
  <c r="N107" i="12"/>
  <c r="O107" i="12"/>
  <c r="P107" i="12"/>
  <c r="Q107" i="12"/>
  <c r="R107" i="12"/>
  <c r="S107" i="12"/>
  <c r="C107" i="12"/>
  <c r="C108" i="12"/>
  <c r="C109" i="12"/>
  <c r="C110" i="12"/>
  <c r="D106" i="12"/>
  <c r="E106" i="12"/>
  <c r="F106" i="12"/>
  <c r="G106" i="12"/>
  <c r="H106" i="12"/>
  <c r="I106" i="12"/>
  <c r="J106" i="12"/>
  <c r="K106" i="12"/>
  <c r="L106" i="12"/>
  <c r="M106" i="12"/>
  <c r="N106" i="12"/>
  <c r="O106" i="12"/>
  <c r="P106" i="12"/>
  <c r="Q106" i="12"/>
  <c r="R106" i="12"/>
  <c r="S106" i="12"/>
  <c r="C106" i="12"/>
  <c r="D105" i="12"/>
  <c r="E105" i="12"/>
  <c r="F105" i="12"/>
  <c r="G105" i="12"/>
  <c r="H105" i="12"/>
  <c r="I105" i="12"/>
  <c r="J105" i="12"/>
  <c r="K105" i="12"/>
  <c r="L105" i="12"/>
  <c r="M105" i="12"/>
  <c r="N105" i="12"/>
  <c r="O105" i="12"/>
  <c r="P105" i="12"/>
  <c r="Q105" i="12"/>
  <c r="R105" i="12"/>
  <c r="S105" i="12"/>
  <c r="D104" i="12"/>
  <c r="E104" i="12"/>
  <c r="F104" i="12"/>
  <c r="G104" i="12"/>
  <c r="H104" i="12"/>
  <c r="I104" i="12"/>
  <c r="J104" i="12"/>
  <c r="K104" i="12"/>
  <c r="L104" i="12"/>
  <c r="M104" i="12"/>
  <c r="N104" i="12"/>
  <c r="O104" i="12"/>
  <c r="P104" i="12"/>
  <c r="Q104" i="12"/>
  <c r="R104" i="12"/>
  <c r="S104" i="12"/>
  <c r="D103" i="12"/>
  <c r="E103" i="12"/>
  <c r="F103" i="12"/>
  <c r="G103" i="12"/>
  <c r="H103" i="12"/>
  <c r="I103" i="12"/>
  <c r="J103" i="12"/>
  <c r="K103" i="12"/>
  <c r="L103" i="12"/>
  <c r="M103" i="12"/>
  <c r="N103" i="12"/>
  <c r="O103" i="12"/>
  <c r="P103" i="12"/>
  <c r="Q103" i="12"/>
  <c r="R103" i="12"/>
  <c r="S103" i="12"/>
  <c r="D102" i="12"/>
  <c r="E102" i="12"/>
  <c r="F102" i="12"/>
  <c r="G102" i="12"/>
  <c r="H102" i="12"/>
  <c r="I102" i="12"/>
  <c r="J102" i="12"/>
  <c r="K102" i="12"/>
  <c r="L102" i="12"/>
  <c r="M102" i="12"/>
  <c r="N102" i="12"/>
  <c r="O102" i="12"/>
  <c r="P102" i="12"/>
  <c r="Q102" i="12"/>
  <c r="R102" i="12"/>
  <c r="S102" i="12"/>
  <c r="C102" i="12"/>
  <c r="C103" i="12"/>
  <c r="C104" i="12"/>
  <c r="C105" i="12"/>
  <c r="D101" i="12"/>
  <c r="E101" i="12"/>
  <c r="F101" i="12"/>
  <c r="G101" i="12"/>
  <c r="H101" i="12"/>
  <c r="I101" i="12"/>
  <c r="J101" i="12"/>
  <c r="K101" i="12"/>
  <c r="L101" i="12"/>
  <c r="M101" i="12"/>
  <c r="N101" i="12"/>
  <c r="O101" i="12"/>
  <c r="P101" i="12"/>
  <c r="Q101" i="12"/>
  <c r="R101" i="12"/>
  <c r="S101" i="12"/>
  <c r="C101" i="12"/>
  <c r="D97" i="12"/>
  <c r="E97" i="12"/>
  <c r="F97" i="12"/>
  <c r="G97" i="12"/>
  <c r="H97" i="12"/>
  <c r="I97" i="12"/>
  <c r="J97" i="12"/>
  <c r="K97" i="12"/>
  <c r="L97" i="12"/>
  <c r="M97" i="12"/>
  <c r="N97" i="12"/>
  <c r="O97" i="12"/>
  <c r="P97" i="12"/>
  <c r="Q97" i="12"/>
  <c r="R97" i="12"/>
  <c r="S97" i="12"/>
  <c r="C97" i="12"/>
  <c r="D99" i="12"/>
  <c r="E99" i="12"/>
  <c r="F99" i="12"/>
  <c r="G99" i="12"/>
  <c r="H99" i="12"/>
  <c r="I99" i="12"/>
  <c r="J99" i="12"/>
  <c r="K99" i="12"/>
  <c r="L99" i="12"/>
  <c r="M99" i="12"/>
  <c r="N99" i="12"/>
  <c r="O99" i="12"/>
  <c r="P99" i="12"/>
  <c r="Q99" i="12"/>
  <c r="R99" i="12"/>
  <c r="S99" i="12"/>
  <c r="C99" i="12"/>
  <c r="D100" i="12"/>
  <c r="E100" i="12"/>
  <c r="F100" i="12"/>
  <c r="G100" i="12"/>
  <c r="H100" i="12"/>
  <c r="I100" i="12"/>
  <c r="J100" i="12"/>
  <c r="K100" i="12"/>
  <c r="L100" i="12"/>
  <c r="M100" i="12"/>
  <c r="N100" i="12"/>
  <c r="O100" i="12"/>
  <c r="P100" i="12"/>
  <c r="Q100" i="12"/>
  <c r="R100" i="12"/>
  <c r="S100" i="12"/>
  <c r="D98" i="12"/>
  <c r="E98" i="12"/>
  <c r="F98" i="12"/>
  <c r="G98" i="12"/>
  <c r="H98" i="12"/>
  <c r="I98" i="12"/>
  <c r="J98" i="12"/>
  <c r="K98" i="12"/>
  <c r="L98" i="12"/>
  <c r="M98" i="12"/>
  <c r="N98" i="12"/>
  <c r="O98" i="12"/>
  <c r="P98" i="12"/>
  <c r="Q98" i="12"/>
  <c r="R98" i="12"/>
  <c r="S98" i="12"/>
  <c r="D96" i="12"/>
  <c r="E96" i="12"/>
  <c r="F96" i="12"/>
  <c r="G96" i="12"/>
  <c r="H96" i="12"/>
  <c r="I96" i="12"/>
  <c r="J96" i="12"/>
  <c r="K96" i="12"/>
  <c r="L96" i="12"/>
  <c r="M96" i="12"/>
  <c r="N96" i="12"/>
  <c r="O96" i="12"/>
  <c r="P96" i="12"/>
  <c r="Q96" i="12"/>
  <c r="R96" i="12"/>
  <c r="S96" i="12"/>
  <c r="C100" i="12"/>
  <c r="C98" i="12"/>
  <c r="C96" i="12"/>
  <c r="R17" i="12" l="1"/>
  <c r="R19" i="12"/>
  <c r="J17" i="12"/>
  <c r="J19" i="12"/>
  <c r="N18" i="12"/>
  <c r="N21" i="12"/>
  <c r="N20" i="12"/>
  <c r="F18" i="12"/>
  <c r="F20" i="12"/>
  <c r="F21" i="12"/>
  <c r="I19" i="12"/>
  <c r="I17" i="12"/>
  <c r="E18" i="12"/>
  <c r="E20" i="12"/>
  <c r="E21" i="12"/>
  <c r="H17" i="12"/>
  <c r="H19" i="12"/>
  <c r="O19" i="12"/>
  <c r="O17" i="12"/>
  <c r="G17" i="12"/>
  <c r="G19" i="12"/>
  <c r="S20" i="12"/>
  <c r="S21" i="12"/>
  <c r="S18" i="12"/>
  <c r="K20" i="12"/>
  <c r="K21" i="12"/>
  <c r="K18" i="12"/>
  <c r="L21" i="12"/>
  <c r="L20" i="12"/>
  <c r="L18" i="12"/>
  <c r="N19" i="12"/>
  <c r="N17" i="12"/>
  <c r="F17" i="12"/>
  <c r="F19" i="12"/>
  <c r="R20" i="12"/>
  <c r="R21" i="12"/>
  <c r="R18" i="12"/>
  <c r="J21" i="12"/>
  <c r="J18" i="12"/>
  <c r="P17" i="12"/>
  <c r="P19" i="12"/>
  <c r="M17" i="12"/>
  <c r="M19" i="12"/>
  <c r="E17" i="12"/>
  <c r="E19" i="12"/>
  <c r="Q20" i="12"/>
  <c r="Q21" i="12"/>
  <c r="Q18" i="12"/>
  <c r="I20" i="12"/>
  <c r="I21" i="12"/>
  <c r="I18" i="12"/>
  <c r="Q19" i="12"/>
  <c r="Q17" i="12"/>
  <c r="P20" i="12"/>
  <c r="P21" i="12"/>
  <c r="P18" i="12"/>
  <c r="H20" i="12"/>
  <c r="H21" i="12"/>
  <c r="H18" i="12"/>
  <c r="M20" i="12"/>
  <c r="M21" i="12"/>
  <c r="M18" i="12"/>
  <c r="L17" i="12"/>
  <c r="L19" i="12"/>
  <c r="S17" i="12"/>
  <c r="S19" i="12"/>
  <c r="K17" i="12"/>
  <c r="K19" i="12"/>
  <c r="O21" i="12"/>
  <c r="O20" i="12"/>
  <c r="G21" i="12"/>
  <c r="G18" i="12"/>
  <c r="G20" i="12"/>
  <c r="Q22" i="12"/>
  <c r="Q24" i="12"/>
  <c r="P22" i="12"/>
  <c r="P24" i="12"/>
  <c r="H22" i="12"/>
  <c r="H24" i="12"/>
  <c r="O22" i="12"/>
  <c r="O24" i="12"/>
  <c r="G22" i="12"/>
  <c r="G24" i="12"/>
  <c r="N22" i="12"/>
  <c r="N24" i="12"/>
  <c r="M22" i="12"/>
  <c r="M24" i="12"/>
  <c r="I22" i="12"/>
  <c r="I24" i="12"/>
  <c r="L22" i="12"/>
  <c r="L24" i="12"/>
  <c r="S22" i="12"/>
  <c r="S24" i="12"/>
  <c r="K22" i="12"/>
  <c r="K24" i="12"/>
  <c r="R22" i="12"/>
  <c r="R24" i="12"/>
  <c r="J22" i="12"/>
  <c r="J24" i="12"/>
  <c r="S25" i="12"/>
  <c r="S23" i="12"/>
  <c r="S26" i="12"/>
  <c r="K25" i="12"/>
  <c r="K23" i="12"/>
  <c r="K26" i="12"/>
  <c r="R25" i="12"/>
  <c r="R23" i="12"/>
  <c r="R26" i="12"/>
  <c r="J25" i="12"/>
  <c r="J23" i="12"/>
  <c r="J26" i="12"/>
  <c r="Q26" i="12"/>
  <c r="Q25" i="12"/>
  <c r="Q23" i="12"/>
  <c r="I26" i="12"/>
  <c r="I25" i="12"/>
  <c r="I23" i="12"/>
  <c r="P26" i="12"/>
  <c r="P25" i="12"/>
  <c r="P23" i="12"/>
  <c r="H26" i="12"/>
  <c r="H25" i="12"/>
  <c r="H23" i="12"/>
  <c r="O26" i="12"/>
  <c r="O25" i="12"/>
  <c r="O23" i="12"/>
  <c r="G26" i="12"/>
  <c r="G25" i="12"/>
  <c r="G23" i="12"/>
  <c r="N26" i="12"/>
  <c r="N25" i="12"/>
  <c r="N23" i="12"/>
  <c r="M25" i="12"/>
  <c r="M23" i="12"/>
  <c r="M26" i="12"/>
  <c r="L25" i="12"/>
  <c r="L23" i="12"/>
  <c r="L26" i="12"/>
  <c r="S77" i="6" l="1"/>
  <c r="S76" i="6"/>
  <c r="T76" i="6" s="1"/>
  <c r="U76" i="6" s="1"/>
  <c r="P36" i="6" l="1"/>
</calcChain>
</file>

<file path=xl/sharedStrings.xml><?xml version="1.0" encoding="utf-8"?>
<sst xmlns="http://schemas.openxmlformats.org/spreadsheetml/2006/main" count="1566" uniqueCount="946">
  <si>
    <t>R2 PED</t>
  </si>
  <si>
    <t>AAL-AAL-15-0515</t>
  </si>
  <si>
    <t>AAL-AAL-15-0650</t>
  </si>
  <si>
    <t>ND041</t>
  </si>
  <si>
    <t>#</t>
  </si>
  <si>
    <t>Name</t>
  </si>
  <si>
    <t>LN</t>
  </si>
  <si>
    <t>US</t>
  </si>
  <si>
    <t>var</t>
  </si>
  <si>
    <t>serial</t>
  </si>
  <si>
    <t>hours</t>
  </si>
  <si>
    <t>cycles</t>
  </si>
  <si>
    <t>reg</t>
  </si>
  <si>
    <t>basic</t>
  </si>
  <si>
    <t>N3144</t>
  </si>
  <si>
    <t>ACD</t>
  </si>
  <si>
    <t>door P/N</t>
  </si>
  <si>
    <t>DAL-DAL-14-2614</t>
  </si>
  <si>
    <t>CPZ-UAL-15-0014</t>
  </si>
  <si>
    <t>141N6100-2</t>
  </si>
  <si>
    <t>000434</t>
  </si>
  <si>
    <t>NE068</t>
  </si>
  <si>
    <t>N568UA</t>
  </si>
  <si>
    <t>N3246</t>
  </si>
  <si>
    <t>SWA-SWA-15-1550</t>
  </si>
  <si>
    <t>65-46921-230</t>
  </si>
  <si>
    <t>58-352</t>
  </si>
  <si>
    <t>65B04311-20</t>
  </si>
  <si>
    <t>001516</t>
  </si>
  <si>
    <t>RT951</t>
  </si>
  <si>
    <t>B-16401</t>
  </si>
  <si>
    <t>EVA-EVA-15-0210</t>
  </si>
  <si>
    <t>CLX-CLX-15-0016</t>
  </si>
  <si>
    <t>65B04308-4</t>
  </si>
  <si>
    <t>RM889</t>
  </si>
  <si>
    <t>0001367</t>
  </si>
  <si>
    <t>door S/N</t>
  </si>
  <si>
    <t>LX-VCV</t>
  </si>
  <si>
    <t>BAB-BAB-15-0455</t>
  </si>
  <si>
    <t>WB002</t>
  </si>
  <si>
    <t>135W3100-1</t>
  </si>
  <si>
    <t>BCD</t>
  </si>
  <si>
    <t>000052</t>
  </si>
  <si>
    <t>G-VIIB</t>
  </si>
  <si>
    <t>KLM-MTH-15-0002</t>
  </si>
  <si>
    <t>MDCD</t>
  </si>
  <si>
    <t>65B17601-11</t>
  </si>
  <si>
    <t>RL683</t>
  </si>
  <si>
    <t>000356</t>
  </si>
  <si>
    <t>PH-CKC</t>
  </si>
  <si>
    <t>PUL-PUL-14-0035</t>
  </si>
  <si>
    <t>RT525</t>
  </si>
  <si>
    <t>65B01857-17</t>
  </si>
  <si>
    <t>000983</t>
  </si>
  <si>
    <t>EC-KQC</t>
  </si>
  <si>
    <t>SVS-AMX-14-0009</t>
  </si>
  <si>
    <t>WB341</t>
  </si>
  <si>
    <t>N774AM</t>
  </si>
  <si>
    <t>ARG-ARG-14-0212</t>
  </si>
  <si>
    <t>YB106</t>
  </si>
  <si>
    <t>141A6150-3</t>
  </si>
  <si>
    <t>000737</t>
  </si>
  <si>
    <t>LV-CAM</t>
  </si>
  <si>
    <t>QTR-QTR-14-0866</t>
  </si>
  <si>
    <t>135W1001-10</t>
  </si>
  <si>
    <t>WD082</t>
  </si>
  <si>
    <t>000445</t>
  </si>
  <si>
    <t>A7-BBB</t>
  </si>
  <si>
    <t>AFT LCD</t>
  </si>
  <si>
    <t>Dent&amp;Crack at upper beam web b/w LF2_3</t>
  </si>
  <si>
    <t>HKA-UPS-14-0053</t>
  </si>
  <si>
    <t>RT161</t>
  </si>
  <si>
    <t>N578UP</t>
  </si>
  <si>
    <t>CHI-CHI-14-0577</t>
  </si>
  <si>
    <t>RM022</t>
  </si>
  <si>
    <t>65B04248-32</t>
  </si>
  <si>
    <t>B-18207</t>
  </si>
  <si>
    <t>SWA-SWA-15-0322</t>
  </si>
  <si>
    <t>002309-528</t>
  </si>
  <si>
    <t>1057</t>
  </si>
  <si>
    <t>SWA-SWA-14-1584</t>
  </si>
  <si>
    <t>002121</t>
  </si>
  <si>
    <t>EGA-EVA-12-0147</t>
  </si>
  <si>
    <t>65B04311-24</t>
  </si>
  <si>
    <t>001532</t>
  </si>
  <si>
    <t>FED-FED-14-0964</t>
  </si>
  <si>
    <t>143N6100-4</t>
  </si>
  <si>
    <t>NA304</t>
  </si>
  <si>
    <t>N948FD</t>
  </si>
  <si>
    <t>UPS-UPS-14-0656</t>
  </si>
  <si>
    <t>146N6603-1</t>
  </si>
  <si>
    <t>NS611</t>
  </si>
  <si>
    <t>SAC0139</t>
  </si>
  <si>
    <t>N461UP</t>
  </si>
  <si>
    <t>Damage at stop beam web</t>
  </si>
  <si>
    <t>FED-FED-14-1795</t>
  </si>
  <si>
    <t>NA394</t>
  </si>
  <si>
    <t>141N6200-2</t>
  </si>
  <si>
    <t>N915FD</t>
  </si>
  <si>
    <t>00367</t>
  </si>
  <si>
    <t>NA572</t>
  </si>
  <si>
    <t>N672DL</t>
  </si>
  <si>
    <t>AFA-AFA-15-0016</t>
  </si>
  <si>
    <t>RL671</t>
  </si>
  <si>
    <t>65B17601-7</t>
  </si>
  <si>
    <t>000340</t>
  </si>
  <si>
    <t>F-GIUA</t>
  </si>
  <si>
    <t>000424</t>
  </si>
  <si>
    <t>XIA-XIA-14-0299</t>
  </si>
  <si>
    <t>NJ032</t>
  </si>
  <si>
    <t>000338</t>
  </si>
  <si>
    <t>146N6603-2004</t>
  </si>
  <si>
    <t>B-2866</t>
  </si>
  <si>
    <t>ND174</t>
  </si>
  <si>
    <t>N658AA</t>
  </si>
  <si>
    <t>AAL-AAL-14-0687</t>
  </si>
  <si>
    <t>N/A</t>
  </si>
  <si>
    <t>143N6100-448</t>
  </si>
  <si>
    <t>FED-FED-14-1794</t>
  </si>
  <si>
    <t>146N6100-4</t>
  </si>
  <si>
    <t>DAL-DAL-14-0382</t>
  </si>
  <si>
    <t>65B04311-12</t>
  </si>
  <si>
    <t>RT403</t>
  </si>
  <si>
    <t>001249</t>
  </si>
  <si>
    <t>N663US</t>
  </si>
  <si>
    <t>CPZ-UPS-14-0025</t>
  </si>
  <si>
    <t>NT007</t>
  </si>
  <si>
    <t>N473UP</t>
  </si>
  <si>
    <t>65-25326-703</t>
  </si>
  <si>
    <t>000078</t>
  </si>
  <si>
    <t>SGH-DAL-14-0031</t>
  </si>
  <si>
    <t>65B04250-1</t>
  </si>
  <si>
    <t>RT408</t>
  </si>
  <si>
    <t>000801</t>
  </si>
  <si>
    <t>N668US</t>
  </si>
  <si>
    <t>WJI-WJI-13-0219</t>
  </si>
  <si>
    <t>141A6150-5</t>
  </si>
  <si>
    <t>VAI001443</t>
  </si>
  <si>
    <t>SOF-SOF-13-0149</t>
  </si>
  <si>
    <t>65B17601-15</t>
  </si>
  <si>
    <t>RL512</t>
  </si>
  <si>
    <t>000390</t>
  </si>
  <si>
    <t>N558CL</t>
  </si>
  <si>
    <t>NSB-NSB-13-0266</t>
  </si>
  <si>
    <t>141A6150-8</t>
  </si>
  <si>
    <t>YR263</t>
  </si>
  <si>
    <t>PRI000673</t>
  </si>
  <si>
    <t>LN-NIF</t>
  </si>
  <si>
    <t>SGH-DAL-13-0106</t>
  </si>
  <si>
    <t>65B04308-1</t>
  </si>
  <si>
    <t>000799</t>
  </si>
  <si>
    <t>RT407</t>
  </si>
  <si>
    <t>N667US</t>
  </si>
  <si>
    <t>WJE-WJE-13-0166</t>
  </si>
  <si>
    <t>146N6100-3</t>
  </si>
  <si>
    <t>NB422</t>
  </si>
  <si>
    <t>N901NV</t>
  </si>
  <si>
    <t>EAZ-EAZ-13-0115</t>
  </si>
  <si>
    <t>65-25326-708</t>
  </si>
  <si>
    <t>000009</t>
  </si>
  <si>
    <t>NA212</t>
  </si>
  <si>
    <t>D-ALEE</t>
  </si>
  <si>
    <t>Gouges at pan fitting aft</t>
  </si>
  <si>
    <t>CHI-CHI-13-0474</t>
  </si>
  <si>
    <t>RM021</t>
  </si>
  <si>
    <t>B-18206</t>
  </si>
  <si>
    <t>65B04311-25</t>
  </si>
  <si>
    <t>001820</t>
  </si>
  <si>
    <t>VDT-ABM-13-0023</t>
  </si>
  <si>
    <t>RL675</t>
  </si>
  <si>
    <t>VQ-BGY</t>
  </si>
  <si>
    <t>65B17601-95202</t>
  </si>
  <si>
    <t>000371</t>
  </si>
  <si>
    <t>AFA-AFA-13-0473</t>
  </si>
  <si>
    <t>WD522</t>
  </si>
  <si>
    <t>F-GSQB</t>
  </si>
  <si>
    <t>000238</t>
  </si>
  <si>
    <t>SIT-SIT-13-0091</t>
  </si>
  <si>
    <t>RL433</t>
  </si>
  <si>
    <t>9V-SFN</t>
  </si>
  <si>
    <t>65B17601-95201</t>
  </si>
  <si>
    <t>000357</t>
  </si>
  <si>
    <t>CAL-CAL-14-0566</t>
  </si>
  <si>
    <t>NT751</t>
  </si>
  <si>
    <t>000648</t>
  </si>
  <si>
    <t>N26123</t>
  </si>
  <si>
    <t>141N6100-2001</t>
  </si>
  <si>
    <t>CAL-CAL-13-1209</t>
  </si>
  <si>
    <t>YH102</t>
  </si>
  <si>
    <t>N47414</t>
  </si>
  <si>
    <t>141A6150-7</t>
  </si>
  <si>
    <t>VAI002494</t>
  </si>
  <si>
    <t>UPS-UPS-14-0369</t>
  </si>
  <si>
    <t>RR722</t>
  </si>
  <si>
    <t>N583UP</t>
  </si>
  <si>
    <t>000961</t>
  </si>
  <si>
    <t>SWA-SWA-13-1922</t>
  </si>
  <si>
    <t>74-513</t>
  </si>
  <si>
    <t>SFN-SFN-14-0026</t>
  </si>
  <si>
    <t>PQ369</t>
  </si>
  <si>
    <t>B-2598</t>
  </si>
  <si>
    <t>65-47952-358</t>
  </si>
  <si>
    <t>002343</t>
  </si>
  <si>
    <t>DHI-DHH-13-0020</t>
  </si>
  <si>
    <t>NA209</t>
  </si>
  <si>
    <t>G-BIKI</t>
  </si>
  <si>
    <t>CLX-CLX-13-0351</t>
  </si>
  <si>
    <t>RL551</t>
  </si>
  <si>
    <t>LX-YCV</t>
  </si>
  <si>
    <t>65B17601-925</t>
  </si>
  <si>
    <t>000417</t>
  </si>
  <si>
    <t>VDT-ABM-13-0002</t>
  </si>
  <si>
    <t>FED-FED-13-0207</t>
  </si>
  <si>
    <t>NA302</t>
  </si>
  <si>
    <t>N958FD</t>
  </si>
  <si>
    <t>L4 PED</t>
  </si>
  <si>
    <t>FWD LCD</t>
  </si>
  <si>
    <t>n/a</t>
  </si>
  <si>
    <t>EAC-ANG-13-0002</t>
  </si>
  <si>
    <t>WC547</t>
  </si>
  <si>
    <t>D2-TEE</t>
  </si>
  <si>
    <t>131W1001-2164</t>
  </si>
  <si>
    <t>000589</t>
  </si>
  <si>
    <t>Crack at OC StopBeam1 and Damage at OS</t>
  </si>
  <si>
    <t>KLF-CAL-13-0004</t>
  </si>
  <si>
    <t>PT806</t>
  </si>
  <si>
    <t>N58606</t>
  </si>
  <si>
    <t>002591</t>
  </si>
  <si>
    <t>SEP-APC-12-0024</t>
  </si>
  <si>
    <t>RT504</t>
  </si>
  <si>
    <t>DQ-FJK</t>
  </si>
  <si>
    <t>000755</t>
  </si>
  <si>
    <t>CAT-CAT-12-0883</t>
  </si>
  <si>
    <t>RT453</t>
  </si>
  <si>
    <t>B-HOR</t>
  </si>
  <si>
    <t>65B04311-11</t>
  </si>
  <si>
    <t>UPS-UPS-12-1244</t>
  </si>
  <si>
    <t>65B04406-617</t>
  </si>
  <si>
    <t>Repair at IS lower hinge cutout cover</t>
  </si>
  <si>
    <t>N640A</t>
  </si>
  <si>
    <t>FR</t>
  </si>
  <si>
    <t>B</t>
  </si>
  <si>
    <t>OS</t>
  </si>
  <si>
    <t>IS</t>
  </si>
  <si>
    <t>D</t>
  </si>
  <si>
    <t>S</t>
  </si>
  <si>
    <t>A</t>
  </si>
  <si>
    <t>-</t>
  </si>
  <si>
    <t>AAL-AAL-15-0719</t>
  </si>
  <si>
    <t>146N6603-97</t>
  </si>
  <si>
    <t>CLX-CLX-14-0553</t>
  </si>
  <si>
    <t>RT061</t>
  </si>
  <si>
    <t>LX-DCV</t>
  </si>
  <si>
    <t>R2015</t>
  </si>
  <si>
    <t>SWA-SWA-15-0948</t>
  </si>
  <si>
    <t>YM336</t>
  </si>
  <si>
    <t>N290WN</t>
  </si>
  <si>
    <t>Y0872</t>
  </si>
  <si>
    <t>No</t>
  </si>
  <si>
    <t>AD2010-01-01</t>
  </si>
  <si>
    <t>Stage 2</t>
  </si>
  <si>
    <t>52-30-02</t>
  </si>
  <si>
    <t>Corrosion at rear frame web</t>
  </si>
  <si>
    <t>51-70-11</t>
  </si>
  <si>
    <t>Dent&amp;Crack at upper beam ACD</t>
  </si>
  <si>
    <t>52-10-01</t>
  </si>
  <si>
    <t>DAL-DAL-15-1849</t>
  </si>
  <si>
    <t>NA558</t>
  </si>
  <si>
    <t>N658DL</t>
  </si>
  <si>
    <t>N3095</t>
  </si>
  <si>
    <t>143N6158-6</t>
  </si>
  <si>
    <t>00018</t>
  </si>
  <si>
    <t>WB055</t>
  </si>
  <si>
    <t>N784UA</t>
  </si>
  <si>
    <t>000072</t>
  </si>
  <si>
    <t>135W1001-3</t>
  </si>
  <si>
    <t>CAL-UAL-15-0041</t>
  </si>
  <si>
    <t>S1</t>
  </si>
  <si>
    <t>CAL-CAL-16-0013</t>
  </si>
  <si>
    <t>YC357</t>
  </si>
  <si>
    <t>N27246</t>
  </si>
  <si>
    <t>Y1179</t>
  </si>
  <si>
    <t>141A6150-2</t>
  </si>
  <si>
    <t>NG000396</t>
  </si>
  <si>
    <t>ZGT-JJU-16-0001</t>
  </si>
  <si>
    <t>YC707</t>
  </si>
  <si>
    <t>HL7780</t>
  </si>
  <si>
    <t>Y1209</t>
  </si>
  <si>
    <t>000450</t>
  </si>
  <si>
    <t>AAL-AAL-16-0148</t>
  </si>
  <si>
    <t>YR718</t>
  </si>
  <si>
    <t>N884NN</t>
  </si>
  <si>
    <t>Y4788</t>
  </si>
  <si>
    <t>MOE-UPS-15-0022</t>
  </si>
  <si>
    <t>NT003</t>
  </si>
  <si>
    <t>N469UP</t>
  </si>
  <si>
    <t>N9003</t>
  </si>
  <si>
    <t>65-25326-701</t>
  </si>
  <si>
    <t>074</t>
  </si>
  <si>
    <t>AAL-AAL-16-0842</t>
  </si>
  <si>
    <t>ND195</t>
  </si>
  <si>
    <t>N602AN</t>
  </si>
  <si>
    <t>N3323</t>
  </si>
  <si>
    <t>000077</t>
  </si>
  <si>
    <t>XIA-XIA-16-0351</t>
  </si>
  <si>
    <t>B-2869</t>
  </si>
  <si>
    <t>N8121</t>
  </si>
  <si>
    <t>NN052</t>
  </si>
  <si>
    <t>GCE-SIT-16-0077</t>
  </si>
  <si>
    <t>RR856</t>
  </si>
  <si>
    <t>FCD</t>
  </si>
  <si>
    <t>9V-SFF</t>
  </si>
  <si>
    <t>R6515</t>
  </si>
  <si>
    <t>DAL-DAL-16-1617</t>
  </si>
  <si>
    <t>NT719</t>
  </si>
  <si>
    <t>N6706Q</t>
  </si>
  <si>
    <t>N8072</t>
  </si>
  <si>
    <t>146N6603-1002</t>
  </si>
  <si>
    <t>SAC000256</t>
  </si>
  <si>
    <t>EAD-EAD-16-0290</t>
  </si>
  <si>
    <t>WE212</t>
  </si>
  <si>
    <t>A6-ENP</t>
  </si>
  <si>
    <t>001202</t>
  </si>
  <si>
    <t>ATK-DHH-14-0120</t>
  </si>
  <si>
    <t>NA216</t>
  </si>
  <si>
    <t>G-BIKO</t>
  </si>
  <si>
    <t>N0042</t>
  </si>
  <si>
    <t>65-25326-710</t>
  </si>
  <si>
    <t>000025</t>
  </si>
  <si>
    <t>DAL-DAL-16-1393</t>
  </si>
  <si>
    <t>NU034</t>
  </si>
  <si>
    <t>N8105</t>
  </si>
  <si>
    <t>N553NW</t>
  </si>
  <si>
    <t>141N6100-2008</t>
  </si>
  <si>
    <t>00155</t>
  </si>
  <si>
    <t>BW</t>
  </si>
  <si>
    <t>cr</t>
  </si>
  <si>
    <t>cor</t>
  </si>
  <si>
    <t>dam</t>
  </si>
  <si>
    <t>1+ fastener  //load: bend in OS due int.pressure. Still in SRM area and not affected fat &amp; DT characteristics of SRM repair</t>
  </si>
  <si>
    <t>FI</t>
  </si>
  <si>
    <t>osz</t>
  </si>
  <si>
    <t>no</t>
  </si>
  <si>
    <t>corrosion at side frame //f(SCN 262004A)=(8.6/18.2)*4.1=1.94 - stress is low (OK)</t>
  </si>
  <si>
    <t>777-200ER</t>
  </si>
  <si>
    <t>777-200</t>
  </si>
  <si>
    <t>777-200LR</t>
  </si>
  <si>
    <t>777-300ER</t>
  </si>
  <si>
    <t>767 - mil problem</t>
  </si>
  <si>
    <t>SYK-SYK-16-0040</t>
  </si>
  <si>
    <t>RM882</t>
  </si>
  <si>
    <t>4K-SW888</t>
  </si>
  <si>
    <t>R7109</t>
  </si>
  <si>
    <t>65B01836-696</t>
  </si>
  <si>
    <t>000004</t>
  </si>
  <si>
    <t>nutplate hole //SN(DFR=10.63; f_GETDATA=3,8ksi; R= -0.13)*(GAG=0.75;FRF=1.5)=1,135t &gt; 50t // DTA &gt; 3m(OK)</t>
  </si>
  <si>
    <t>BAB-BAB-16-1603</t>
  </si>
  <si>
    <t>RM136</t>
  </si>
  <si>
    <t>G-CIVR</t>
  </si>
  <si>
    <t>R6602</t>
  </si>
  <si>
    <t>65B04311-26</t>
  </si>
  <si>
    <t>001702</t>
  </si>
  <si>
    <t>blend</t>
  </si>
  <si>
    <t>exist</t>
  </si>
  <si>
    <t>BAB-BAB-16-0807</t>
  </si>
  <si>
    <t>RM141</t>
  </si>
  <si>
    <t>65B04248-31</t>
  </si>
  <si>
    <t>001155</t>
  </si>
  <si>
    <t>G-CIVY</t>
  </si>
  <si>
    <t>bent</t>
  </si>
  <si>
    <t>CAL-CAL-16-0820</t>
  </si>
  <si>
    <t>YA535</t>
  </si>
  <si>
    <t>N14735</t>
  </si>
  <si>
    <t>NG000357</t>
  </si>
  <si>
    <t>Y0160</t>
  </si>
  <si>
    <t>EGA-EVA-17-0029</t>
  </si>
  <si>
    <t>RT166</t>
  </si>
  <si>
    <t>B-16407</t>
  </si>
  <si>
    <t>R2044</t>
  </si>
  <si>
    <t>11007</t>
  </si>
  <si>
    <t>65B01857-12</t>
  </si>
  <si>
    <t>CAT-CAT-16-0902</t>
  </si>
  <si>
    <t>RC551</t>
  </si>
  <si>
    <t>B-LJA</t>
  </si>
  <si>
    <t>R8908</t>
  </si>
  <si>
    <t>000437</t>
  </si>
  <si>
    <t>146U6201-1</t>
  </si>
  <si>
    <t>DAL-DAL-17-0369</t>
  </si>
  <si>
    <t>NT728</t>
  </si>
  <si>
    <t>N6715</t>
  </si>
  <si>
    <t>N8089</t>
  </si>
  <si>
    <t>146N6603-1003</t>
  </si>
  <si>
    <t>00278</t>
  </si>
  <si>
    <t>crack size=0.25 (0.1) // SEM&gt;2D | No load beyond skin edge.</t>
  </si>
  <si>
    <t>UAL-UAL-16-0899</t>
  </si>
  <si>
    <t>WC223</t>
  </si>
  <si>
    <t>N76021</t>
  </si>
  <si>
    <t>135W1001-4179</t>
  </si>
  <si>
    <t>000838</t>
  </si>
  <si>
    <t>imp</t>
  </si>
  <si>
    <t>QTR-QTR-16-1515</t>
  </si>
  <si>
    <t>BI</t>
  </si>
  <si>
    <t>TPL-CML-16-0082</t>
  </si>
  <si>
    <t>YC414</t>
  </si>
  <si>
    <t xml:space="preserve">   ZS-ZWS </t>
  </si>
  <si>
    <t>Y1564</t>
  </si>
  <si>
    <t>141A6150-4</t>
  </si>
  <si>
    <t>001044</t>
  </si>
  <si>
    <t>BAB-BAB-17-0352</t>
  </si>
  <si>
    <t>RT494</t>
  </si>
  <si>
    <t>G-BNLY</t>
  </si>
  <si>
    <t>R2590</t>
  </si>
  <si>
    <t>5203</t>
  </si>
  <si>
    <t>KLM-KLM-16-0758</t>
  </si>
  <si>
    <t>RT002</t>
  </si>
  <si>
    <t>PH-BFD</t>
  </si>
  <si>
    <t>R2002</t>
  </si>
  <si>
    <t>65B17601-951</t>
  </si>
  <si>
    <t>000194</t>
  </si>
  <si>
    <t>BAB-BAB-17-0683</t>
  </si>
  <si>
    <t>WB015</t>
  </si>
  <si>
    <t>G-VIIS</t>
  </si>
  <si>
    <t>135W1001-4161</t>
  </si>
  <si>
    <t>000210</t>
  </si>
  <si>
    <t>doub=0.09(0.08 in SRM) || R1P=0.41 | DFR=11.8 | Fmax=11.1 | R=0 | Life=70.8t&gt; 40 || 3-16: post45 gr2 75%DSO=30t</t>
  </si>
  <si>
    <t>52-10-01-AD</t>
  </si>
  <si>
    <t>within zone A fig.103</t>
  </si>
  <si>
    <t>51-70-13 R1</t>
  </si>
  <si>
    <t>FED-FED-17-0137</t>
  </si>
  <si>
    <t>N3283</t>
  </si>
  <si>
    <t>N774FD</t>
  </si>
  <si>
    <t>NE085</t>
  </si>
  <si>
    <t>143N6603-1</t>
  </si>
  <si>
    <t>000566</t>
  </si>
  <si>
    <t>52-30-01 R4</t>
  </si>
  <si>
    <t>37,5</t>
  </si>
  <si>
    <t>SYK-SYK-16-0136</t>
  </si>
  <si>
    <t>RC641</t>
  </si>
  <si>
    <t>VQ-BVB</t>
  </si>
  <si>
    <t>R8955</t>
  </si>
  <si>
    <t>146U6201-5</t>
  </si>
  <si>
    <t>000483</t>
  </si>
  <si>
    <t>AAR-AAR-16-1061</t>
  </si>
  <si>
    <t>RT133</t>
  </si>
  <si>
    <t>R2033</t>
  </si>
  <si>
    <t>HL7415</t>
  </si>
  <si>
    <t>000946</t>
  </si>
  <si>
    <t>L2</t>
  </si>
  <si>
    <t>R2430</t>
  </si>
  <si>
    <t>R6629</t>
  </si>
  <si>
    <t>// No load beyond skin edge.  // Book3, 16-12; &gt;adl; s1; fcbs n1; thr no; no seal; sr not aff;</t>
  </si>
  <si>
    <t>EGA-AAR-17-0159</t>
  </si>
  <si>
    <t>RR747</t>
  </si>
  <si>
    <t>HL7420</t>
  </si>
  <si>
    <t>R6509</t>
  </si>
  <si>
    <t>001064</t>
  </si>
  <si>
    <t>3L3</t>
  </si>
  <si>
    <t>AAL-AAL-17-1037</t>
  </si>
  <si>
    <t>WB423</t>
  </si>
  <si>
    <t>135W1001-7</t>
  </si>
  <si>
    <t>N777AN</t>
  </si>
  <si>
    <t>000221</t>
  </si>
  <si>
    <t>HKA-TLS-17-0074</t>
  </si>
  <si>
    <t>RM891</t>
  </si>
  <si>
    <t>R7102</t>
  </si>
  <si>
    <t>Y</t>
  </si>
  <si>
    <t>65B04250-16</t>
  </si>
  <si>
    <t>001168</t>
  </si>
  <si>
    <t>N475MC</t>
  </si>
  <si>
    <t>BAB-BAB-17-1505</t>
  </si>
  <si>
    <t>RM261</t>
  </si>
  <si>
    <t>G-BYGD</t>
  </si>
  <si>
    <t>R6642</t>
  </si>
  <si>
    <t>001198</t>
  </si>
  <si>
    <t>FED-FED-18-0168</t>
  </si>
  <si>
    <t>NB201</t>
  </si>
  <si>
    <t>N928FD</t>
  </si>
  <si>
    <t>N0154</t>
  </si>
  <si>
    <t>182</t>
  </si>
  <si>
    <t xml:space="preserve"> </t>
  </si>
  <si>
    <t>DAL-DAL-17-2470</t>
  </si>
  <si>
    <t>YC683</t>
  </si>
  <si>
    <t>N397DA</t>
  </si>
  <si>
    <t>Y1322</t>
  </si>
  <si>
    <t>141A6185-1</t>
  </si>
  <si>
    <t>00411</t>
  </si>
  <si>
    <t>OS lower fwd corner</t>
  </si>
  <si>
    <t>MUA-MUA-18-0005</t>
  </si>
  <si>
    <t>RT071</t>
  </si>
  <si>
    <t>N952CA</t>
  </si>
  <si>
    <t>R2025</t>
  </si>
  <si>
    <t>65B04248-38</t>
  </si>
  <si>
    <t>000845</t>
  </si>
  <si>
    <t>OS lower aft corner</t>
  </si>
  <si>
    <t>R6627</t>
  </si>
  <si>
    <t>// case "spar chord" | fmax=8.6 |  lead in OS | 2-OC ttk | 3-OC ttk | 4-OC edge | 5-OC ttk | 6-OC ttk | OS limit |</t>
  </si>
  <si>
    <t>L10</t>
  </si>
  <si>
    <t>H4.5</t>
  </si>
  <si>
    <t>CPZ-UPS-17-0032</t>
  </si>
  <si>
    <t>NC945</t>
  </si>
  <si>
    <t>N445UP</t>
  </si>
  <si>
    <t>65-25326-18</t>
  </si>
  <si>
    <t>050</t>
  </si>
  <si>
    <t>N2750</t>
  </si>
  <si>
    <t>depth &gt; 10% ||</t>
  </si>
  <si>
    <t>FI STA487.1</t>
  </si>
  <si>
    <t>52-30-02, f101</t>
  </si>
  <si>
    <t>FO</t>
  </si>
  <si>
    <t>f(2640209A, p.68)=1.3  -&gt; low</t>
  </si>
  <si>
    <t>f(2640209A)=2.4  | DFR=10.54 | R=-0.29 =&gt; 4m &gt; 40t(OK) || J11,12 &gt; 2m cycles</t>
  </si>
  <si>
    <t>FI STA580</t>
  </si>
  <si>
    <t>repair=2 f.row | production=1 f.row =&gt; OK</t>
  </si>
  <si>
    <t>wrong drill || f(GETDATA)=9.19 | DFR=10 | R=-0.03 =&gt; 67t &gt; 50t (OK)</t>
  </si>
  <si>
    <t>AMX-DAL-17-0689</t>
  </si>
  <si>
    <t>YC616</t>
  </si>
  <si>
    <t>N386DA</t>
  </si>
  <si>
    <t>Y1196</t>
  </si>
  <si>
    <t>141A6260-2</t>
  </si>
  <si>
    <t>00036</t>
  </si>
  <si>
    <t>FED-FED-18-0759</t>
  </si>
  <si>
    <t>NA028</t>
  </si>
  <si>
    <t>N941FD</t>
  </si>
  <si>
    <t>N0112</t>
  </si>
  <si>
    <t>146N6160-12</t>
  </si>
  <si>
    <t>52-10-02 Repair 5 - Door Corner Crack Repair - MED2-5 | 22D3 |</t>
  </si>
  <si>
    <t>TLS-TLS-18-0363</t>
  </si>
  <si>
    <t>L4</t>
  </si>
  <si>
    <t>R2</t>
  </si>
  <si>
    <t>R4</t>
  </si>
  <si>
    <t>R2576</t>
  </si>
  <si>
    <t>001404</t>
  </si>
  <si>
    <t>D3</t>
  </si>
  <si>
    <t>#1: 2f close to latch fit = initial f. installed | #2,3: 1f is not in SRM (VT6) = VT6 better prod(BB4) | #4: crack trim rad (0.5) &gt; SRM(0.25) = reduce stress concent. |</t>
  </si>
  <si>
    <t>PED</t>
  </si>
  <si>
    <t>#1: modif.filler = no negative impact on repair | #2 NX6(SRM)-NW6 = NW stronger | #3:  angle+clip = no negative impact on repair |</t>
  </si>
  <si>
    <t>65B04311-23</t>
  </si>
  <si>
    <t>R2444</t>
  </si>
  <si>
    <t>R2405</t>
  </si>
  <si>
    <t>#1: t rep.angle 1 gauge thicker = more strenght to corner | #2 NW6(prod)- NX6(SRM)- NW6X(rep) =  greater material strength |</t>
  </si>
  <si>
    <t>N472MC</t>
  </si>
  <si>
    <t>AID-AID-18-0048</t>
  </si>
  <si>
    <t>RT751</t>
  </si>
  <si>
    <t>TF-AMP</t>
  </si>
  <si>
    <t>R2471</t>
  </si>
  <si>
    <t>#1 t=0.14(SRM)-0.071+0.071(rep) =&gt; Lndi: 0.15(SRM) &gt; 0.07(rep) |  #2 NW6(SRM)-CE6(rep) = DFR comp |</t>
  </si>
  <si>
    <t>#1 FV8(SRM)-NW10(rep) = DFR comp*SEMfactor | #2 SEM=1.12 =&gt; last fastener at the end of the frame, loads transfer out to the latch fitting, hoop loading is negligible</t>
  </si>
  <si>
    <t>SRM published later</t>
  </si>
  <si>
    <t>R7195</t>
  </si>
  <si>
    <t>IS: 495029/ 495082= fmax=6.5 ksi | R1P=0.536 | DFRb=12.4 | fat=223t || DTA: Book 3-16 | 1.pre45 |  3.pre96 | 4.notSSID, LOV=35t | IS - not main load path for flight load</t>
  </si>
  <si>
    <t>IS: 495094 = fmax=3.3 ksi | R1P=0.562 | DFRb=12.8 | fat=2,721t || DTA: Book 3-16 | 1.pre45 |  3.pre96 | 4.notSSID, LOV=35t | IS - not main load path for flight load</t>
  </si>
  <si>
    <t xml:space="preserve">Det 1 - ACD | Det 2 - FCD | Det 3 - ACD - Lower Corner Small Size Repair and Side Edge Repair |  Det 4 - FCD - Lower Corner Small Size Repair and Side Edge Repair | Det 5 - Max Cutout Damage At Window Bottom  Edge Repair | </t>
  </si>
  <si>
    <r>
      <t xml:space="preserve">Det 6 - Cutout Damage Between Windows Bottom  Edge Repair | Det 7 - Min Cutout Damage | </t>
    </r>
    <r>
      <rPr>
        <b/>
        <sz val="12"/>
        <rFont val="Arial"/>
        <family val="2"/>
        <charset val="204"/>
      </rPr>
      <t>Table II (20D3)</t>
    </r>
    <r>
      <rPr>
        <sz val="12"/>
        <rFont val="Arial"/>
        <family val="2"/>
        <charset val="204"/>
      </rPr>
      <t xml:space="preserve"> | Det 8 - DET Inspection Requirement for Det 3-7 | </t>
    </r>
  </si>
  <si>
    <r>
      <t>Det 9 - Lower Corner Medium Size Repair |  Det 10 - Lower Corner Large Size Repair Max Cutout |</t>
    </r>
    <r>
      <rPr>
        <b/>
        <sz val="12"/>
        <rFont val="Arial"/>
        <family val="2"/>
        <charset val="204"/>
      </rPr>
      <t xml:space="preserve"> Table III (15L3) </t>
    </r>
    <r>
      <rPr>
        <sz val="12"/>
        <rFont val="Arial"/>
        <family val="2"/>
        <charset val="204"/>
      </rPr>
      <t>| AMOC to AD 2004--07-22R1 | Det 11 - LFEC Inspection Requirements fot Det 9-10 |</t>
    </r>
  </si>
  <si>
    <t>IS: 495082/ 495084= fmax=6.6 ksi | R1P=0.35 | DFRb=13.9 | fat=253t ||</t>
  </si>
  <si>
    <t>52-30-01 Repair 3 - Fwd and Aft Cargo Door Skin Doubler at an Access Hole</t>
  </si>
  <si>
    <t>L3</t>
  </si>
  <si>
    <t xml:space="preserve">1.Applicability. Det 1 - ACD | Det 2 - FCD | Det 3 - Typical Damage Location for Circular and  Elliptical Access Holes </t>
  </si>
  <si>
    <t xml:space="preserve">2.General. Det 1 - STA602.45 | Det 2 - STA629.98 | Det 3 - 657.57 | Det 4 - STA 1822.80 |  Det 5 - STA 1850 |  Det 6 - STA 1877.52  |  Det 7 - STA574.07 |  Det 8 - STA1905.96  | </t>
  </si>
  <si>
    <t>L5</t>
  </si>
  <si>
    <t>R5</t>
  </si>
  <si>
    <t>L1</t>
  </si>
  <si>
    <t>OS: 495077= fmax=9.0 ksi | b2.7-4 | DFR=11 | fat=117t ||</t>
  </si>
  <si>
    <t>OS+int: 495024/ 495103 = fmax=7.3 ksi | R1P=0.379 | DFRb=10.9 | fat=67t || DTA: Book 3-16 | 1.pre45 |  3.pre90 | 4.SSID F31A, min(20,0.75*67)=20t ||</t>
  </si>
  <si>
    <t>PP149</t>
  </si>
  <si>
    <t>N352SW</t>
  </si>
  <si>
    <t>P6140</t>
  </si>
  <si>
    <t>PP153</t>
  </si>
  <si>
    <t>N356SW</t>
  </si>
  <si>
    <t>P6198</t>
  </si>
  <si>
    <t>+66</t>
  </si>
  <si>
    <t>P6301</t>
  </si>
  <si>
    <r>
      <t xml:space="preserve">Det 1 - Repair At Beam | </t>
    </r>
    <r>
      <rPr>
        <b/>
        <sz val="12"/>
        <rFont val="Arial"/>
        <family val="2"/>
        <charset val="204"/>
      </rPr>
      <t>Table II (see RAG)</t>
    </r>
    <r>
      <rPr>
        <sz val="12"/>
        <rFont val="Arial"/>
        <family val="2"/>
        <charset val="204"/>
      </rPr>
      <t xml:space="preserve"> | Det 2 - Inspection Area for all Inspection Methods | </t>
    </r>
  </si>
  <si>
    <t>OS exist repair: SSID F1 (L24) min cr=0.156/2+0.25 = 0.328 &gt; AMOC HFEC min cr = 0.156/2*1.5+0.10 = 0.217 =&gt; damage detect period is higher</t>
  </si>
  <si>
    <t>L28.5</t>
  </si>
  <si>
    <t>PU025</t>
  </si>
  <si>
    <t>P7180</t>
  </si>
  <si>
    <t>N528SW</t>
  </si>
  <si>
    <t>no deviations | SSID F1 (L24) min cr=0.156/2+0.25 = 0.328 &gt; AMOC HFEC min cr = 0.156/2*1.5+0.10 = 0.217 =&gt; damage detect period is higher</t>
  </si>
  <si>
    <t>P7256</t>
  </si>
  <si>
    <t>Stage II</t>
  </si>
  <si>
    <t>Stage III</t>
  </si>
  <si>
    <t>L24</t>
  </si>
  <si>
    <t>#1: repair around handle cutout | | SSID F1 (L24) min cr=0.328 &gt; AMOC HFEC min cr =0.247 =&gt; damage detect period is higher | RAG:w_doub=12-&gt;L30</t>
  </si>
  <si>
    <t>PU022</t>
  </si>
  <si>
    <t>N525SW</t>
  </si>
  <si>
    <t>P7173</t>
  </si>
  <si>
    <r>
      <rPr>
        <b/>
        <sz val="12"/>
        <rFont val="Arial"/>
        <family val="2"/>
        <charset val="204"/>
      </rPr>
      <t xml:space="preserve">Table 202 (22.5D1.4) - in case of SB 737-21-1149 </t>
    </r>
    <r>
      <rPr>
        <sz val="12"/>
        <rFont val="Arial"/>
        <family val="2"/>
        <charset val="204"/>
      </rPr>
      <t xml:space="preserve">| </t>
    </r>
  </si>
  <si>
    <t>52-00-01 Repair 2 - Aluminum Door Skin - External Repair at a Beam | Cat A |</t>
  </si>
  <si>
    <t>#1:4 sides cover (SRM) - 2 sides (rep) = no load beyond the skin edge.</t>
  </si>
  <si>
    <t>Y0311</t>
  </si>
  <si>
    <t>------------------------------- 737 -------------------------------</t>
  </si>
  <si>
    <t>------------------------------- 747 -------------------------------</t>
  </si>
  <si>
    <t>50L3</t>
  </si>
  <si>
    <t>#1:dam below hinge(SRM) - right corner(rep) - aerodyn.surface cover hinge | #2: +tripler(0.071) - reduce stress conc. | #3: +2f.row - reduce load transfer |</t>
  </si>
  <si>
    <t>YB616</t>
  </si>
  <si>
    <t>C-FWSF</t>
  </si>
  <si>
    <t>Y0499</t>
  </si>
  <si>
    <t>+50L3</t>
  </si>
  <si>
    <t>#1:doub(SRM) &gt; doub.(rep) = trim within the limits</t>
  </si>
  <si>
    <t xml:space="preserve">52-10-01 Repair 5 - FWD Entry Door External Skin Lower Hinge Cutout Repair | Table 202 (50L3) | </t>
  </si>
  <si>
    <t>ITU-ITU-18-0003</t>
  </si>
  <si>
    <t>PQ472</t>
  </si>
  <si>
    <t>EW-254PA</t>
  </si>
  <si>
    <t>P6319</t>
  </si>
  <si>
    <t>002400</t>
  </si>
  <si>
    <r>
      <t xml:space="preserve">5. Inspection Requirements: </t>
    </r>
    <r>
      <rPr>
        <b/>
        <sz val="12"/>
        <rFont val="Arial"/>
        <family val="2"/>
        <charset val="204"/>
      </rPr>
      <t>Table 202 (15L3)</t>
    </r>
    <r>
      <rPr>
        <sz val="12"/>
        <rFont val="Arial"/>
        <family val="2"/>
        <charset val="204"/>
      </rPr>
      <t xml:space="preserve"> | Det 1 -  Inspection Requirements</t>
    </r>
  </si>
  <si>
    <t>#1: repair around hin.cut | #2 CE5(SRM)-CE6 (rep) | | SSID F1 (L24) min cr=0.343 &gt; AMOC HFEC min cr =0.247 =&gt; damage detect period is higher | RAG:w_doub=12.5-&gt;L28.5</t>
  </si>
  <si>
    <t>FI: fat=--7.8 (Beam13) |</t>
  </si>
  <si>
    <t>FW: fat=3.7 (Beam8-9) | DFR=6.33 | fat=362t &gt; 50t | 0.75*50=37.5 ||</t>
  </si>
  <si>
    <t>FW stop fit.: | fat=3.7 (Beam8-9) | DFR=8.08 | fat=882t &gt; 75t || stop fit. = 6.6t -&gt; repair will be visible</t>
  </si>
  <si>
    <t>OS h.incut: aerodyn.surface cover hinge + Allow.Dam fig.104 ||  Book3,16-12;  exceed lim -&gt; accept. for static -&gt; FCBS -&gt; Note1 -&gt; No threshold -&gt; No seal -&gt; No SR affect</t>
  </si>
  <si>
    <r>
      <t>FI: fat=</t>
    </r>
    <r>
      <rPr>
        <b/>
        <sz val="10"/>
        <rFont val="Arial"/>
        <family val="2"/>
        <charset val="204"/>
      </rPr>
      <t>--</t>
    </r>
    <r>
      <rPr>
        <sz val="10"/>
        <rFont val="Arial"/>
        <family val="2"/>
        <charset val="204"/>
      </rPr>
      <t>2.8 (Beam7) | IAS(flat rect. plate buckling) = 37.8??? |</t>
    </r>
  </si>
  <si>
    <r>
      <t>FI: fat=</t>
    </r>
    <r>
      <rPr>
        <b/>
        <sz val="10"/>
        <rFont val="Arial"/>
        <family val="2"/>
        <charset val="204"/>
      </rPr>
      <t>--</t>
    </r>
    <r>
      <rPr>
        <sz val="10"/>
        <rFont val="Arial"/>
        <family val="2"/>
        <charset val="204"/>
      </rPr>
      <t>1.2 (Beam15) |</t>
    </r>
  </si>
  <si>
    <t>Y5345</t>
  </si>
  <si>
    <t>Y4213</t>
  </si>
  <si>
    <t xml:space="preserve">#1: </t>
  </si>
  <si>
    <t>52-00-01 Repair 8 - Door Outer Skin Nonflush Repair Between Beams |</t>
  </si>
  <si>
    <t>R6601</t>
  </si>
  <si>
    <t>#1: trim at edge | #2.oversized f. = OS fat=13.3 (Beam2) | R1P=0.273 | DFR=12.9 | cycles=74t&gt;20t || SB747-52A2500  = 22t |</t>
  </si>
  <si>
    <t>OS: Kt = 2.4(prod) - 2.3(rep) | cycles: 180(prod)-163(rep) &gt; 20t ||  Book3,16-12;  exceed lim -&gt; accept. for static -&gt; FCBS -&gt; Note1 -&gt; No threshold -&gt; No seal -&gt; No SR affect</t>
  </si>
  <si>
    <t>52-00-01 Repair 2 - Typical External Repair At Beams on Aluminum Door Skin | in case old f.hole |</t>
  </si>
  <si>
    <t>52-00-01 Repair 3 - Typical External Repair Between Beams on Aluminum Door Skin | no old f.hole |</t>
  </si>
  <si>
    <t>+15</t>
  </si>
  <si>
    <t>8F</t>
  </si>
  <si>
    <t xml:space="preserve">Det 1 - Crew Hatch | 2-Crew Door | 3-PED | 4-BCD | 5-ACD | 6-MDCD | 7-FCD | </t>
  </si>
  <si>
    <t>52-00-01 Repair 2 - Door Outer Skin - External Repair Between Beams, Frames or Intercostals | ext(os): 15L2.4 | int(oc): 15L9.6 |</t>
  </si>
  <si>
    <t>15</t>
  </si>
  <si>
    <t>+20</t>
  </si>
  <si>
    <t>400F</t>
  </si>
  <si>
    <t>R7175</t>
  </si>
  <si>
    <t>R2036</t>
  </si>
  <si>
    <t>65B17601-1</t>
  </si>
  <si>
    <t>000246</t>
  </si>
  <si>
    <t>R7260</t>
  </si>
  <si>
    <t>R7159</t>
  </si>
  <si>
    <t>dash</t>
  </si>
  <si>
    <t>R7287</t>
  </si>
  <si>
    <t>LU</t>
  </si>
  <si>
    <t>R7190</t>
  </si>
  <si>
    <t>RU</t>
  </si>
  <si>
    <r>
      <t xml:space="preserve">OS.pushrod: Y14.2, Y83.20 </t>
    </r>
    <r>
      <rPr>
        <b/>
        <sz val="10"/>
        <rFont val="Arial"/>
        <family val="2"/>
        <charset val="204"/>
      </rPr>
      <t>0.34</t>
    </r>
    <r>
      <rPr>
        <sz val="10"/>
        <rFont val="Arial"/>
        <family val="2"/>
        <charset val="204"/>
      </rPr>
      <t>-&gt;0.73 | Y83.20 5-&gt;18 | 0.34 - min detect len LFEC through 0.125 doubler</t>
    </r>
  </si>
  <si>
    <t>OS.pushrod: R1P=0.227 | A=0.80 | DFR=10.36 | fat=74t &gt; 20 | thr(group1) = min(0.75*74;0.75*20) |</t>
  </si>
  <si>
    <t>OS.pushrod: R1P=0.362 | A=0.85 | DFR=10.04 | fat=99t &gt; 20 | thr() = min(0.75*99;1.00*20) |</t>
  </si>
  <si>
    <t>OS.pushrod: R1P=0.359 | DFR=08.98 | fat=44t &gt; 20 | thr(4b-group2) = 0.75*20 |</t>
  </si>
  <si>
    <t>OS.pushrod: R1P=0.255 | DFR=10.10 | fat=67t &gt; 20 | thr(4b-group2) = 0.75*20 |</t>
  </si>
  <si>
    <t>OS.edge: R1P=0.072 | DFR=13.68 | fat=327t &gt; 20 || last f.row = low tension | skin edge = low shear |</t>
  </si>
  <si>
    <t>R7176</t>
  </si>
  <si>
    <t>SI</t>
  </si>
  <si>
    <t>CHI-CHI-09-0031</t>
  </si>
  <si>
    <t>00369</t>
  </si>
  <si>
    <t>65B17601-14</t>
  </si>
  <si>
    <t>RL427</t>
  </si>
  <si>
    <t>B-18720</t>
  </si>
  <si>
    <t>CH</t>
  </si>
  <si>
    <t>R7188</t>
  </si>
  <si>
    <t>RL462</t>
  </si>
  <si>
    <t>HKA-CKH-18-0011</t>
  </si>
  <si>
    <t>UK</t>
  </si>
  <si>
    <t>G-CLAA</t>
  </si>
  <si>
    <t>R7185</t>
  </si>
  <si>
    <t>65B04250-18</t>
  </si>
  <si>
    <t>001339</t>
  </si>
  <si>
    <t>000804</t>
  </si>
  <si>
    <t>1.OS -&gt; FCBS, Note 1 -&gt; DTA is required (per CFR 26.43)</t>
  </si>
  <si>
    <t>3.AD 2004-07-22 R1 mandate to begin inspection at 20k cycles</t>
  </si>
  <si>
    <t>4.AD threshold &gt; repair threshold =&gt; AMOC can be delayed</t>
  </si>
  <si>
    <t>2.ext.repair interfere with SSID F-37 (OS) =&gt; suppl.inspect needed</t>
  </si>
  <si>
    <t>MDCD | SSID F-37A: 10G2 | AD 2004-07-22 R1: 20G2 | fmax(F-37)=9.58 ksi |</t>
  </si>
  <si>
    <t>52-30-01 Repair 2 - Fwd and Aft Cargo Door Skin Edges and Corners Repair | FCBS |</t>
  </si>
  <si>
    <t>FCD &amp; ACD | SSI F-31A: G0.1 | zone:800 |</t>
  </si>
  <si>
    <t>#1 +2f. On lower beam web(rep) =&gt; f.are not carry loads | #2 2f.rwo(SRM)- 3f.row(rep) -&gt; load transfer is low | AMOC</t>
  </si>
  <si>
    <t>OS.pushrod: simular to #30 | AMOC |</t>
  </si>
  <si>
    <t>15L1.5</t>
  </si>
  <si>
    <t>PED/ BCD  - Table III  (ext: 15L1.5 | int: 15H4.5)| Crew/ MDCD/ FCD/ ACD  - Table IV  (ext: 15L1.5 | int: 15H6)</t>
  </si>
  <si>
    <t>OS: BeamD fmax=13.65 | BeamE fmax=13.65 | DFR=15.49 | fat=140t &gt; 75t | SSID F-1 = 66t |</t>
  </si>
  <si>
    <t>FCD &amp; ACD: Plug | SSI F-1 | Beam D fmax=11.7ksi (Castle ID 200911190231) |</t>
  </si>
  <si>
    <t xml:space="preserve">OS: BeamB fmax=11.7 | R1P=? | </t>
  </si>
  <si>
    <t>OS: BeamC fmax=8.1 | R1P=? | DFRb=11.26  | A=0.95(ce5) | C=0.89 | E=0.9 | DFR=08.57 | fat=102t &gt; 75 |</t>
  </si>
  <si>
    <t>------------------------------- 757 -------------------------------</t>
  </si>
  <si>
    <t>N3187</t>
  </si>
  <si>
    <t>NT750</t>
  </si>
  <si>
    <t>N192AN</t>
  </si>
  <si>
    <t>N8103</t>
  </si>
  <si>
    <t>146N6100-2006</t>
  </si>
  <si>
    <t>000158</t>
  </si>
  <si>
    <t>srm</t>
  </si>
  <si>
    <t>N8003</t>
  </si>
  <si>
    <t>51-70-12 - Typical Extruded Section Repair</t>
  </si>
  <si>
    <t>OS chrod - Beam 3-4: shim &gt; t chord/3 =&gt; shim is structula; stepped - critical f. not hide; Dfactor not affected</t>
  </si>
  <si>
    <t>PED/ BCD  - Table III  (15L1.5ext | 15H4.5int)| Crew/ MDCD/ FCD/ ACD  - Table IV  (15L1.5ext | 15H6int)</t>
  </si>
  <si>
    <t>R6503</t>
  </si>
  <si>
    <t>52-00-01 Repair 8 - Door Outer Skin Nonflush Repair Between Beams | ext: 15L1.5 | int: 15H6 |</t>
  </si>
  <si>
    <t>R2643</t>
  </si>
  <si>
    <t>SP</t>
  </si>
  <si>
    <t>OS.pushrod: R1P=0.255 | DFRb=12.78 | A=0.80(nw6) | C=0.96 | D=1 | E=1.008 | DFR=09.94 | fat=63t &gt; 20 | thr(gr.2) = min(0.75*63;1.00*20) |</t>
  </si>
  <si>
    <t>OS.pushrod: R1P=0.286 | DFRb=12.24 | A=0.85(nw6) | C=1.00 | D=1 | E=1.012 | DFR=10.54 | fat=79t &gt; 20 | thr(gr.1) = min(0.75*79;0.75*20) |</t>
  </si>
  <si>
    <t>OS.pushrod: R1P=0.312 | DFRb=12.17 | A=0.85(nw6) | C=0.96 | D=1 | E=1.013 | DFR=10.08 | fat=100t &gt; 20 | thr(4a) = 10(F-37A) |</t>
  </si>
  <si>
    <t>OS.pushrod: R1P=0.312 | DFRb=12.08 | A=0.85(nw6) | C=1.00 | D=1 | E=0.948 | DFR=09.73 | fat=88t &gt; 20 | thr(gr.2) = min(0.75*88;1.00*20) |</t>
  </si>
  <si>
    <t>OS.pushrod: R1P=0.356 | DFRb=11.22 | A=0.80(nw6) | C=0.95 | D=1 | E=1.021 | DFR=08.75 | fat=39t &gt; 20 | thr(gr.2) = min(0.75*39;1.00*20) |</t>
  </si>
  <si>
    <t xml:space="preserve"> #3.dist to exist.repair=3(SRM)-2(rep) =&gt; load direction is less critical, 2 beams separate dam.locations - spacing of the repair is sufficient to prevent hard point or stress concentration interaction || fatigue fmax (Beam 8)=6.6 | DFRb=13.88 | A=0.95 | C=0.807 | DFR=10.65 | fat=482t &gt; 20 | thr(gr.1) = min(0.75*482;0.75*20) |</t>
  </si>
  <si>
    <t>#2.BB6(SRM)-MY6(rep)=&gt; shi-lok stronger | #3.rad=0.5(SRM)-0.475(rep)=&gt; No load beyond skin edge. | #4.pitch=1.2(SRM)-0.95(rep)=&gt;  production pitch=0.95 || fatigue: no significant impact on fatigue performance of the repair  || DT:#1-3 - stress at door end is lower; #4-0.95&gt;4D=&gt;OK |</t>
  </si>
  <si>
    <t>OS.corner.crack | #1.3f(SRM)-1f(rep) =&gt; No load beyond skin edge | #2.BB5(SRM)-NW5(rep)=&gt; hi-lok stronger |</t>
  </si>
  <si>
    <t>52-10-02 Repair 2 - Door Vertical Frame - Web Crack Repair Between the Latch and the Stop | 15D3 |</t>
  </si>
  <si>
    <t>PED  | AD 2010-01-01 | SB747-53A2500 |</t>
  </si>
  <si>
    <t>52-00-01 Repair 9- Door Outer Skin Nonflush Repair At A Beam | Table III: 15L1.5ext/15H4.5int | doubler: Clad 2024-T3 1g+ | fiiler Clad 2024-T3 same | 0.04-0.05: BB5 | 0.056-0.071:BB6 | 0.08-0.125: BB8 |</t>
  </si>
  <si>
    <t>------------------------------- 777 -------------------------------</t>
  </si>
  <si>
    <t>Beam7.web.blend | fmax= (8.6/18.2)*1,044/(0.14*0.905)=3.9 ksi | Y=52.01 | Dtcycles=382t -&gt; low likehood of crack initiation  |</t>
  </si>
  <si>
    <t>HandlePan.blend | fmax=11.2(ABAQUS) | DFRcut=20 | KnockFactor=0.9 | DFR=18 | fat=372t &gt; 50t || handle pan size &lt; max.allowable(66in^2) = OK |</t>
  </si>
  <si>
    <t>Int.angle.sub | FT(prod) -&gt; NX(rep) = &gt;factors(0.9-&gt;0.922)  | CE(prod) -&gt; NW(rep) = &gt;factors(0.751-&gt;0.8)  || Book3, 16-12 -&gt; Srating not affected</t>
  </si>
  <si>
    <t>OS(Beam7).dent  | #1.stayout zone(SRM) =&gt; beam 7 load path &amp; skin doubler not affected | #2.BB6(SRM)-hi-lok(rep)=&gt; hi-lok stronger |</t>
  </si>
  <si>
    <t>OS(Beam3).edge | #1. 3f.r(SRM) - 2f.r(rep) =&gt; mat.the same &amp; 1g+ = AreaOK; Alost=1.7*0.063*63ksi=6,747lb/1,050=6.4 riv &lt; 7 installed</t>
  </si>
  <si>
    <t>OS.low_edge.trim | #1.3f(SRM)-1f(rep) =&gt; No load beyond skin edge.  |</t>
  </si>
  <si>
    <t>BR</t>
  </si>
  <si>
    <t>BCD | Not FCBS -&gt; No DTA |</t>
  </si>
  <si>
    <t>300ER</t>
  </si>
  <si>
    <t>+</t>
  </si>
  <si>
    <t>OS(Beam6).edge.trim | fmax=7.73 | DFR=12.55 | R1P=0.159 | A=1(bb6) | C=0.868 | E=0.9 | biax=0.8 | DFR=7.85 | fat=58t&gt;40 |</t>
  </si>
  <si>
    <t>OS(Beam5-6).edge.trim | Pgain=62ksi*0.08*7.246=35t &gt; Plost=8,653/910 = 10f. &lt; 12 installed |</t>
  </si>
  <si>
    <t>s1</t>
  </si>
  <si>
    <t>+30D4</t>
  </si>
  <si>
    <t>000160</t>
  </si>
  <si>
    <t>BAB-BAB-19-0034</t>
  </si>
  <si>
    <t>WB014</t>
  </si>
  <si>
    <t>G-VIIN</t>
  </si>
  <si>
    <t xml:space="preserve">OS.low_corner.trim | #1.drain loc =&gt; stress is lower in repair(t=0.08&gt;0.071) | #2.4D(SRM)-6D(rep) = mat.the same &amp; 1g+ = AreaOK; </t>
  </si>
  <si>
    <t xml:space="preserve"> Plost=7.44*0.071*13ksi=7.2kip/1,050=6.9 riv &lt; 10 installed || fatigue=fmax=6.81 | DFRb=11.18 | A=1.05(bb6) | E=0.9 | DFR=10.57 | fat279t&gt;40 ||</t>
  </si>
  <si>
    <t>OS.low_corner.trim | #1.misdrill.hole =&gt; OS in compression | #2.drain loc =&gt; stress is lower in repair(t=0.08&gt;0.071) |</t>
  </si>
  <si>
    <t>52-30-01 Repair 12 - External Repair At A Beam or Intercostal with Solid Fasteners |</t>
  </si>
  <si>
    <t>RT755</t>
  </si>
  <si>
    <t>TKK-TKK-18-0044</t>
  </si>
  <si>
    <t>000979</t>
  </si>
  <si>
    <t>JA8962</t>
  </si>
  <si>
    <t>N0125</t>
  </si>
  <si>
    <t>+50</t>
  </si>
  <si>
    <t>Beam5.oc.exist: fmax=3.55 | R1P=0.329 | DFRb=13.48 | A=0.90(nw6) | C=0.76 | E=0.90 | DFR=08.27 | fat=1,109t &gt; 50 | thr(gr.2) = min(0.75*1,109;1.00*50) |</t>
  </si>
  <si>
    <t>N0025</t>
  </si>
  <si>
    <t>H1.9</t>
  </si>
  <si>
    <t>hinge_cutout.mat: 15-5PH(SRM) -&gt; 4130(rep) =&gt; J10(s=64.3; m=55; p=2.7; Li=0.04; Lf=0.327") -&gt; H1.45</t>
  </si>
  <si>
    <t>ffr:hinge_cutout.SEM: 0.375(prod) -&gt; 0.25(rep) =&gt; covered by AAL-AAL-12-0015 (SEM=0.185)</t>
  </si>
  <si>
    <t>ffr:hinge_cutout.SEM: 0.375(prod) -&gt; 0.30(rep) =&gt; covered by AAL-AAL-12-0015 (SEM=0.185)</t>
  </si>
  <si>
    <t>ffr:hinge_cutout.mat: 15-5PH(SRM) -&gt; 17-7PH(rep) =&gt; covered by SRM Repair 1 (201011190019)</t>
  </si>
  <si>
    <t>52-10-01 Repair 7 | max 5" | 1g+ | skin:30L3 | chord:30H7 |</t>
  </si>
  <si>
    <t>306</t>
  </si>
  <si>
    <t>os:exist.sem: 4D(prod) -&gt; 3.8D(rep) =&gt; book2, 5-36: factor sp/d=1 (BAC5004) -&gt; OK</t>
  </si>
  <si>
    <t>FWD Frame:143N6158-6 sh.1 (2024-T42 sheet t=0.08" ) | f:143N6100 sh.6 |</t>
  </si>
  <si>
    <t>52-10-02 Repair 1 | max depth:0.9" | FWD Frame of the number 2 Left and Right side PED | 15-5PH CRES: 50H5.8 | Boeing Spares: 50H1.9 |</t>
  </si>
  <si>
    <t xml:space="preserve">ffr:hinge_cutout.mat: ?(SRM) -&gt; blend=0.128(rep) =&gt; </t>
  </si>
  <si>
    <t>A | NDT -&gt; Part 06 -&gt; chapter 51 -&gt; 51-00-16 -&gt; 3C (f.hole) |</t>
  </si>
  <si>
    <t>os.edge: 4 sides(SRM) - 3 sides(rep) =&gt; no load beyond the skin edge.</t>
  </si>
  <si>
    <t>R1</t>
  </si>
  <si>
    <t>b1:web+stop.elong.hole-frez.plug: fmax=13.5 | R1P=0.24 | DFRb=13.48 | A=0.89 | C=1 | D=0.95 | E=0.87 | DFR=14.34 | fat=71t &gt; 50 | thr(gr.2) = min(0.75*71;1.00*50) |</t>
  </si>
  <si>
    <t>see Stage II</t>
  </si>
  <si>
    <t>b4:os.exist: Y12(10.33 22,9 3.5 0.1-&gt;0.81)=&gt; 55t =&gt; H7.8</t>
  </si>
  <si>
    <t>Stage III | Srat m p Linit-&gt; Lfinal |</t>
  </si>
  <si>
    <t>H7.8</t>
  </si>
  <si>
    <t>H1.5</t>
  </si>
  <si>
    <r>
      <t xml:space="preserve">b4:os.exist: </t>
    </r>
    <r>
      <rPr>
        <b/>
        <sz val="10"/>
        <rFont val="Arial"/>
        <family val="2"/>
        <charset val="204"/>
      </rPr>
      <t>0.056d(7075)</t>
    </r>
    <r>
      <rPr>
        <sz val="10"/>
        <rFont val="Arial"/>
        <family val="2"/>
        <charset val="204"/>
      </rPr>
      <t xml:space="preserve"> ce6 0.040s 0.387 | 14.00*0.95*0.8*0.76*1.00*0.90=7.26 |  fmax=10.33 | fat=15t  | thr(gr.2) = min(0.75*15;1.00*50) |</t>
    </r>
  </si>
  <si>
    <t>is.corner: compression</t>
  </si>
  <si>
    <t>is.window: compression</t>
  </si>
  <si>
    <t>is.b3: compression</t>
  </si>
  <si>
    <t>FCD &amp; ACD</t>
  </si>
  <si>
    <t>os.corner.dent: no load beyond the skin edge.</t>
  </si>
  <si>
    <t>os.seal_dep.osz: area &lt; allowable -&gt; OK || book3-16</t>
  </si>
  <si>
    <t>b7:oc.end:blend(0.05-&gt;0.042) | fmax=13.57 | R1P=? | DFRb=17.5 | A=0.85(nw6) | C=1.00 | E=0.906 | DFR=13.48 | fat=82t &gt; 20 | thr(gr.2) = min(0.75*63;1.00*20) |</t>
  </si>
  <si>
    <t>is.vent.blend(0.04-&gt;0.031): avg.thk &lt; 10%  || book3, 16-12</t>
  </si>
  <si>
    <t>NG</t>
  </si>
  <si>
    <t>143A6118-1</t>
  </si>
  <si>
    <t>143A6118-2</t>
  </si>
  <si>
    <t>C</t>
  </si>
  <si>
    <t>E</t>
  </si>
  <si>
    <t>143A6118-3</t>
  </si>
  <si>
    <t>143A6118-4</t>
  </si>
  <si>
    <t>143A6118-5</t>
  </si>
  <si>
    <t>os.s39: sr=10.45 | M=29.2 | fbrft = 2.82 | Y14.2(t=0.125)-&gt; 1" -&gt;  Y1.6(edge) -&gt; Y2.2(15") | cg=75t |</t>
  </si>
  <si>
    <t>fr3.web: sr=9.64 | M=29.2 | fbrft = 3.72 | Y14.2(t=0.040) -&gt; edge | cg = 256t -&gt; OK |</t>
  </si>
  <si>
    <t>B | 737 52-10-01 Repair 5, Forward Entry Door External Skin Lower Hinge Cutout Repair | 50L3 | 31, 67, 71 |</t>
  </si>
  <si>
    <t>B | 747 52-10-02 Repair 5, Door Corner Crack Repair | 22D3 | lim:OC bend radii  | s3:109 |</t>
  </si>
  <si>
    <t>OTHER</t>
  </si>
  <si>
    <t>INNER SKIN DOUBLER</t>
  </si>
  <si>
    <t>BLEND</t>
  </si>
  <si>
    <t>A | freeze plug | 5P web:27  |</t>
  </si>
  <si>
    <t>51-70-11 Typical Formed Section Repair | A | 5L web: 38, 75 | 37.5 |  3P web:52 | 5M ic:33 |</t>
  </si>
  <si>
    <t>51-70-13 Typical Web Repairs | 50 | 5L:44 |</t>
  </si>
  <si>
    <t>51-70-12 Typical Exruded Section Repair | 50 | 5P oc:16 |</t>
  </si>
  <si>
    <t>A | 3L handle:s2 | 4L is:28 | 4M oc:80 | 5P handle:74/ web:60 | 5Lc:88 | 5M ic:105/ lug:26 | 7P edge:94 |</t>
  </si>
  <si>
    <t>A | 777 52-30-01 Repair 17, LCD Skin - External Permanent Repair at the Lower Corners and the Skin Edge | lim:shade | c:69 |</t>
  </si>
  <si>
    <r>
      <t xml:space="preserve">B | 747 52-30-01 Repair 2, Forward and Aft Cargo Door Skin Edges and Corners | 20/15L3 |  lim: L&lt; 18" | c: </t>
    </r>
    <r>
      <rPr>
        <sz val="9"/>
        <rFont val="Algerian"/>
        <family val="5"/>
      </rPr>
      <t>57</t>
    </r>
    <r>
      <rPr>
        <sz val="9"/>
        <rFont val="Arial"/>
        <family val="2"/>
        <charset val="204"/>
      </rPr>
      <t>, 76, 98, 110 |</t>
    </r>
  </si>
  <si>
    <t>B | 747 52-00-01 Repair 9, Door Outer Skin Nonflush Repair at a Beam | 15L1.5 | Pc:104 | B below handle cutout:54 | B edge:19 |</t>
  </si>
  <si>
    <t>B | 747 52-00-01 Repair 8, Door Outer Skin Nonflush Repair between Beams | 15L1.5 | lim:L&lt; 5" | 4P edge:23 |</t>
  </si>
  <si>
    <t>A | 737 52-00-01 Repair 2, Aluminum Door Skin, External Repair at a Beam | lim:t&lt;0.04, L&lt; 5" | f:FT5 0.05 CE5/GF5 0.063 GF6 | 3Pc:15,70,85 | 3L handle:13 |</t>
  </si>
  <si>
    <t>B | 737 52-10-01 Repair 3, Typical Extrenal Repair bw Beams on Aluminum Door Skin | RAG_L24 | 3L:12,14 |</t>
  </si>
  <si>
    <t>A | dent/bent | 3P edge:103 | 4Pc:84 | 4Bc:s9 | 5P edge:115 | 5Lc:s8 |</t>
  </si>
  <si>
    <t>757  | P1(2/4):141(3/6)N6100 | R1:141N6200  | F(A)CD 143(6)N:6603 -&gt;6619(a12 0.063) |</t>
  </si>
  <si>
    <t>B | 747 52-10-02 Repair 2, Door Vertical Frame - Web Crack Repair bw Latch and Stop | 15D3 | s3:2,34, 46, 58 |</t>
  </si>
  <si>
    <t>A | 3P is+ic:29,107 | 3L:s1 | 4L:92,100 | 5P:82,102,108 | 5M: 73 || s2 | 4P:1 | 4L:32 |</t>
  </si>
  <si>
    <t>General Info</t>
  </si>
  <si>
    <t>SRM deviations</t>
  </si>
  <si>
    <t>01 | outside repair applicability: The repair doubler is acceptable to install outside of repair applicability because repair critical row is not located in the stay-out zone |</t>
  </si>
  <si>
    <t>02 | 3f.row(SRM)-2f.row(rep): 2 f.row goes in up-down direction, while primary design load case is beam bending (fwd-aft) due to differential pressure |</t>
  </si>
  <si>
    <t>03 | min.1f.row after intercostal(SRM): intercostal fasten to OS with just 1 f.row - so there is no load transfer bw intercostal and OS+doubler |</t>
  </si>
  <si>
    <t>05 | repair doesn't cover all sides of damages: This is acceptable because the damage is at the edge and there is no load beyond the door skin edges |</t>
  </si>
  <si>
    <t>B | 757 52-30-01 Repair 4, Cargo Doors - External Skin Repair | 37.5L3 | c:s10(d4)  |</t>
  </si>
  <si>
    <t>04 | spacing less than 4D | when stress is known | sig=f*sp/(sp-d) -&gt; min sp=(sig*d)/(sig-f) | a12 max0.062(ftu=61) 6/32: (f/sp)=20/0.28; 30/0.37; 40/0.54; 50/1.04; 60/11.44 |
|| if sp&gt;3D - fatigue Spacing Factor is not reduced (b2,5-36, BAC5004 line) |</t>
  </si>
  <si>
    <t>B | 777 52-10-01 Repair 04, PED Skin - External Repair at a Beam or Intercostal with Solid Fasteners  | lim:shade | f:ce6/nw6 | z1:53 | beam:89  |</t>
  </si>
  <si>
    <t>B | 757 52-10-01 Repair 7, Entry Door Skin - Non Flush Repair | 30L3 |  lim:1 | f:ce6 | stayout: 35(d1,2,3,an), 43(an), s5(d1) | edge:8(d5), 45(d4) |</t>
  </si>
  <si>
    <t>B | 747 52-30-01 Repair 3, Forward and Aft Cargo Door Skin Doubler at an Access Hole | f: nw6/8 | 15L3 | 3(no),66(no) |</t>
  </si>
  <si>
    <t>B | 777 52-30-01 Repair 12, BCD Skin - External Repair at a Beam or Intercostal with Solid Fasteners  | lim:shade | f:bb5-8 | z1:53 | c:56, s3, s4, s11 |</t>
  </si>
  <si>
    <t>fbrft</t>
  </si>
  <si>
    <t>N95 | 1000 cycles | R=0 |</t>
  </si>
  <si>
    <t>rivet 0.190</t>
  </si>
  <si>
    <t>bolt 0.190</t>
  </si>
  <si>
    <t>032</t>
  </si>
  <si>
    <t>036</t>
  </si>
  <si>
    <t>040</t>
  </si>
  <si>
    <t>045</t>
  </si>
  <si>
    <t>056</t>
  </si>
  <si>
    <t>063</t>
  </si>
  <si>
    <t>071</t>
  </si>
  <si>
    <t>080</t>
  </si>
  <si>
    <t>090</t>
  </si>
  <si>
    <t>100</t>
  </si>
  <si>
    <t>112</t>
  </si>
  <si>
    <t>125</t>
  </si>
  <si>
    <t>140</t>
  </si>
  <si>
    <t>160</t>
  </si>
  <si>
    <t>180</t>
  </si>
  <si>
    <t>DFR</t>
  </si>
  <si>
    <t>fmax</t>
  </si>
  <si>
    <t>121</t>
  </si>
  <si>
    <t>JOLT | 235: 2 plate+ 3 f.+5(f.code) | 1:al5 | 2:al6 | 3:al8 | 4:ti5 | 5:ti6 | 6:ti8 | 7:ti10 | 361(al5) &lt; 363(al6) &lt; 369(ti6) |</t>
  </si>
  <si>
    <t>32: 0.04-0.032-0.071=0.562(p100) | 33: 0.08-0.071-0.133=0.22(p53) | 34: 0.16-0.121-0.15=0.312(p55) |</t>
  </si>
  <si>
    <t>42: 0.071-0.09-0.121-0.15=0.359(p96)  | 44: 0.071-0.09-0.121-0.15=0.255(p87) | 45: 0.063-0.050-0.063-0.1=0.485(p49) |</t>
  </si>
  <si>
    <t>rivet 0.160</t>
  </si>
  <si>
    <t>37: 0.071-0.063-0.060=0.321(p54) | 0.05-0.04-0.125=0.536(p32,92) | 39: 0.080-0.071-0.125=0.072(p50) |</t>
  </si>
  <si>
    <t>bolt 0.160</t>
  </si>
  <si>
    <t>thk</t>
  </si>
  <si>
    <t>ce5 | 039 |</t>
  </si>
  <si>
    <t>ce6 | 048 |</t>
  </si>
  <si>
    <t>nw6 | 048 |</t>
  </si>
  <si>
    <t>nw5 | 039 |</t>
  </si>
  <si>
    <t>fastener</t>
  </si>
  <si>
    <t>riv</t>
  </si>
  <si>
    <t>nx8</t>
  </si>
  <si>
    <t>vt8</t>
  </si>
  <si>
    <t>nw8</t>
  </si>
  <si>
    <t>E | clamp up | fay seal: yes |</t>
  </si>
  <si>
    <t>A: hole filling| nx/nw=0.85(tran.fit b2,9-8) | ce=0.95(csk) | bb/fv=1.00(univ./cskhead) || B:alloy &amp;surf.treatment | 7075=0.80 | 2024=1.00 || D:stack up | fbrft &gt; 1=1.00 ||</t>
  </si>
  <si>
    <t>DRFbase | Aluminum | Unstabilized Single Shear |</t>
  </si>
  <si>
    <t>t_dbl</t>
  </si>
  <si>
    <t>f</t>
  </si>
  <si>
    <t>ce</t>
  </si>
  <si>
    <t>bb</t>
  </si>
  <si>
    <t>nw</t>
  </si>
  <si>
    <t>yt</t>
  </si>
  <si>
    <t>nx</t>
  </si>
  <si>
    <t>DRF | 2024 | Unstabilized Single Shear | fbrft=2 |</t>
  </si>
  <si>
    <t>5/32</t>
  </si>
  <si>
    <t>6/32</t>
  </si>
  <si>
    <t>A | trim | 3L handle: s12 | 4P hinge:84 | 5Lc:64, s6, 118 |</t>
  </si>
  <si>
    <t>737 ACD SB deviations</t>
  </si>
  <si>
    <t xml:space="preserve">01 | outer beam oversized sem | A less ~1% || jolt, b2-5 liason factor ||| 1.18(0.19) &gt; 1.16(sb) </t>
  </si>
  <si>
    <t>02 | outer beam oversized | A less ~1% || jolt ||| n/a</t>
  </si>
  <si>
    <t>03 | outer beam other material | joint strength || jolt ||| n/a</t>
  </si>
  <si>
    <t>04 | outer frame oversized | beam bending~0, net A \ negligible, bear / || csk \ negligible ||| unchanged</t>
  </si>
  <si>
    <t>11 | outer beam sem(end) | 3.f not effective in load transfer || rerun IAS from 1.5 for new ||| unchanged</t>
  </si>
  <si>
    <t>12 | outer beam sem(filler) | non-structural</t>
  </si>
  <si>
    <t>22 | inner beam, oversized |</t>
  </si>
  <si>
    <t>23 | inner beam, production remain |</t>
  </si>
  <si>
    <t>21 | inner beam, oversized sem |</t>
  </si>
  <si>
    <t>25 | inner, sem |</t>
  </si>
  <si>
    <t>24 | inner, sem | run IAS |</t>
  </si>
  <si>
    <t xml:space="preserve">31 | web frame | Psh, Pbr || b2-5(1.5) = 0.907 </t>
  </si>
  <si>
    <t>32 | web frame | lug || DFRlug ||| no impact</t>
  </si>
  <si>
    <t>40 | different fastener per kits</t>
  </si>
  <si>
    <t>41 | replacement</t>
  </si>
  <si>
    <t>42 | missing fastener</t>
  </si>
  <si>
    <t>43 | fastener near concentration</t>
  </si>
  <si>
    <t>ce,gf</t>
  </si>
  <si>
    <t>bb,ft</t>
  </si>
  <si>
    <t>nw,vt,yp</t>
  </si>
  <si>
    <t xml:space="preserve"> BDM 4301 | 2024-T3 | Ultimate single shear |</t>
  </si>
  <si>
    <t>8/32</t>
  </si>
  <si>
    <t xml:space="preserve"> BDM 4301 | 2024-T42 | Ultimate single shear |</t>
  </si>
  <si>
    <t xml:space="preserve"> BDM 4301 | 7075-Т6 | Ultimate single shear |</t>
  </si>
  <si>
    <t>Bearing | 1.5D | 2024-T3 Bare Sheet |</t>
  </si>
  <si>
    <t>fastener dia</t>
  </si>
  <si>
    <t>0.196 | riv.6</t>
  </si>
  <si>
    <t>0.190 | hil.6</t>
  </si>
  <si>
    <t>0.165 | riv.5</t>
  </si>
  <si>
    <t>0.219 | hi.6y</t>
  </si>
  <si>
    <t>0.164 | hil.5</t>
  </si>
  <si>
    <t>0.183 | vh5</t>
  </si>
  <si>
    <t>0.218 | vh6</t>
  </si>
  <si>
    <t>=DFRb*0.9(E)</t>
  </si>
  <si>
    <t>pushrod  L || s2: -400(0.063+0.08): 101i,106i ||| s3:-400(0.125+0.125):97 |</t>
  </si>
  <si>
    <t xml:space="preserve">A | 4M edge:50  || s2: 3L:5 |  7P os+oc:6 ||| s3: 3L handle:47,59 | 4Pc:49 | 4L  handle:48 | </t>
  </si>
  <si>
    <t>A | substitute | 5P angle(FT-&gt;NX):36  | 5Lc:78  | 5L edge(ce5-nw6):s13 |</t>
  </si>
  <si>
    <t>pushrod M || s2: -400(0.121+0.16): 55,93 | -400F(0.121+0.125): 9,10,17,20,41(+s1) | -8F(0.121+0.09+0.071): 87,96 ||| s3:-400F(0.121+0.125):30i, 112</t>
  </si>
  <si>
    <t>a/p</t>
  </si>
  <si>
    <t>door</t>
  </si>
  <si>
    <t>part</t>
  </si>
  <si>
    <t>af</t>
  </si>
  <si>
    <t>det</t>
  </si>
  <si>
    <t>wb</t>
  </si>
  <si>
    <t>s2</t>
  </si>
  <si>
    <t>s3</t>
  </si>
  <si>
    <t>NA401</t>
  </si>
  <si>
    <t>757-200_ACD_af</t>
  </si>
  <si>
    <t>146N6603-5001</t>
  </si>
  <si>
    <t>door #</t>
  </si>
  <si>
    <t>name</t>
  </si>
  <si>
    <t>STA</t>
  </si>
  <si>
    <t>2C7</t>
  </si>
  <si>
    <t>7075-T6 bare sheet</t>
  </si>
  <si>
    <t>-175</t>
  </si>
  <si>
    <t>-173</t>
  </si>
  <si>
    <t>BAC1490-2816</t>
  </si>
  <si>
    <t>oc_zn</t>
  </si>
  <si>
    <t>oc_t</t>
  </si>
  <si>
    <t>wb_zn</t>
  </si>
  <si>
    <t>wb_t</t>
  </si>
  <si>
    <t>wb_mat</t>
  </si>
  <si>
    <t>see wb</t>
  </si>
  <si>
    <t>oc_mat</t>
  </si>
  <si>
    <t>#assy</t>
  </si>
  <si>
    <t>#oc</t>
  </si>
  <si>
    <t>#wb</t>
  </si>
  <si>
    <t>#ic</t>
  </si>
  <si>
    <t>2024-T42 bare sheet</t>
  </si>
  <si>
    <t>type</t>
  </si>
  <si>
    <t>h</t>
  </si>
  <si>
    <t>w</t>
  </si>
  <si>
    <t>t</t>
  </si>
  <si>
    <t>r</t>
  </si>
  <si>
    <t>formed_angle</t>
  </si>
  <si>
    <t>A | 3P web:91/ ic:72 | 5M web:81 | 7L upper beam web:18, 90 | 7B oc:99 || s2 | 7L web: 51</t>
  </si>
  <si>
    <t>mat code | a11:2024-T3 bare sheet | a12:2024-T3 clad sheet | a21:7075-T62 bare sheet | a22:7075-T62 clad sheet |</t>
  </si>
  <si>
    <t>737CL  | FCD 65-46921 -&gt;65C36183(a12.071) |</t>
  </si>
  <si>
    <t>name code | 4L=747 LCD | 5M=757 MDCD | 3Pc:3(no)=737 PED corner, package 3, no deviations |</t>
  </si>
  <si>
    <t xml:space="preserve">OUTER SKIN </t>
  </si>
  <si>
    <t xml:space="preserve"> DOUBLER REPAIR</t>
  </si>
  <si>
    <t>FRAME &amp; BEAM</t>
  </si>
  <si>
    <t xml:space="preserve"> NON-DOUBLER REPAIR</t>
  </si>
  <si>
    <t>||| s3 | 4L web: 116 | 5L web: 120 [Y92+11.2 ksi + a21.071 -&gt; 351t] |</t>
  </si>
  <si>
    <t xml:space="preserve">name code | [analysis] | ( ) | { } | </t>
  </si>
  <si>
    <t>757 52-10-02 Repair 1, FWD Frame of the PED L2/R2 | 50H5.8 | 15-5.04 | see folder | 11,21,22,24,25,40,61,63,65,68,121,122,123,124 |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</si>
</sst>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"/>
    <numFmt numFmtId="165" formatCode="0.000"/>
  </numFmts>
  <fonts count="19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  <charset val="204"/>
    </font>
    <font>
      <b/>
      <sz val="10"/>
      <name val="Arial"/>
      <family val="2"/>
      <charset val="204"/>
    </font>
    <font>
      <b/>
      <sz val="12"/>
      <name val="Arial"/>
      <family val="2"/>
      <charset val="204"/>
    </font>
    <font>
      <sz val="10"/>
      <color rgb="FFFF0000"/>
      <name val="Arial"/>
      <family val="2"/>
      <charset val="204"/>
    </font>
    <font>
      <sz val="8"/>
      <name val="Arial"/>
      <family val="2"/>
      <charset val="204"/>
    </font>
    <font>
      <sz val="12"/>
      <name val="Arial"/>
      <family val="2"/>
      <charset val="204"/>
    </font>
    <font>
      <b/>
      <sz val="14"/>
      <name val="Arial"/>
      <family val="2"/>
      <charset val="204"/>
    </font>
    <font>
      <b/>
      <sz val="16"/>
      <name val="Arial"/>
      <family val="2"/>
      <charset val="204"/>
    </font>
    <font>
      <sz val="10"/>
      <color theme="0" tint="-0.249977111117893"/>
      <name val="Arial"/>
      <family val="2"/>
      <charset val="204"/>
    </font>
    <font>
      <sz val="14"/>
      <name val="Arial"/>
      <family val="2"/>
      <charset val="204"/>
    </font>
    <font>
      <b/>
      <sz val="18"/>
      <name val="Arial"/>
      <family val="2"/>
      <charset val="204"/>
    </font>
    <font>
      <sz val="9"/>
      <name val="Arial"/>
      <family val="2"/>
      <charset val="204"/>
    </font>
    <font>
      <sz val="9"/>
      <name val="Algerian"/>
      <family val="5"/>
    </font>
    <font>
      <i/>
      <sz val="10"/>
      <name val="Arial"/>
      <family val="2"/>
      <charset val="204"/>
    </font>
    <font>
      <b/>
      <u/>
      <sz val="11"/>
      <name val="Arial"/>
      <family val="2"/>
      <charset val="204"/>
    </font>
    <font>
      <b/>
      <i/>
      <sz val="9"/>
      <name val="Arial"/>
      <family val="2"/>
      <charset val="204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</fills>
  <borders count="2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</borders>
  <cellStyleXfs count="4">
    <xf numFmtId="0" fontId="0" fillId="0" borderId="0" applyBorder="0"/>
    <xf numFmtId="0" fontId="2" fillId="0" borderId="0" applyBorder="0"/>
    <xf numFmtId="0" fontId="2" fillId="0" borderId="0" applyBorder="0"/>
    <xf numFmtId="0" fontId="1" fillId="0" borderId="0"/>
  </cellStyleXfs>
  <cellXfs count="370">
    <xf numFmtId="0" fontId="0" fillId="0" borderId="0" xfId="0"/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Fill="1" applyBorder="1" applyAlignment="1">
      <alignment horizontal="center"/>
    </xf>
    <xf numFmtId="3" fontId="0" fillId="0" borderId="0" xfId="0" applyNumberFormat="1"/>
    <xf numFmtId="3" fontId="0" fillId="0" borderId="0" xfId="0" applyNumberFormat="1" applyFill="1" applyBorder="1" applyAlignment="1">
      <alignment horizontal="center"/>
    </xf>
    <xf numFmtId="3" fontId="3" fillId="0" borderId="0" xfId="0" applyNumberFormat="1" applyFont="1" applyFill="1" applyBorder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0" fillId="0" borderId="7" xfId="0" applyFill="1" applyBorder="1" applyAlignment="1">
      <alignment horizontal="center"/>
    </xf>
    <xf numFmtId="0" fontId="0" fillId="0" borderId="14" xfId="0" applyFill="1" applyBorder="1" applyAlignment="1">
      <alignment horizontal="left" vertical="center"/>
    </xf>
    <xf numFmtId="0" fontId="3" fillId="0" borderId="14" xfId="0" applyFont="1" applyFill="1" applyBorder="1" applyAlignment="1">
      <alignment horizontal="left" vertical="center"/>
    </xf>
    <xf numFmtId="0" fontId="3" fillId="0" borderId="14" xfId="0" applyFont="1" applyFill="1" applyBorder="1" applyAlignment="1">
      <alignment horizontal="center" vertical="center"/>
    </xf>
    <xf numFmtId="0" fontId="3" fillId="0" borderId="3" xfId="0" applyFont="1" applyFill="1" applyBorder="1" applyAlignment="1">
      <alignment horizontal="center" vertical="center"/>
    </xf>
    <xf numFmtId="3" fontId="0" fillId="0" borderId="0" xfId="0" quotePrefix="1" applyNumberFormat="1" applyFill="1" applyBorder="1" applyAlignment="1">
      <alignment horizontal="center"/>
    </xf>
    <xf numFmtId="0" fontId="3" fillId="0" borderId="3" xfId="0" applyFont="1" applyFill="1" applyBorder="1" applyAlignment="1">
      <alignment horizontal="left" vertical="center"/>
    </xf>
    <xf numFmtId="0" fontId="0" fillId="0" borderId="9" xfId="0" applyFill="1" applyBorder="1" applyAlignment="1">
      <alignment horizontal="center"/>
    </xf>
    <xf numFmtId="0" fontId="0" fillId="0" borderId="10" xfId="0" applyFill="1" applyBorder="1" applyAlignment="1">
      <alignment horizontal="center"/>
    </xf>
    <xf numFmtId="3" fontId="0" fillId="0" borderId="10" xfId="0" applyNumberFormat="1" applyFill="1" applyBorder="1" applyAlignment="1">
      <alignment horizontal="center"/>
    </xf>
    <xf numFmtId="3" fontId="3" fillId="0" borderId="10" xfId="0" applyNumberFormat="1" applyFont="1" applyFill="1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0" fillId="0" borderId="5" xfId="0" applyFill="1" applyBorder="1" applyAlignment="1">
      <alignment horizontal="center"/>
    </xf>
    <xf numFmtId="3" fontId="0" fillId="0" borderId="5" xfId="0" applyNumberFormat="1" applyFill="1" applyBorder="1" applyAlignment="1">
      <alignment horizontal="center"/>
    </xf>
    <xf numFmtId="0" fontId="3" fillId="0" borderId="7" xfId="0" applyFont="1" applyFill="1" applyBorder="1" applyAlignment="1">
      <alignment horizontal="center"/>
    </xf>
    <xf numFmtId="3" fontId="3" fillId="0" borderId="0" xfId="0" quotePrefix="1" applyNumberFormat="1" applyFont="1" applyFill="1" applyBorder="1" applyAlignment="1">
      <alignment horizontal="center"/>
    </xf>
    <xf numFmtId="0" fontId="0" fillId="0" borderId="3" xfId="0" applyFill="1" applyBorder="1" applyAlignment="1">
      <alignment horizontal="left" vertical="center"/>
    </xf>
    <xf numFmtId="0" fontId="3" fillId="0" borderId="4" xfId="0" applyFont="1" applyFill="1" applyBorder="1" applyAlignment="1">
      <alignment horizontal="center"/>
    </xf>
    <xf numFmtId="0" fontId="3" fillId="0" borderId="5" xfId="0" applyFont="1" applyFill="1" applyBorder="1" applyAlignment="1">
      <alignment horizontal="center"/>
    </xf>
    <xf numFmtId="3" fontId="3" fillId="0" borderId="5" xfId="0" applyNumberFormat="1" applyFont="1" applyFill="1" applyBorder="1" applyAlignment="1">
      <alignment horizontal="center"/>
    </xf>
    <xf numFmtId="0" fontId="0" fillId="0" borderId="3" xfId="0" applyFill="1" applyBorder="1" applyAlignment="1">
      <alignment horizontal="center" vertical="center"/>
    </xf>
    <xf numFmtId="0" fontId="0" fillId="0" borderId="1" xfId="0" applyFill="1" applyBorder="1" applyAlignment="1">
      <alignment horizontal="center"/>
    </xf>
    <xf numFmtId="0" fontId="0" fillId="0" borderId="2" xfId="0" applyFill="1" applyBorder="1" applyAlignment="1">
      <alignment horizontal="center"/>
    </xf>
    <xf numFmtId="3" fontId="0" fillId="0" borderId="2" xfId="0" applyNumberFormat="1" applyFill="1" applyBorder="1" applyAlignment="1">
      <alignment horizontal="center"/>
    </xf>
    <xf numFmtId="3" fontId="0" fillId="0" borderId="2" xfId="0" quotePrefix="1" applyNumberFormat="1" applyFill="1" applyBorder="1" applyAlignment="1">
      <alignment horizontal="center"/>
    </xf>
    <xf numFmtId="0" fontId="0" fillId="0" borderId="14" xfId="0" applyFill="1" applyBorder="1" applyAlignment="1">
      <alignment horizontal="center"/>
    </xf>
    <xf numFmtId="0" fontId="6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5" fillId="2" borderId="2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3" fontId="0" fillId="3" borderId="5" xfId="0" applyNumberFormat="1" applyFill="1" applyBorder="1" applyAlignment="1">
      <alignment horizontal="center"/>
    </xf>
    <xf numFmtId="0" fontId="3" fillId="3" borderId="3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left" vertical="center"/>
    </xf>
    <xf numFmtId="0" fontId="5" fillId="2" borderId="1" xfId="0" applyFont="1" applyFill="1" applyBorder="1" applyAlignment="1"/>
    <xf numFmtId="0" fontId="5" fillId="2" borderId="2" xfId="0" applyFont="1" applyFill="1" applyBorder="1" applyAlignment="1"/>
    <xf numFmtId="0" fontId="3" fillId="0" borderId="12" xfId="0" applyFont="1" applyFill="1" applyBorder="1" applyAlignment="1">
      <alignment horizontal="center" vertical="center"/>
    </xf>
    <xf numFmtId="0" fontId="3" fillId="0" borderId="12" xfId="0" applyFont="1" applyFill="1" applyBorder="1" applyAlignment="1">
      <alignment horizontal="left" vertical="center"/>
    </xf>
    <xf numFmtId="0" fontId="3" fillId="3" borderId="7" xfId="0" applyFont="1" applyFill="1" applyBorder="1" applyAlignment="1">
      <alignment horizontal="center"/>
    </xf>
    <xf numFmtId="0" fontId="3" fillId="3" borderId="0" xfId="0" applyFont="1" applyFill="1" applyBorder="1" applyAlignment="1">
      <alignment horizontal="center"/>
    </xf>
    <xf numFmtId="3" fontId="3" fillId="3" borderId="0" xfId="0" applyNumberFormat="1" applyFont="1" applyFill="1" applyBorder="1" applyAlignment="1">
      <alignment horizontal="center"/>
    </xf>
    <xf numFmtId="3" fontId="3" fillId="3" borderId="0" xfId="0" quotePrefix="1" applyNumberFormat="1" applyFont="1" applyFill="1" applyBorder="1" applyAlignment="1">
      <alignment horizontal="center"/>
    </xf>
    <xf numFmtId="0" fontId="0" fillId="0" borderId="5" xfId="0" applyBorder="1" applyAlignment="1">
      <alignment horizontal="left"/>
    </xf>
    <xf numFmtId="0" fontId="0" fillId="0" borderId="5" xfId="0" applyBorder="1" applyAlignment="1"/>
    <xf numFmtId="0" fontId="0" fillId="0" borderId="5" xfId="0" applyBorder="1" applyAlignment="1">
      <alignment horizontal="center"/>
    </xf>
    <xf numFmtId="0" fontId="0" fillId="0" borderId="14" xfId="0" applyFill="1" applyBorder="1" applyAlignment="1">
      <alignment horizontal="center" vertical="center"/>
    </xf>
    <xf numFmtId="0" fontId="3" fillId="3" borderId="14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/>
    </xf>
    <xf numFmtId="0" fontId="3" fillId="3" borderId="5" xfId="0" applyFont="1" applyFill="1" applyBorder="1" applyAlignment="1">
      <alignment horizontal="center"/>
    </xf>
    <xf numFmtId="3" fontId="3" fillId="3" borderId="5" xfId="0" applyNumberFormat="1" applyFont="1" applyFill="1" applyBorder="1" applyAlignment="1">
      <alignment horizontal="center"/>
    </xf>
    <xf numFmtId="3" fontId="3" fillId="3" borderId="5" xfId="0" quotePrefix="1" applyNumberFormat="1" applyFont="1" applyFill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0" fillId="0" borderId="1" xfId="0" applyBorder="1" applyAlignment="1">
      <alignment horizontal="center"/>
    </xf>
    <xf numFmtId="3" fontId="0" fillId="0" borderId="2" xfId="0" applyNumberFormat="1" applyBorder="1" applyAlignment="1">
      <alignment horizontal="center"/>
    </xf>
    <xf numFmtId="0" fontId="3" fillId="0" borderId="11" xfId="0" applyFont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3" fillId="3" borderId="10" xfId="0" applyFont="1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3" fontId="0" fillId="3" borderId="10" xfId="0" applyNumberFormat="1" applyFill="1" applyBorder="1" applyAlignment="1">
      <alignment horizontal="center"/>
    </xf>
    <xf numFmtId="3" fontId="3" fillId="3" borderId="10" xfId="0" applyNumberFormat="1" applyFont="1" applyFill="1" applyBorder="1" applyAlignment="1">
      <alignment horizontal="center"/>
    </xf>
    <xf numFmtId="3" fontId="3" fillId="3" borderId="10" xfId="0" quotePrefix="1" applyNumberFormat="1" applyFont="1" applyFill="1" applyBorder="1" applyAlignment="1">
      <alignment horizontal="center"/>
    </xf>
    <xf numFmtId="0" fontId="3" fillId="3" borderId="12" xfId="0" applyFont="1" applyFill="1" applyBorder="1" applyAlignment="1">
      <alignment horizontal="left" vertical="center"/>
    </xf>
    <xf numFmtId="0" fontId="3" fillId="3" borderId="12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/>
    </xf>
    <xf numFmtId="0" fontId="3" fillId="3" borderId="2" xfId="0" applyFont="1" applyFill="1" applyBorder="1" applyAlignment="1">
      <alignment horizontal="center"/>
    </xf>
    <xf numFmtId="3" fontId="3" fillId="3" borderId="2" xfId="0" applyNumberFormat="1" applyFont="1" applyFill="1" applyBorder="1" applyAlignment="1">
      <alignment horizontal="center"/>
    </xf>
    <xf numFmtId="3" fontId="3" fillId="3" borderId="2" xfId="0" quotePrefix="1" applyNumberFormat="1" applyFont="1" applyFill="1" applyBorder="1" applyAlignment="1">
      <alignment horizontal="center"/>
    </xf>
    <xf numFmtId="0" fontId="3" fillId="3" borderId="12" xfId="0" applyFont="1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3" fontId="0" fillId="3" borderId="2" xfId="0" applyNumberForma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3" fontId="0" fillId="3" borderId="2" xfId="0" quotePrefix="1" applyNumberFormat="1" applyFill="1" applyBorder="1" applyAlignment="1">
      <alignment horizontal="center"/>
    </xf>
    <xf numFmtId="0" fontId="0" fillId="0" borderId="13" xfId="0" applyFill="1" applyBorder="1" applyAlignment="1">
      <alignment horizontal="center" vertical="center"/>
    </xf>
    <xf numFmtId="0" fontId="3" fillId="3" borderId="14" xfId="0" applyFont="1" applyFill="1" applyBorder="1" applyAlignment="1">
      <alignment horizontal="center"/>
    </xf>
    <xf numFmtId="0" fontId="3" fillId="3" borderId="3" xfId="0" applyFont="1" applyFill="1" applyBorder="1" applyAlignment="1">
      <alignment horizontal="center"/>
    </xf>
    <xf numFmtId="3" fontId="3" fillId="3" borderId="11" xfId="0" applyNumberFormat="1" applyFont="1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3" fontId="0" fillId="3" borderId="0" xfId="0" applyNumberFormat="1" applyFill="1" applyBorder="1" applyAlignment="1">
      <alignment horizontal="center"/>
    </xf>
    <xf numFmtId="3" fontId="3" fillId="3" borderId="11" xfId="0" quotePrefix="1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0" fontId="3" fillId="3" borderId="13" xfId="0" applyFont="1" applyFill="1" applyBorder="1" applyAlignment="1">
      <alignment horizontal="center" vertical="center"/>
    </xf>
    <xf numFmtId="0" fontId="3" fillId="3" borderId="13" xfId="0" applyFont="1" applyFill="1" applyBorder="1" applyAlignment="1">
      <alignment horizontal="left" vertical="center"/>
    </xf>
    <xf numFmtId="3" fontId="0" fillId="3" borderId="10" xfId="0" quotePrefix="1" applyNumberFormat="1" applyFill="1" applyBorder="1" applyAlignment="1">
      <alignment horizontal="center"/>
    </xf>
    <xf numFmtId="0" fontId="0" fillId="0" borderId="12" xfId="0" applyFill="1" applyBorder="1" applyAlignment="1">
      <alignment horizontal="left" vertical="center"/>
    </xf>
    <xf numFmtId="3" fontId="3" fillId="3" borderId="6" xfId="0" quotePrefix="1" applyNumberFormat="1" applyFont="1" applyFill="1" applyBorder="1" applyAlignment="1">
      <alignment horizontal="center"/>
    </xf>
    <xf numFmtId="3" fontId="0" fillId="3" borderId="0" xfId="0" quotePrefix="1" applyNumberFormat="1" applyFill="1" applyBorder="1" applyAlignment="1">
      <alignment horizontal="center"/>
    </xf>
    <xf numFmtId="0" fontId="11" fillId="2" borderId="13" xfId="0" applyFont="1" applyFill="1" applyBorder="1" applyAlignment="1">
      <alignment horizontal="center"/>
    </xf>
    <xf numFmtId="0" fontId="11" fillId="2" borderId="14" xfId="0" applyFont="1" applyFill="1" applyBorder="1" applyAlignment="1">
      <alignment horizontal="center"/>
    </xf>
    <xf numFmtId="0" fontId="8" fillId="2" borderId="4" xfId="0" applyFont="1" applyFill="1" applyBorder="1" applyAlignment="1"/>
    <xf numFmtId="0" fontId="8" fillId="2" borderId="7" xfId="0" applyFont="1" applyFill="1" applyBorder="1" applyAlignment="1"/>
    <xf numFmtId="0" fontId="11" fillId="2" borderId="9" xfId="0" applyFont="1" applyFill="1" applyBorder="1" applyAlignment="1">
      <alignment horizontal="center"/>
    </xf>
    <xf numFmtId="0" fontId="3" fillId="2" borderId="9" xfId="0" applyFont="1" applyFill="1" applyBorder="1" applyAlignment="1">
      <alignment horizontal="center"/>
    </xf>
    <xf numFmtId="0" fontId="3" fillId="2" borderId="14" xfId="0" applyFont="1" applyFill="1" applyBorder="1" applyAlignment="1">
      <alignment horizontal="center"/>
    </xf>
    <xf numFmtId="0" fontId="10" fillId="2" borderId="0" xfId="0" applyFont="1" applyFill="1" applyBorder="1" applyAlignment="1">
      <alignment horizontal="center" vertical="center"/>
    </xf>
    <xf numFmtId="0" fontId="3" fillId="3" borderId="3" xfId="0" quotePrefix="1" applyFont="1" applyFill="1" applyBorder="1" applyAlignment="1">
      <alignment horizontal="center" vertical="center"/>
    </xf>
    <xf numFmtId="0" fontId="11" fillId="2" borderId="0" xfId="0" applyFont="1" applyFill="1" applyBorder="1" applyAlignment="1">
      <alignment horizontal="center"/>
    </xf>
    <xf numFmtId="3" fontId="0" fillId="3" borderId="5" xfId="0" quotePrefix="1" applyNumberFormat="1" applyFill="1" applyBorder="1" applyAlignment="1">
      <alignment horizontal="center"/>
    </xf>
    <xf numFmtId="0" fontId="10" fillId="2" borderId="9" xfId="0" applyFont="1" applyFill="1" applyBorder="1" applyAlignment="1">
      <alignment horizontal="center" vertical="center"/>
    </xf>
    <xf numFmtId="0" fontId="3" fillId="3" borderId="9" xfId="0" applyFont="1" applyFill="1" applyBorder="1" applyAlignment="1">
      <alignment horizontal="center"/>
    </xf>
    <xf numFmtId="0" fontId="0" fillId="3" borderId="13" xfId="0" applyFill="1" applyBorder="1" applyAlignment="1">
      <alignment horizontal="center"/>
    </xf>
    <xf numFmtId="0" fontId="11" fillId="2" borderId="7" xfId="0" applyFont="1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3" fontId="0" fillId="3" borderId="11" xfId="0" applyNumberFormat="1" applyFill="1" applyBorder="1" applyAlignment="1">
      <alignment horizontal="center"/>
    </xf>
    <xf numFmtId="0" fontId="0" fillId="3" borderId="12" xfId="0" applyFill="1" applyBorder="1" applyAlignment="1">
      <alignment horizontal="center"/>
    </xf>
    <xf numFmtId="0" fontId="3" fillId="4" borderId="3" xfId="0" applyFont="1" applyFill="1" applyBorder="1" applyAlignment="1">
      <alignment horizontal="center" vertical="center"/>
    </xf>
    <xf numFmtId="0" fontId="10" fillId="2" borderId="7" xfId="0" applyFont="1" applyFill="1" applyBorder="1" applyAlignment="1">
      <alignment horizontal="center" vertical="center"/>
    </xf>
    <xf numFmtId="0" fontId="0" fillId="2" borderId="7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11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left" vertical="center"/>
    </xf>
    <xf numFmtId="0" fontId="0" fillId="0" borderId="0" xfId="0" applyFill="1" applyAlignment="1">
      <alignment horizontal="center"/>
    </xf>
    <xf numFmtId="3" fontId="0" fillId="3" borderId="11" xfId="0" quotePrefix="1" applyNumberFormat="1" applyFill="1" applyBorder="1" applyAlignment="1">
      <alignment horizontal="center"/>
    </xf>
    <xf numFmtId="3" fontId="3" fillId="3" borderId="15" xfId="0" quotePrefix="1" applyNumberFormat="1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3" fontId="0" fillId="3" borderId="2" xfId="0" applyNumberFormat="1" applyFill="1" applyBorder="1" applyAlignment="1">
      <alignment horizontal="center" vertical="center"/>
    </xf>
    <xf numFmtId="3" fontId="3" fillId="3" borderId="2" xfId="0" applyNumberFormat="1" applyFont="1" applyFill="1" applyBorder="1" applyAlignment="1">
      <alignment horizontal="center" vertical="center"/>
    </xf>
    <xf numFmtId="3" fontId="3" fillId="3" borderId="11" xfId="0" quotePrefix="1" applyNumberFormat="1" applyFont="1" applyFill="1" applyBorder="1" applyAlignment="1">
      <alignment horizontal="center" vertical="center"/>
    </xf>
    <xf numFmtId="0" fontId="3" fillId="3" borderId="10" xfId="0" applyFont="1" applyFill="1" applyBorder="1" applyAlignment="1">
      <alignment horizontal="center" vertical="center"/>
    </xf>
    <xf numFmtId="3" fontId="0" fillId="3" borderId="10" xfId="0" applyNumberFormat="1" applyFill="1" applyBorder="1" applyAlignment="1">
      <alignment horizontal="center" vertical="center"/>
    </xf>
    <xf numFmtId="3" fontId="3" fillId="3" borderId="2" xfId="0" quotePrefix="1" applyNumberFormat="1" applyFont="1" applyFill="1" applyBorder="1" applyAlignment="1">
      <alignment horizontal="center" vertical="center"/>
    </xf>
    <xf numFmtId="3" fontId="0" fillId="3" borderId="11" xfId="0" quotePrefix="1" applyNumberFormat="1" applyFill="1" applyBorder="1" applyAlignment="1">
      <alignment horizontal="center" vertical="center"/>
    </xf>
    <xf numFmtId="0" fontId="0" fillId="3" borderId="9" xfId="0" applyFill="1" applyBorder="1" applyAlignment="1">
      <alignment horizontal="center" vertical="center"/>
    </xf>
    <xf numFmtId="0" fontId="3" fillId="3" borderId="9" xfId="0" applyFont="1" applyFill="1" applyBorder="1" applyAlignment="1">
      <alignment horizontal="center" vertical="center"/>
    </xf>
    <xf numFmtId="0" fontId="0" fillId="3" borderId="10" xfId="0" applyFill="1" applyBorder="1" applyAlignment="1">
      <alignment horizontal="center" vertical="center"/>
    </xf>
    <xf numFmtId="3" fontId="3" fillId="3" borderId="10" xfId="0" applyNumberFormat="1" applyFont="1" applyFill="1" applyBorder="1" applyAlignment="1">
      <alignment horizontal="center" vertical="center"/>
    </xf>
    <xf numFmtId="1" fontId="0" fillId="0" borderId="0" xfId="0" applyNumberFormat="1" applyAlignment="1">
      <alignment horizontal="center"/>
    </xf>
    <xf numFmtId="0" fontId="0" fillId="2" borderId="1" xfId="0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3" fontId="0" fillId="2" borderId="2" xfId="0" applyNumberFormat="1" applyFill="1" applyBorder="1" applyAlignment="1">
      <alignment horizontal="center"/>
    </xf>
    <xf numFmtId="3" fontId="3" fillId="2" borderId="2" xfId="0" applyNumberFormat="1" applyFont="1" applyFill="1" applyBorder="1" applyAlignment="1">
      <alignment horizontal="center"/>
    </xf>
    <xf numFmtId="3" fontId="3" fillId="2" borderId="2" xfId="0" quotePrefix="1" applyNumberFormat="1" applyFont="1" applyFill="1" applyBorder="1" applyAlignment="1">
      <alignment horizontal="center"/>
    </xf>
    <xf numFmtId="0" fontId="3" fillId="2" borderId="3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8" fillId="2" borderId="2" xfId="0" applyFont="1" applyFill="1" applyBorder="1" applyAlignment="1">
      <alignment horizontal="left" vertical="center"/>
    </xf>
    <xf numFmtId="0" fontId="5" fillId="2" borderId="2" xfId="0" applyFont="1" applyFill="1" applyBorder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9" fillId="2" borderId="7" xfId="0" applyFont="1" applyFill="1" applyBorder="1" applyAlignment="1">
      <alignment horizontal="left"/>
    </xf>
    <xf numFmtId="0" fontId="10" fillId="2" borderId="1" xfId="0" applyFont="1" applyFill="1" applyBorder="1" applyAlignment="1">
      <alignment horizontal="center" vertical="center"/>
    </xf>
    <xf numFmtId="0" fontId="10" fillId="2" borderId="2" xfId="0" applyFont="1" applyFill="1" applyBorder="1" applyAlignment="1">
      <alignment horizontal="center" vertical="center"/>
    </xf>
    <xf numFmtId="0" fontId="10" fillId="2" borderId="11" xfId="0" applyFont="1" applyFill="1" applyBorder="1" applyAlignment="1">
      <alignment horizontal="center" vertical="center"/>
    </xf>
    <xf numFmtId="0" fontId="3" fillId="0" borderId="4" xfId="0" applyFont="1" applyBorder="1" applyAlignment="1">
      <alignment horizontal="left"/>
    </xf>
    <xf numFmtId="0" fontId="3" fillId="0" borderId="5" xfId="0" applyFont="1" applyBorder="1" applyAlignment="1">
      <alignment horizontal="left"/>
    </xf>
    <xf numFmtId="0" fontId="3" fillId="2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2" borderId="12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0" fillId="2" borderId="14" xfId="0" applyFill="1" applyBorder="1" applyAlignment="1">
      <alignment horizontal="center"/>
    </xf>
    <xf numFmtId="3" fontId="7" fillId="3" borderId="2" xfId="0" applyNumberFormat="1" applyFont="1" applyFill="1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9" fillId="2" borderId="7" xfId="0" applyFont="1" applyFill="1" applyBorder="1" applyAlignment="1">
      <alignment horizontal="left"/>
    </xf>
    <xf numFmtId="0" fontId="3" fillId="3" borderId="14" xfId="0" quotePrefix="1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/>
    </xf>
    <xf numFmtId="0" fontId="3" fillId="4" borderId="2" xfId="0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3" fontId="0" fillId="4" borderId="2" xfId="0" applyNumberFormat="1" applyFill="1" applyBorder="1" applyAlignment="1">
      <alignment horizontal="center"/>
    </xf>
    <xf numFmtId="3" fontId="3" fillId="4" borderId="2" xfId="0" applyNumberFormat="1" applyFont="1" applyFill="1" applyBorder="1" applyAlignment="1">
      <alignment horizontal="center"/>
    </xf>
    <xf numFmtId="3" fontId="3" fillId="4" borderId="11" xfId="0" quotePrefix="1" applyNumberFormat="1" applyFont="1" applyFill="1" applyBorder="1" applyAlignment="1">
      <alignment horizontal="center"/>
    </xf>
    <xf numFmtId="0" fontId="10" fillId="2" borderId="2" xfId="0" applyFont="1" applyFill="1" applyBorder="1" applyAlignment="1">
      <alignment horizontal="center" vertical="center"/>
    </xf>
    <xf numFmtId="0" fontId="10" fillId="2" borderId="11" xfId="0" applyFont="1" applyFill="1" applyBorder="1" applyAlignment="1">
      <alignment horizontal="center" vertical="center"/>
    </xf>
    <xf numFmtId="0" fontId="10" fillId="2" borderId="7" xfId="0" applyFont="1" applyFill="1" applyBorder="1" applyAlignment="1">
      <alignment horizontal="center" vertical="center"/>
    </xf>
    <xf numFmtId="0" fontId="0" fillId="3" borderId="12" xfId="0" applyFill="1" applyBorder="1" applyAlignment="1">
      <alignment horizontal="center" vertical="center"/>
    </xf>
    <xf numFmtId="0" fontId="3" fillId="3" borderId="12" xfId="0" applyFont="1" applyFill="1" applyBorder="1" applyAlignment="1">
      <alignment horizontal="center" vertical="center"/>
    </xf>
    <xf numFmtId="0" fontId="3" fillId="3" borderId="14" xfId="0" applyFont="1" applyFill="1" applyBorder="1" applyAlignment="1">
      <alignment horizontal="center" vertical="center"/>
    </xf>
    <xf numFmtId="0" fontId="0" fillId="0" borderId="7" xfId="0" applyBorder="1" applyAlignment="1">
      <alignment horizontal="center"/>
    </xf>
    <xf numFmtId="0" fontId="3" fillId="0" borderId="7" xfId="0" applyFont="1" applyBorder="1" applyAlignment="1">
      <alignment horizontal="center"/>
    </xf>
    <xf numFmtId="0" fontId="6" fillId="0" borderId="7" xfId="0" applyFont="1" applyBorder="1" applyAlignment="1">
      <alignment horizontal="center"/>
    </xf>
    <xf numFmtId="0" fontId="3" fillId="0" borderId="9" xfId="0" applyFont="1" applyBorder="1" applyAlignment="1">
      <alignment horizontal="center"/>
    </xf>
    <xf numFmtId="0" fontId="3" fillId="3" borderId="13" xfId="0" applyFont="1" applyFill="1" applyBorder="1" applyAlignment="1">
      <alignment horizontal="center"/>
    </xf>
    <xf numFmtId="0" fontId="0" fillId="3" borderId="13" xfId="0" applyFill="1" applyBorder="1" applyAlignment="1">
      <alignment horizontal="center" vertical="center"/>
    </xf>
    <xf numFmtId="0" fontId="3" fillId="3" borderId="14" xfId="0" applyFont="1" applyFill="1" applyBorder="1" applyAlignment="1">
      <alignment horizontal="center" vertical="center"/>
    </xf>
    <xf numFmtId="0" fontId="14" fillId="0" borderId="0" xfId="0" applyFont="1" applyAlignment="1">
      <alignment horizontal="center"/>
    </xf>
    <xf numFmtId="0" fontId="0" fillId="0" borderId="0" xfId="0" applyAlignment="1">
      <alignment horizontal="right"/>
    </xf>
    <xf numFmtId="0" fontId="14" fillId="0" borderId="1" xfId="0" applyFont="1" applyFill="1" applyBorder="1" applyAlignment="1">
      <alignment horizontal="center"/>
    </xf>
    <xf numFmtId="164" fontId="14" fillId="0" borderId="11" xfId="0" applyNumberFormat="1" applyFont="1" applyFill="1" applyBorder="1" applyAlignment="1">
      <alignment horizontal="center"/>
    </xf>
    <xf numFmtId="164" fontId="14" fillId="0" borderId="2" xfId="0" applyNumberFormat="1" applyFont="1" applyFill="1" applyBorder="1" applyAlignment="1">
      <alignment horizontal="center"/>
    </xf>
    <xf numFmtId="164" fontId="14" fillId="0" borderId="1" xfId="0" applyNumberFormat="1" applyFont="1" applyFill="1" applyBorder="1" applyAlignment="1">
      <alignment horizontal="center"/>
    </xf>
    <xf numFmtId="164" fontId="14" fillId="0" borderId="3" xfId="0" applyNumberFormat="1" applyFont="1" applyFill="1" applyBorder="1" applyAlignment="1">
      <alignment horizontal="center"/>
    </xf>
    <xf numFmtId="0" fontId="14" fillId="0" borderId="3" xfId="0" applyFont="1" applyFill="1" applyBorder="1" applyAlignment="1">
      <alignment horizontal="center"/>
    </xf>
    <xf numFmtId="1" fontId="14" fillId="0" borderId="1" xfId="0" applyNumberFormat="1" applyFont="1" applyFill="1" applyBorder="1" applyAlignment="1">
      <alignment horizontal="center"/>
    </xf>
    <xf numFmtId="1" fontId="14" fillId="0" borderId="2" xfId="0" applyNumberFormat="1" applyFont="1" applyFill="1" applyBorder="1" applyAlignment="1">
      <alignment horizontal="center"/>
    </xf>
    <xf numFmtId="1" fontId="14" fillId="0" borderId="11" xfId="0" applyNumberFormat="1" applyFont="1" applyFill="1" applyBorder="1" applyAlignment="1">
      <alignment horizontal="center"/>
    </xf>
    <xf numFmtId="1" fontId="14" fillId="0" borderId="3" xfId="0" applyNumberFormat="1" applyFont="1" applyFill="1" applyBorder="1" applyAlignment="1">
      <alignment horizontal="center"/>
    </xf>
    <xf numFmtId="0" fontId="14" fillId="0" borderId="12" xfId="0" applyFont="1" applyFill="1" applyBorder="1" applyAlignment="1">
      <alignment horizontal="center"/>
    </xf>
    <xf numFmtId="1" fontId="14" fillId="5" borderId="3" xfId="0" applyNumberFormat="1" applyFont="1" applyFill="1" applyBorder="1" applyAlignment="1">
      <alignment horizontal="center"/>
    </xf>
    <xf numFmtId="0" fontId="14" fillId="0" borderId="18" xfId="0" applyFont="1" applyFill="1" applyBorder="1" applyAlignment="1">
      <alignment horizontal="center"/>
    </xf>
    <xf numFmtId="165" fontId="14" fillId="0" borderId="20" xfId="0" quotePrefix="1" applyNumberFormat="1" applyFont="1" applyFill="1" applyBorder="1" applyAlignment="1">
      <alignment horizontal="center"/>
    </xf>
    <xf numFmtId="165" fontId="14" fillId="0" borderId="17" xfId="0" quotePrefix="1" applyNumberFormat="1" applyFont="1" applyFill="1" applyBorder="1" applyAlignment="1">
      <alignment horizontal="center"/>
    </xf>
    <xf numFmtId="165" fontId="14" fillId="0" borderId="16" xfId="0" quotePrefix="1" applyNumberFormat="1" applyFont="1" applyFill="1" applyBorder="1" applyAlignment="1">
      <alignment horizontal="center"/>
    </xf>
    <xf numFmtId="165" fontId="14" fillId="0" borderId="19" xfId="0" quotePrefix="1" applyNumberFormat="1" applyFont="1" applyFill="1" applyBorder="1" applyAlignment="1">
      <alignment horizontal="center"/>
    </xf>
    <xf numFmtId="2" fontId="14" fillId="6" borderId="2" xfId="0" applyNumberFormat="1" applyFont="1" applyFill="1" applyBorder="1" applyAlignment="1">
      <alignment horizontal="center"/>
    </xf>
    <xf numFmtId="2" fontId="14" fillId="6" borderId="1" xfId="0" applyNumberFormat="1" applyFont="1" applyFill="1" applyBorder="1" applyAlignment="1">
      <alignment horizontal="center"/>
    </xf>
    <xf numFmtId="2" fontId="14" fillId="6" borderId="11" xfId="0" applyNumberFormat="1" applyFont="1" applyFill="1" applyBorder="1" applyAlignment="1">
      <alignment horizontal="center"/>
    </xf>
    <xf numFmtId="1" fontId="14" fillId="6" borderId="1" xfId="0" applyNumberFormat="1" applyFont="1" applyFill="1" applyBorder="1" applyAlignment="1">
      <alignment horizontal="center"/>
    </xf>
    <xf numFmtId="1" fontId="14" fillId="6" borderId="2" xfId="0" applyNumberFormat="1" applyFont="1" applyFill="1" applyBorder="1" applyAlignment="1">
      <alignment horizontal="center"/>
    </xf>
    <xf numFmtId="1" fontId="14" fillId="6" borderId="11" xfId="0" applyNumberFormat="1" applyFont="1" applyFill="1" applyBorder="1" applyAlignment="1">
      <alignment horizontal="center"/>
    </xf>
    <xf numFmtId="2" fontId="14" fillId="6" borderId="0" xfId="0" applyNumberFormat="1" applyFont="1" applyFill="1" applyBorder="1" applyAlignment="1">
      <alignment horizontal="center"/>
    </xf>
    <xf numFmtId="165" fontId="14" fillId="6" borderId="1" xfId="0" applyNumberFormat="1" applyFont="1" applyFill="1" applyBorder="1" applyAlignment="1">
      <alignment horizontal="center"/>
    </xf>
    <xf numFmtId="164" fontId="14" fillId="6" borderId="1" xfId="0" applyNumberFormat="1" applyFont="1" applyFill="1" applyBorder="1" applyAlignment="1">
      <alignment horizontal="center"/>
    </xf>
    <xf numFmtId="164" fontId="14" fillId="6" borderId="3" xfId="0" applyNumberFormat="1" applyFont="1" applyFill="1" applyBorder="1" applyAlignment="1">
      <alignment horizontal="center"/>
    </xf>
    <xf numFmtId="1" fontId="14" fillId="6" borderId="3" xfId="0" applyNumberFormat="1" applyFont="1" applyFill="1" applyBorder="1" applyAlignment="1">
      <alignment horizontal="center"/>
    </xf>
    <xf numFmtId="165" fontId="14" fillId="6" borderId="1" xfId="0" quotePrefix="1" applyNumberFormat="1" applyFont="1" applyFill="1" applyBorder="1" applyAlignment="1">
      <alignment horizontal="center"/>
    </xf>
    <xf numFmtId="165" fontId="14" fillId="6" borderId="2" xfId="0" quotePrefix="1" applyNumberFormat="1" applyFont="1" applyFill="1" applyBorder="1" applyAlignment="1">
      <alignment horizontal="center"/>
    </xf>
    <xf numFmtId="165" fontId="14" fillId="6" borderId="11" xfId="0" quotePrefix="1" applyNumberFormat="1" applyFont="1" applyFill="1" applyBorder="1" applyAlignment="1">
      <alignment horizontal="center"/>
    </xf>
    <xf numFmtId="0" fontId="14" fillId="0" borderId="4" xfId="0" applyFont="1" applyFill="1" applyBorder="1" applyAlignment="1">
      <alignment horizontal="center"/>
    </xf>
    <xf numFmtId="0" fontId="14" fillId="6" borderId="0" xfId="0" applyFont="1" applyFill="1" applyBorder="1" applyAlignment="1">
      <alignment horizontal="center" vertical="center"/>
    </xf>
    <xf numFmtId="164" fontId="14" fillId="6" borderId="0" xfId="0" applyNumberFormat="1" applyFont="1" applyFill="1" applyBorder="1" applyAlignment="1">
      <alignment horizontal="center"/>
    </xf>
    <xf numFmtId="1" fontId="14" fillId="6" borderId="0" xfId="0" applyNumberFormat="1" applyFont="1" applyFill="1" applyBorder="1" applyAlignment="1">
      <alignment horizontal="center"/>
    </xf>
    <xf numFmtId="1" fontId="14" fillId="5" borderId="2" xfId="0" applyNumberFormat="1" applyFont="1" applyFill="1" applyBorder="1" applyAlignment="1">
      <alignment horizontal="center"/>
    </xf>
    <xf numFmtId="1" fontId="14" fillId="5" borderId="1" xfId="0" applyNumberFormat="1" applyFont="1" applyFill="1" applyBorder="1" applyAlignment="1">
      <alignment horizontal="center"/>
    </xf>
    <xf numFmtId="2" fontId="14" fillId="6" borderId="2" xfId="0" quotePrefix="1" applyNumberFormat="1" applyFont="1" applyFill="1" applyBorder="1" applyAlignment="1">
      <alignment horizontal="center"/>
    </xf>
    <xf numFmtId="3" fontId="14" fillId="6" borderId="7" xfId="0" applyNumberFormat="1" applyFont="1" applyFill="1" applyBorder="1" applyAlignment="1">
      <alignment horizontal="center"/>
    </xf>
    <xf numFmtId="3" fontId="14" fillId="6" borderId="0" xfId="0" applyNumberFormat="1" applyFont="1" applyFill="1" applyBorder="1" applyAlignment="1">
      <alignment horizontal="center"/>
    </xf>
    <xf numFmtId="3" fontId="14" fillId="6" borderId="8" xfId="0" applyNumberFormat="1" applyFont="1" applyFill="1" applyBorder="1" applyAlignment="1">
      <alignment horizontal="center"/>
    </xf>
    <xf numFmtId="3" fontId="14" fillId="6" borderId="2" xfId="0" applyNumberFormat="1" applyFont="1" applyFill="1" applyBorder="1" applyAlignment="1">
      <alignment horizontal="center"/>
    </xf>
    <xf numFmtId="3" fontId="14" fillId="6" borderId="1" xfId="0" applyNumberFormat="1" applyFont="1" applyFill="1" applyBorder="1" applyAlignment="1">
      <alignment horizontal="center"/>
    </xf>
    <xf numFmtId="3" fontId="14" fillId="6" borderId="11" xfId="0" applyNumberFormat="1" applyFont="1" applyFill="1" applyBorder="1" applyAlignment="1">
      <alignment horizontal="center"/>
    </xf>
    <xf numFmtId="3" fontId="14" fillId="6" borderId="4" xfId="0" applyNumberFormat="1" applyFont="1" applyFill="1" applyBorder="1" applyAlignment="1">
      <alignment horizontal="center"/>
    </xf>
    <xf numFmtId="3" fontId="14" fillId="6" borderId="5" xfId="0" applyNumberFormat="1" applyFont="1" applyFill="1" applyBorder="1" applyAlignment="1">
      <alignment horizontal="center"/>
    </xf>
    <xf numFmtId="3" fontId="14" fillId="6" borderId="6" xfId="0" applyNumberFormat="1" applyFont="1" applyFill="1" applyBorder="1" applyAlignment="1">
      <alignment horizontal="center"/>
    </xf>
    <xf numFmtId="3" fontId="14" fillId="6" borderId="2" xfId="0" quotePrefix="1" applyNumberFormat="1" applyFont="1" applyFill="1" applyBorder="1" applyAlignment="1">
      <alignment horizontal="center"/>
    </xf>
    <xf numFmtId="0" fontId="14" fillId="0" borderId="7" xfId="0" applyFont="1" applyFill="1" applyBorder="1" applyAlignment="1">
      <alignment horizontal="center"/>
    </xf>
    <xf numFmtId="165" fontId="14" fillId="6" borderId="9" xfId="0" quotePrefix="1" applyNumberFormat="1" applyFont="1" applyFill="1" applyBorder="1" applyAlignment="1">
      <alignment horizontal="center"/>
    </xf>
    <xf numFmtId="165" fontId="14" fillId="6" borderId="10" xfId="0" quotePrefix="1" applyNumberFormat="1" applyFont="1" applyFill="1" applyBorder="1" applyAlignment="1">
      <alignment horizontal="center"/>
    </xf>
    <xf numFmtId="165" fontId="14" fillId="6" borderId="15" xfId="0" quotePrefix="1" applyNumberFormat="1" applyFont="1" applyFill="1" applyBorder="1" applyAlignment="1">
      <alignment horizontal="center"/>
    </xf>
    <xf numFmtId="3" fontId="14" fillId="2" borderId="2" xfId="0" applyNumberFormat="1" applyFont="1" applyFill="1" applyBorder="1" applyAlignment="1">
      <alignment horizontal="center"/>
    </xf>
    <xf numFmtId="3" fontId="14" fillId="2" borderId="11" xfId="0" applyNumberFormat="1" applyFont="1" applyFill="1" applyBorder="1" applyAlignment="1">
      <alignment horizontal="center"/>
    </xf>
    <xf numFmtId="3" fontId="14" fillId="2" borderId="1" xfId="0" applyNumberFormat="1" applyFont="1" applyFill="1" applyBorder="1" applyAlignment="1">
      <alignment horizontal="center"/>
    </xf>
    <xf numFmtId="3" fontId="14" fillId="2" borderId="2" xfId="0" quotePrefix="1" applyNumberFormat="1" applyFont="1" applyFill="1" applyBorder="1" applyAlignment="1">
      <alignment horizontal="center"/>
    </xf>
    <xf numFmtId="165" fontId="14" fillId="2" borderId="11" xfId="0" quotePrefix="1" applyNumberFormat="1" applyFont="1" applyFill="1" applyBorder="1" applyAlignment="1">
      <alignment horizontal="center"/>
    </xf>
    <xf numFmtId="165" fontId="14" fillId="2" borderId="2" xfId="0" quotePrefix="1" applyNumberFormat="1" applyFont="1" applyFill="1" applyBorder="1" applyAlignment="1">
      <alignment horizontal="center"/>
    </xf>
    <xf numFmtId="165" fontId="14" fillId="2" borderId="3" xfId="0" quotePrefix="1" applyNumberFormat="1" applyFont="1" applyFill="1" applyBorder="1" applyAlignment="1">
      <alignment horizontal="center"/>
    </xf>
    <xf numFmtId="3" fontId="14" fillId="2" borderId="3" xfId="0" applyNumberFormat="1" applyFont="1" applyFill="1" applyBorder="1" applyAlignment="1">
      <alignment horizontal="center"/>
    </xf>
    <xf numFmtId="0" fontId="0" fillId="0" borderId="0" xfId="0" quotePrefix="1" applyAlignment="1">
      <alignment horizontal="center"/>
    </xf>
    <xf numFmtId="0" fontId="14" fillId="2" borderId="7" xfId="0" applyFont="1" applyFill="1" applyBorder="1" applyAlignment="1">
      <alignment horizontal="left"/>
    </xf>
    <xf numFmtId="0" fontId="14" fillId="2" borderId="0" xfId="0" applyFont="1" applyFill="1" applyBorder="1" applyAlignment="1">
      <alignment horizontal="left"/>
    </xf>
    <xf numFmtId="0" fontId="14" fillId="2" borderId="8" xfId="0" applyFont="1" applyFill="1" applyBorder="1" applyAlignment="1">
      <alignment horizontal="left"/>
    </xf>
    <xf numFmtId="0" fontId="14" fillId="0" borderId="4" xfId="0" applyFont="1" applyFill="1" applyBorder="1" applyAlignment="1">
      <alignment horizontal="left"/>
    </xf>
    <xf numFmtId="0" fontId="14" fillId="0" borderId="5" xfId="0" applyFont="1" applyFill="1" applyBorder="1" applyAlignment="1">
      <alignment horizontal="left"/>
    </xf>
    <xf numFmtId="0" fontId="14" fillId="0" borderId="6" xfId="0" applyFont="1" applyFill="1" applyBorder="1" applyAlignment="1">
      <alignment horizontal="left"/>
    </xf>
    <xf numFmtId="0" fontId="4" fillId="5" borderId="1" xfId="0" applyFont="1" applyFill="1" applyBorder="1" applyAlignment="1">
      <alignment horizontal="center"/>
    </xf>
    <xf numFmtId="0" fontId="4" fillId="5" borderId="2" xfId="0" applyFont="1" applyFill="1" applyBorder="1" applyAlignment="1">
      <alignment horizontal="center"/>
    </xf>
    <xf numFmtId="0" fontId="4" fillId="5" borderId="11" xfId="0" applyFont="1" applyFill="1" applyBorder="1" applyAlignment="1">
      <alignment horizontal="center"/>
    </xf>
    <xf numFmtId="0" fontId="14" fillId="0" borderId="9" xfId="0" applyFont="1" applyFill="1" applyBorder="1" applyAlignment="1">
      <alignment horizontal="left"/>
    </xf>
    <xf numFmtId="0" fontId="14" fillId="0" borderId="10" xfId="0" applyFont="1" applyFill="1" applyBorder="1" applyAlignment="1">
      <alignment horizontal="left"/>
    </xf>
    <xf numFmtId="0" fontId="14" fillId="0" borderId="15" xfId="0" applyFont="1" applyFill="1" applyBorder="1" applyAlignment="1">
      <alignment horizontal="left"/>
    </xf>
    <xf numFmtId="0" fontId="14" fillId="0" borderId="7" xfId="0" applyFont="1" applyFill="1" applyBorder="1" applyAlignment="1">
      <alignment horizontal="left"/>
    </xf>
    <xf numFmtId="0" fontId="14" fillId="0" borderId="0" xfId="0" applyFont="1" applyFill="1" applyBorder="1" applyAlignment="1">
      <alignment horizontal="left"/>
    </xf>
    <xf numFmtId="0" fontId="14" fillId="0" borderId="8" xfId="0" applyFont="1" applyFill="1" applyBorder="1" applyAlignment="1">
      <alignment horizontal="left"/>
    </xf>
    <xf numFmtId="0" fontId="14" fillId="0" borderId="1" xfId="0" applyFont="1" applyFill="1" applyBorder="1" applyAlignment="1">
      <alignment horizontal="left"/>
    </xf>
    <xf numFmtId="0" fontId="14" fillId="0" borderId="2" xfId="0" applyFont="1" applyFill="1" applyBorder="1" applyAlignment="1">
      <alignment horizontal="left"/>
    </xf>
    <xf numFmtId="0" fontId="14" fillId="0" borderId="11" xfId="0" applyFont="1" applyFill="1" applyBorder="1" applyAlignment="1">
      <alignment horizontal="left"/>
    </xf>
    <xf numFmtId="0" fontId="14" fillId="0" borderId="1" xfId="0" applyFont="1" applyFill="1" applyBorder="1" applyAlignment="1">
      <alignment horizontal="left" wrapText="1"/>
    </xf>
    <xf numFmtId="0" fontId="14" fillId="0" borderId="2" xfId="0" applyFont="1" applyFill="1" applyBorder="1" applyAlignment="1">
      <alignment horizontal="left" wrapText="1"/>
    </xf>
    <xf numFmtId="0" fontId="17" fillId="5" borderId="1" xfId="0" applyFont="1" applyFill="1" applyBorder="1" applyAlignment="1">
      <alignment horizontal="center"/>
    </xf>
    <xf numFmtId="0" fontId="17" fillId="5" borderId="2" xfId="0" applyFont="1" applyFill="1" applyBorder="1" applyAlignment="1">
      <alignment horizontal="center"/>
    </xf>
    <xf numFmtId="0" fontId="17" fillId="5" borderId="11" xfId="0" applyFont="1" applyFill="1" applyBorder="1" applyAlignment="1">
      <alignment horizontal="center"/>
    </xf>
    <xf numFmtId="0" fontId="14" fillId="2" borderId="4" xfId="0" applyFont="1" applyFill="1" applyBorder="1" applyAlignment="1">
      <alignment horizontal="left"/>
    </xf>
    <xf numFmtId="0" fontId="14" fillId="2" borderId="5" xfId="0" applyFont="1" applyFill="1" applyBorder="1" applyAlignment="1">
      <alignment horizontal="left"/>
    </xf>
    <xf numFmtId="0" fontId="14" fillId="2" borderId="6" xfId="0" applyFont="1" applyFill="1" applyBorder="1" applyAlignment="1">
      <alignment horizontal="left"/>
    </xf>
    <xf numFmtId="0" fontId="14" fillId="2" borderId="9" xfId="0" applyFont="1" applyFill="1" applyBorder="1" applyAlignment="1">
      <alignment horizontal="left"/>
    </xf>
    <xf numFmtId="0" fontId="14" fillId="2" borderId="10" xfId="0" applyFont="1" applyFill="1" applyBorder="1" applyAlignment="1">
      <alignment horizontal="left"/>
    </xf>
    <xf numFmtId="0" fontId="14" fillId="2" borderId="15" xfId="0" applyFont="1" applyFill="1" applyBorder="1" applyAlignment="1">
      <alignment horizontal="left"/>
    </xf>
    <xf numFmtId="0" fontId="16" fillId="5" borderId="1" xfId="0" applyFont="1" applyFill="1" applyBorder="1" applyAlignment="1">
      <alignment horizontal="left"/>
    </xf>
    <xf numFmtId="0" fontId="16" fillId="5" borderId="2" xfId="0" applyFont="1" applyFill="1" applyBorder="1" applyAlignment="1">
      <alignment horizontal="left"/>
    </xf>
    <xf numFmtId="0" fontId="16" fillId="5" borderId="11" xfId="0" applyFont="1" applyFill="1" applyBorder="1" applyAlignment="1">
      <alignment horizontal="left"/>
    </xf>
    <xf numFmtId="0" fontId="14" fillId="6" borderId="2" xfId="0" applyFont="1" applyFill="1" applyBorder="1" applyAlignment="1">
      <alignment horizontal="center"/>
    </xf>
    <xf numFmtId="0" fontId="14" fillId="2" borderId="1" xfId="0" applyFont="1" applyFill="1" applyBorder="1" applyAlignment="1">
      <alignment horizontal="left"/>
    </xf>
    <xf numFmtId="0" fontId="14" fillId="2" borderId="2" xfId="0" applyFont="1" applyFill="1" applyBorder="1" applyAlignment="1">
      <alignment horizontal="left"/>
    </xf>
    <xf numFmtId="0" fontId="14" fillId="2" borderId="11" xfId="0" applyFont="1" applyFill="1" applyBorder="1" applyAlignment="1">
      <alignment horizontal="left"/>
    </xf>
    <xf numFmtId="0" fontId="4" fillId="5" borderId="4" xfId="0" applyFont="1" applyFill="1" applyBorder="1" applyAlignment="1">
      <alignment horizontal="center"/>
    </xf>
    <xf numFmtId="0" fontId="4" fillId="5" borderId="5" xfId="0" applyFont="1" applyFill="1" applyBorder="1" applyAlignment="1">
      <alignment horizontal="center"/>
    </xf>
    <xf numFmtId="0" fontId="4" fillId="5" borderId="6" xfId="0" applyFont="1" applyFill="1" applyBorder="1" applyAlignment="1">
      <alignment horizontal="center"/>
    </xf>
    <xf numFmtId="0" fontId="14" fillId="6" borderId="2" xfId="0" applyFont="1" applyFill="1" applyBorder="1" applyAlignment="1">
      <alignment horizontal="center" vertical="center"/>
    </xf>
    <xf numFmtId="17" fontId="14" fillId="6" borderId="12" xfId="0" quotePrefix="1" applyNumberFormat="1" applyFont="1" applyFill="1" applyBorder="1" applyAlignment="1">
      <alignment horizontal="center" vertical="center"/>
    </xf>
    <xf numFmtId="17" fontId="14" fillId="6" borderId="13" xfId="0" quotePrefix="1" applyNumberFormat="1" applyFont="1" applyFill="1" applyBorder="1" applyAlignment="1">
      <alignment horizontal="center" vertical="center"/>
    </xf>
    <xf numFmtId="17" fontId="14" fillId="6" borderId="14" xfId="0" quotePrefix="1" applyNumberFormat="1" applyFont="1" applyFill="1" applyBorder="1" applyAlignment="1">
      <alignment horizontal="center" vertical="center"/>
    </xf>
    <xf numFmtId="0" fontId="14" fillId="0" borderId="1" xfId="0" applyFont="1" applyFill="1" applyBorder="1" applyAlignment="1">
      <alignment horizontal="center"/>
    </xf>
    <xf numFmtId="0" fontId="14" fillId="0" borderId="11" xfId="0" applyFont="1" applyFill="1" applyBorder="1" applyAlignment="1">
      <alignment horizontal="center"/>
    </xf>
    <xf numFmtId="0" fontId="14" fillId="0" borderId="13" xfId="0" applyFont="1" applyFill="1" applyBorder="1" applyAlignment="1">
      <alignment horizontal="center" vertical="center"/>
    </xf>
    <xf numFmtId="0" fontId="14" fillId="0" borderId="14" xfId="0" applyFont="1" applyFill="1" applyBorder="1" applyAlignment="1">
      <alignment horizontal="center" vertical="center"/>
    </xf>
    <xf numFmtId="0" fontId="14" fillId="6" borderId="4" xfId="0" applyFont="1" applyFill="1" applyBorder="1" applyAlignment="1">
      <alignment horizontal="center" vertical="center"/>
    </xf>
    <xf numFmtId="0" fontId="14" fillId="6" borderId="7" xfId="0" applyFont="1" applyFill="1" applyBorder="1" applyAlignment="1">
      <alignment horizontal="center" vertical="center"/>
    </xf>
    <xf numFmtId="0" fontId="14" fillId="6" borderId="9" xfId="0" applyFont="1" applyFill="1" applyBorder="1" applyAlignment="1">
      <alignment horizontal="center" vertical="center"/>
    </xf>
    <xf numFmtId="17" fontId="14" fillId="6" borderId="4" xfId="0" quotePrefix="1" applyNumberFormat="1" applyFont="1" applyFill="1" applyBorder="1" applyAlignment="1">
      <alignment horizontal="center" vertical="center"/>
    </xf>
    <xf numFmtId="17" fontId="14" fillId="6" borderId="7" xfId="0" quotePrefix="1" applyNumberFormat="1" applyFont="1" applyFill="1" applyBorder="1" applyAlignment="1">
      <alignment horizontal="center" vertical="center"/>
    </xf>
    <xf numFmtId="0" fontId="14" fillId="0" borderId="12" xfId="0" applyFont="1" applyFill="1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3" fillId="4" borderId="1" xfId="0" applyFont="1" applyFill="1" applyBorder="1" applyAlignment="1">
      <alignment horizontal="left" vertical="center"/>
    </xf>
    <xf numFmtId="0" fontId="3" fillId="4" borderId="2" xfId="0" applyFont="1" applyFill="1" applyBorder="1" applyAlignment="1">
      <alignment horizontal="left" vertical="center"/>
    </xf>
    <xf numFmtId="0" fontId="3" fillId="4" borderId="11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3" fillId="3" borderId="2" xfId="0" applyFont="1" applyFill="1" applyBorder="1" applyAlignment="1">
      <alignment horizontal="left" vertical="center"/>
    </xf>
    <xf numFmtId="0" fontId="3" fillId="3" borderId="11" xfId="0" applyFont="1" applyFill="1" applyBorder="1" applyAlignment="1">
      <alignment horizontal="left" vertical="center"/>
    </xf>
    <xf numFmtId="0" fontId="9" fillId="2" borderId="1" xfId="0" applyFont="1" applyFill="1" applyBorder="1" applyAlignment="1">
      <alignment horizontal="left"/>
    </xf>
    <xf numFmtId="0" fontId="9" fillId="2" borderId="2" xfId="0" applyFont="1" applyFill="1" applyBorder="1" applyAlignment="1">
      <alignment horizontal="left"/>
    </xf>
    <xf numFmtId="0" fontId="9" fillId="2" borderId="11" xfId="0" applyFont="1" applyFill="1" applyBorder="1" applyAlignment="1">
      <alignment horizontal="left"/>
    </xf>
    <xf numFmtId="0" fontId="9" fillId="2" borderId="4" xfId="0" applyFont="1" applyFill="1" applyBorder="1" applyAlignment="1">
      <alignment horizontal="left"/>
    </xf>
    <xf numFmtId="0" fontId="12" fillId="2" borderId="2" xfId="0" applyFont="1" applyFill="1" applyBorder="1" applyAlignment="1">
      <alignment horizontal="left"/>
    </xf>
    <xf numFmtId="0" fontId="12" fillId="2" borderId="11" xfId="0" applyFont="1" applyFill="1" applyBorder="1" applyAlignment="1">
      <alignment horizontal="left"/>
    </xf>
    <xf numFmtId="0" fontId="8" fillId="2" borderId="5" xfId="0" applyFont="1" applyFill="1" applyBorder="1" applyAlignment="1">
      <alignment horizontal="left"/>
    </xf>
    <xf numFmtId="0" fontId="8" fillId="2" borderId="6" xfId="0" applyFont="1" applyFill="1" applyBorder="1" applyAlignment="1">
      <alignment horizontal="left"/>
    </xf>
    <xf numFmtId="0" fontId="3" fillId="3" borderId="4" xfId="0" applyFont="1" applyFill="1" applyBorder="1" applyAlignment="1">
      <alignment horizontal="left" vertical="center"/>
    </xf>
    <xf numFmtId="0" fontId="3" fillId="3" borderId="5" xfId="0" applyFont="1" applyFill="1" applyBorder="1" applyAlignment="1">
      <alignment horizontal="left" vertical="center"/>
    </xf>
    <xf numFmtId="0" fontId="3" fillId="3" borderId="6" xfId="0" applyFont="1" applyFill="1" applyBorder="1" applyAlignment="1">
      <alignment horizontal="left" vertical="center"/>
    </xf>
    <xf numFmtId="0" fontId="9" fillId="2" borderId="7" xfId="0" applyFont="1" applyFill="1" applyBorder="1" applyAlignment="1">
      <alignment horizontal="left"/>
    </xf>
    <xf numFmtId="0" fontId="12" fillId="2" borderId="10" xfId="0" applyFont="1" applyFill="1" applyBorder="1" applyAlignment="1">
      <alignment horizontal="left"/>
    </xf>
    <xf numFmtId="0" fontId="12" fillId="2" borderId="15" xfId="0" applyFont="1" applyFill="1" applyBorder="1" applyAlignment="1">
      <alignment horizontal="left"/>
    </xf>
    <xf numFmtId="0" fontId="13" fillId="2" borderId="1" xfId="0" quotePrefix="1" applyFont="1" applyFill="1" applyBorder="1" applyAlignment="1">
      <alignment horizontal="center" vertical="center"/>
    </xf>
    <xf numFmtId="0" fontId="13" fillId="2" borderId="2" xfId="0" applyFont="1" applyFill="1" applyBorder="1" applyAlignment="1">
      <alignment horizontal="center" vertical="center"/>
    </xf>
    <xf numFmtId="0" fontId="13" fillId="2" borderId="10" xfId="0" applyFont="1" applyFill="1" applyBorder="1" applyAlignment="1">
      <alignment horizontal="center" vertical="center"/>
    </xf>
    <xf numFmtId="0" fontId="13" fillId="2" borderId="15" xfId="0" applyFont="1" applyFill="1" applyBorder="1" applyAlignment="1">
      <alignment horizontal="center" vertical="center"/>
    </xf>
    <xf numFmtId="0" fontId="10" fillId="2" borderId="1" xfId="0" applyFont="1" applyFill="1" applyBorder="1" applyAlignment="1">
      <alignment horizontal="center" vertical="center"/>
    </xf>
    <xf numFmtId="0" fontId="10" fillId="2" borderId="2" xfId="0" applyFont="1" applyFill="1" applyBorder="1" applyAlignment="1">
      <alignment horizontal="center" vertical="center"/>
    </xf>
    <xf numFmtId="0" fontId="10" fillId="2" borderId="11" xfId="0" applyFont="1" applyFill="1" applyBorder="1" applyAlignment="1">
      <alignment horizontal="center" vertical="center"/>
    </xf>
    <xf numFmtId="0" fontId="3" fillId="3" borderId="10" xfId="0" applyFont="1" applyFill="1" applyBorder="1" applyAlignment="1">
      <alignment horizontal="left" vertical="center"/>
    </xf>
    <xf numFmtId="0" fontId="3" fillId="3" borderId="15" xfId="0" applyFont="1" applyFill="1" applyBorder="1" applyAlignment="1">
      <alignment horizontal="left" vertical="center"/>
    </xf>
    <xf numFmtId="0" fontId="3" fillId="3" borderId="9" xfId="0" applyFont="1" applyFill="1" applyBorder="1" applyAlignment="1">
      <alignment horizontal="left" vertical="center"/>
    </xf>
    <xf numFmtId="0" fontId="0" fillId="3" borderId="12" xfId="0" applyFill="1" applyBorder="1" applyAlignment="1">
      <alignment horizontal="center" vertical="center"/>
    </xf>
    <xf numFmtId="0" fontId="0" fillId="3" borderId="14" xfId="0" applyFill="1" applyBorder="1" applyAlignment="1">
      <alignment horizontal="center" vertical="center"/>
    </xf>
    <xf numFmtId="0" fontId="3" fillId="3" borderId="2" xfId="0" applyFont="1" applyFill="1" applyBorder="1" applyAlignment="1">
      <alignment horizontal="left" vertical="top"/>
    </xf>
    <xf numFmtId="0" fontId="3" fillId="3" borderId="11" xfId="0" applyFont="1" applyFill="1" applyBorder="1" applyAlignment="1">
      <alignment horizontal="left" vertical="top"/>
    </xf>
    <xf numFmtId="0" fontId="0" fillId="3" borderId="2" xfId="0" applyFill="1" applyBorder="1" applyAlignment="1">
      <alignment horizontal="left"/>
    </xf>
    <xf numFmtId="0" fontId="0" fillId="3" borderId="11" xfId="0" applyFill="1" applyBorder="1" applyAlignment="1">
      <alignment horizontal="left"/>
    </xf>
    <xf numFmtId="0" fontId="8" fillId="2" borderId="0" xfId="0" applyFont="1" applyFill="1" applyBorder="1" applyAlignment="1">
      <alignment horizontal="left"/>
    </xf>
    <xf numFmtId="0" fontId="8" fillId="2" borderId="8" xfId="0" applyFont="1" applyFill="1" applyBorder="1" applyAlignment="1">
      <alignment horizontal="left"/>
    </xf>
    <xf numFmtId="0" fontId="9" fillId="2" borderId="5" xfId="0" applyFont="1" applyFill="1" applyBorder="1" applyAlignment="1">
      <alignment horizontal="left"/>
    </xf>
    <xf numFmtId="0" fontId="9" fillId="2" borderId="6" xfId="0" applyFont="1" applyFill="1" applyBorder="1" applyAlignment="1">
      <alignment horizontal="left"/>
    </xf>
    <xf numFmtId="0" fontId="10" fillId="2" borderId="7" xfId="0" applyFont="1" applyFill="1" applyBorder="1" applyAlignment="1">
      <alignment horizontal="center" vertical="center"/>
    </xf>
    <xf numFmtId="0" fontId="10" fillId="2" borderId="5" xfId="0" applyFont="1" applyFill="1" applyBorder="1" applyAlignment="1">
      <alignment horizontal="center" vertical="center"/>
    </xf>
    <xf numFmtId="0" fontId="10" fillId="2" borderId="6" xfId="0" applyFont="1" applyFill="1" applyBorder="1" applyAlignment="1">
      <alignment horizontal="center" vertical="center"/>
    </xf>
    <xf numFmtId="0" fontId="9" fillId="2" borderId="9" xfId="0" applyFont="1" applyFill="1" applyBorder="1" applyAlignment="1">
      <alignment horizontal="left"/>
    </xf>
    <xf numFmtId="0" fontId="12" fillId="2" borderId="5" xfId="0" applyFont="1" applyFill="1" applyBorder="1" applyAlignment="1">
      <alignment horizontal="left"/>
    </xf>
    <xf numFmtId="0" fontId="12" fillId="2" borderId="6" xfId="0" applyFont="1" applyFill="1" applyBorder="1" applyAlignment="1">
      <alignment horizontal="left"/>
    </xf>
    <xf numFmtId="0" fontId="8" fillId="2" borderId="10" xfId="0" applyFont="1" applyFill="1" applyBorder="1" applyAlignment="1">
      <alignment horizontal="left"/>
    </xf>
    <xf numFmtId="0" fontId="8" fillId="2" borderId="15" xfId="0" applyFont="1" applyFill="1" applyBorder="1" applyAlignment="1">
      <alignment horizontal="left"/>
    </xf>
    <xf numFmtId="0" fontId="3" fillId="2" borderId="2" xfId="0" applyFont="1" applyFill="1" applyBorder="1" applyAlignment="1">
      <alignment horizontal="left" vertical="center"/>
    </xf>
    <xf numFmtId="0" fontId="3" fillId="2" borderId="11" xfId="0" applyFont="1" applyFill="1" applyBorder="1" applyAlignment="1">
      <alignment horizontal="left" vertical="center"/>
    </xf>
    <xf numFmtId="0" fontId="3" fillId="3" borderId="0" xfId="0" applyFont="1" applyFill="1" applyBorder="1" applyAlignment="1">
      <alignment horizontal="left" vertical="center"/>
    </xf>
    <xf numFmtId="0" fontId="3" fillId="3" borderId="8" xfId="0" applyFont="1" applyFill="1" applyBorder="1" applyAlignment="1">
      <alignment horizontal="left" vertical="center"/>
    </xf>
    <xf numFmtId="0" fontId="13" fillId="2" borderId="11" xfId="0" applyFont="1" applyFill="1" applyBorder="1" applyAlignment="1">
      <alignment horizontal="center" vertical="center"/>
    </xf>
    <xf numFmtId="0" fontId="3" fillId="3" borderId="12" xfId="0" applyFont="1" applyFill="1" applyBorder="1" applyAlignment="1">
      <alignment horizontal="center" vertical="center"/>
    </xf>
    <xf numFmtId="0" fontId="3" fillId="3" borderId="14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left"/>
    </xf>
    <xf numFmtId="0" fontId="3" fillId="3" borderId="2" xfId="0" applyFont="1" applyFill="1" applyBorder="1" applyAlignment="1">
      <alignment horizontal="left"/>
    </xf>
    <xf numFmtId="0" fontId="3" fillId="4" borderId="9" xfId="0" applyFont="1" applyFill="1" applyBorder="1" applyAlignment="1">
      <alignment horizontal="left" vertical="center"/>
    </xf>
    <xf numFmtId="0" fontId="3" fillId="4" borderId="10" xfId="0" applyFont="1" applyFill="1" applyBorder="1" applyAlignment="1">
      <alignment horizontal="left" vertical="center"/>
    </xf>
    <xf numFmtId="0" fontId="3" fillId="4" borderId="15" xfId="0" applyFont="1" applyFill="1" applyBorder="1" applyAlignment="1">
      <alignment horizontal="left" vertical="center"/>
    </xf>
    <xf numFmtId="0" fontId="8" fillId="2" borderId="1" xfId="0" applyFont="1" applyFill="1" applyBorder="1" applyAlignment="1">
      <alignment horizontal="left"/>
    </xf>
    <xf numFmtId="0" fontId="8" fillId="2" borderId="2" xfId="0" applyFont="1" applyFill="1" applyBorder="1" applyAlignment="1">
      <alignment horizontal="left"/>
    </xf>
    <xf numFmtId="0" fontId="8" fillId="2" borderId="11" xfId="0" applyFont="1" applyFill="1" applyBorder="1" applyAlignment="1">
      <alignment horizontal="left"/>
    </xf>
    <xf numFmtId="0" fontId="18" fillId="0" borderId="7" xfId="0" applyFont="1" applyFill="1" applyBorder="1" applyAlignment="1">
      <alignment horizontal="left"/>
    </xf>
    <xf numFmtId="0" fontId="18" fillId="0" borderId="0" xfId="0" applyFont="1" applyFill="1" applyBorder="1" applyAlignment="1">
      <alignment horizontal="left"/>
    </xf>
    <xf numFmtId="0" fontId="18" fillId="0" borderId="8" xfId="0" applyFont="1" applyFill="1" applyBorder="1" applyAlignment="1">
      <alignment horizontal="left"/>
    </xf>
  </cellXfs>
  <cellStyles count="4">
    <cellStyle name="Normal" xfId="0" builtinId="0"/>
    <cellStyle name="Normal 2" xfId="2"/>
    <cellStyle name="Normal 3" xfId="1"/>
    <cellStyle name="Normal 4" xfId="3"/>
  </cellStyles>
  <dxfs count="0"/>
  <tableStyles count="0" defaultTableStyle="TableStyleMedium9" defaultPivotStyle="PivotStyleLight16"/>
  <colors>
    <mruColors>
      <color rgb="FFFFFF99"/>
      <color rgb="FFCCFFFF"/>
      <color rgb="FFFF66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54428</xdr:colOff>
      <xdr:row>66</xdr:row>
      <xdr:rowOff>0</xdr:rowOff>
    </xdr:from>
    <xdr:to>
      <xdr:col>13</xdr:col>
      <xdr:colOff>601189</xdr:colOff>
      <xdr:row>125</xdr:row>
      <xdr:rowOff>81644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9357" y="14886214"/>
          <a:ext cx="7377546" cy="97155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W72"/>
  <sheetViews>
    <sheetView tabSelected="1" topLeftCell="A16" zoomScale="145" zoomScaleNormal="145" workbookViewId="0">
      <selection activeCell="Y33" sqref="Y33"/>
    </sheetView>
  </sheetViews>
  <sheetFormatPr defaultRowHeight="12.75" x14ac:dyDescent="0.2"/>
  <cols>
    <col min="1" max="1" width="25.7109375" style="188" customWidth="1"/>
    <col min="2" max="10" width="5.7109375" style="188" customWidth="1"/>
    <col min="11" max="12" width="5.7109375" customWidth="1"/>
    <col min="13" max="13" width="5.7109375" style="91" customWidth="1"/>
    <col min="14" max="17" width="5.7109375" customWidth="1"/>
    <col min="18" max="18" width="5.7109375" style="91" customWidth="1"/>
    <col min="19" max="23" width="5.7109375" customWidth="1"/>
  </cols>
  <sheetData>
    <row r="1" spans="1:23" ht="13.5" thickBot="1" x14ac:dyDescent="0.25">
      <c r="A1" s="256" t="s">
        <v>795</v>
      </c>
      <c r="B1" s="257"/>
      <c r="C1" s="257"/>
      <c r="D1" s="257"/>
      <c r="E1" s="257"/>
      <c r="F1" s="257"/>
      <c r="G1" s="257"/>
      <c r="H1" s="257"/>
      <c r="I1" s="257"/>
      <c r="J1" s="257"/>
      <c r="K1" s="257"/>
      <c r="L1" s="257"/>
      <c r="M1" s="257"/>
      <c r="N1" s="257"/>
      <c r="O1" s="257"/>
      <c r="P1" s="257"/>
      <c r="Q1" s="257"/>
      <c r="R1" s="257"/>
      <c r="S1" s="257"/>
      <c r="T1" s="257"/>
      <c r="U1" s="257"/>
      <c r="V1" s="258"/>
      <c r="W1" s="187"/>
    </row>
    <row r="2" spans="1:23" ht="13.5" thickBot="1" x14ac:dyDescent="0.25">
      <c r="A2" s="279" t="s">
        <v>938</v>
      </c>
      <c r="B2" s="280"/>
      <c r="C2" s="280"/>
      <c r="D2" s="280"/>
      <c r="E2" s="280"/>
      <c r="F2" s="280"/>
      <c r="G2" s="280"/>
      <c r="H2" s="280"/>
      <c r="I2" s="280"/>
      <c r="J2" s="280"/>
      <c r="K2" s="280"/>
      <c r="L2" s="280"/>
      <c r="M2" s="280"/>
      <c r="N2" s="280"/>
      <c r="O2" s="280"/>
      <c r="P2" s="280"/>
      <c r="Q2" s="280"/>
      <c r="R2" s="280"/>
      <c r="S2" s="280"/>
      <c r="T2" s="280"/>
      <c r="U2" s="280"/>
      <c r="V2" s="281"/>
      <c r="W2" s="187"/>
    </row>
    <row r="3" spans="1:23" ht="13.5" thickBot="1" x14ac:dyDescent="0.25">
      <c r="A3" s="279" t="s">
        <v>944</v>
      </c>
      <c r="B3" s="280"/>
      <c r="C3" s="280"/>
      <c r="D3" s="280"/>
      <c r="E3" s="280"/>
      <c r="F3" s="280"/>
      <c r="G3" s="280"/>
      <c r="H3" s="280"/>
      <c r="I3" s="280"/>
      <c r="J3" s="280"/>
      <c r="K3" s="280"/>
      <c r="L3" s="280"/>
      <c r="M3" s="280"/>
      <c r="N3" s="280"/>
      <c r="O3" s="280"/>
      <c r="P3" s="280"/>
      <c r="Q3" s="280"/>
      <c r="R3" s="280"/>
      <c r="S3" s="280"/>
      <c r="T3" s="280"/>
      <c r="U3" s="280"/>
      <c r="V3" s="281"/>
      <c r="W3" s="187"/>
    </row>
    <row r="4" spans="1:23" ht="13.5" thickBot="1" x14ac:dyDescent="0.25">
      <c r="A4" s="279" t="s">
        <v>936</v>
      </c>
      <c r="B4" s="280"/>
      <c r="C4" s="280"/>
      <c r="D4" s="280"/>
      <c r="E4" s="280"/>
      <c r="F4" s="280"/>
      <c r="G4" s="280"/>
      <c r="H4" s="280"/>
      <c r="I4" s="280"/>
      <c r="J4" s="280"/>
      <c r="K4" s="280"/>
      <c r="L4" s="280"/>
      <c r="M4" s="280"/>
      <c r="N4" s="280"/>
      <c r="O4" s="280"/>
      <c r="P4" s="280"/>
      <c r="Q4" s="280"/>
      <c r="R4" s="280"/>
      <c r="S4" s="280"/>
      <c r="T4" s="280"/>
      <c r="U4" s="280"/>
      <c r="V4" s="281"/>
      <c r="W4" s="187"/>
    </row>
    <row r="5" spans="1:23" ht="13.5" thickBot="1" x14ac:dyDescent="0.25"/>
    <row r="6" spans="1:23" ht="15.75" thickBot="1" x14ac:dyDescent="0.3">
      <c r="A6" s="270" t="s">
        <v>940</v>
      </c>
      <c r="B6" s="271"/>
      <c r="C6" s="271"/>
      <c r="D6" s="271"/>
      <c r="E6" s="271"/>
      <c r="F6" s="271"/>
      <c r="G6" s="271"/>
      <c r="H6" s="271"/>
      <c r="I6" s="271"/>
      <c r="J6" s="271"/>
      <c r="K6" s="271"/>
      <c r="L6" s="271"/>
      <c r="M6" s="271"/>
      <c r="N6" s="271"/>
      <c r="O6" s="271"/>
      <c r="P6" s="271"/>
      <c r="Q6" s="271"/>
      <c r="R6" s="271"/>
      <c r="S6" s="271"/>
      <c r="T6" s="271"/>
      <c r="U6" s="271"/>
      <c r="V6" s="272"/>
      <c r="W6" s="187"/>
    </row>
    <row r="7" spans="1:23" ht="13.5" thickBot="1" x14ac:dyDescent="0.25">
      <c r="A7" s="256" t="s">
        <v>939</v>
      </c>
      <c r="B7" s="257"/>
      <c r="C7" s="257"/>
      <c r="D7" s="257"/>
      <c r="E7" s="257"/>
      <c r="F7" s="257"/>
      <c r="G7" s="257"/>
      <c r="H7" s="257"/>
      <c r="I7" s="257"/>
      <c r="J7" s="257"/>
      <c r="K7" s="257"/>
      <c r="L7" s="257"/>
      <c r="M7" s="257"/>
      <c r="N7" s="257"/>
      <c r="O7" s="257"/>
      <c r="P7" s="257"/>
      <c r="Q7" s="257"/>
      <c r="R7" s="257"/>
      <c r="S7" s="257"/>
      <c r="T7" s="257"/>
      <c r="U7" s="257"/>
      <c r="V7" s="258"/>
      <c r="W7" s="187"/>
    </row>
    <row r="8" spans="1:23" ht="13.5" thickBot="1" x14ac:dyDescent="0.25">
      <c r="A8" s="265" t="s">
        <v>937</v>
      </c>
      <c r="B8" s="266"/>
      <c r="C8" s="266"/>
      <c r="D8" s="266"/>
      <c r="E8" s="266"/>
      <c r="F8" s="266"/>
      <c r="G8" s="266"/>
      <c r="H8" s="266"/>
      <c r="I8" s="266"/>
      <c r="J8" s="266"/>
      <c r="K8" s="266"/>
      <c r="L8" s="266"/>
      <c r="M8" s="266"/>
      <c r="N8" s="266"/>
      <c r="O8" s="266"/>
      <c r="P8" s="266"/>
      <c r="Q8" s="266"/>
      <c r="R8" s="266"/>
      <c r="S8" s="266"/>
      <c r="T8" s="266"/>
      <c r="U8" s="266"/>
      <c r="V8" s="267"/>
      <c r="W8" s="187"/>
    </row>
    <row r="9" spans="1:23" x14ac:dyDescent="0.2">
      <c r="A9" s="253" t="s">
        <v>789</v>
      </c>
      <c r="B9" s="254"/>
      <c r="C9" s="254"/>
      <c r="D9" s="254"/>
      <c r="E9" s="254"/>
      <c r="F9" s="254"/>
      <c r="G9" s="254"/>
      <c r="H9" s="254"/>
      <c r="I9" s="254"/>
      <c r="J9" s="254"/>
      <c r="K9" s="254"/>
      <c r="L9" s="254"/>
      <c r="M9" s="254"/>
      <c r="N9" s="254"/>
      <c r="O9" s="254"/>
      <c r="P9" s="254"/>
      <c r="Q9" s="254"/>
      <c r="R9" s="254"/>
      <c r="S9" s="254"/>
      <c r="T9" s="254"/>
      <c r="U9" s="254"/>
      <c r="V9" s="255"/>
      <c r="W9" s="187"/>
    </row>
    <row r="10" spans="1:23" x14ac:dyDescent="0.2">
      <c r="A10" s="262" t="s">
        <v>790</v>
      </c>
      <c r="B10" s="263"/>
      <c r="C10" s="263"/>
      <c r="D10" s="263"/>
      <c r="E10" s="263"/>
      <c r="F10" s="263"/>
      <c r="G10" s="263"/>
      <c r="H10" s="263"/>
      <c r="I10" s="263"/>
      <c r="J10" s="263"/>
      <c r="K10" s="263"/>
      <c r="L10" s="263"/>
      <c r="M10" s="263"/>
      <c r="N10" s="263"/>
      <c r="O10" s="263"/>
      <c r="P10" s="263"/>
      <c r="Q10" s="263"/>
      <c r="R10" s="263"/>
      <c r="S10" s="263"/>
      <c r="T10" s="263"/>
      <c r="U10" s="263"/>
      <c r="V10" s="264"/>
      <c r="W10" s="187"/>
    </row>
    <row r="11" spans="1:23" ht="13.5" thickBot="1" x14ac:dyDescent="0.25">
      <c r="A11" s="259" t="s">
        <v>775</v>
      </c>
      <c r="B11" s="260"/>
      <c r="C11" s="260"/>
      <c r="D11" s="260"/>
      <c r="E11" s="260"/>
      <c r="F11" s="260"/>
      <c r="G11" s="260"/>
      <c r="H11" s="260"/>
      <c r="I11" s="260"/>
      <c r="J11" s="260"/>
      <c r="K11" s="260"/>
      <c r="L11" s="260"/>
      <c r="M11" s="260"/>
      <c r="N11" s="260"/>
      <c r="O11" s="260"/>
      <c r="P11" s="260"/>
      <c r="Q11" s="260"/>
      <c r="R11" s="260"/>
      <c r="S11" s="260"/>
      <c r="T11" s="260"/>
      <c r="U11" s="260"/>
      <c r="V11" s="261"/>
      <c r="W11" s="187"/>
    </row>
    <row r="12" spans="1:23" x14ac:dyDescent="0.2">
      <c r="A12" s="273" t="s">
        <v>788</v>
      </c>
      <c r="B12" s="274"/>
      <c r="C12" s="274"/>
      <c r="D12" s="274"/>
      <c r="E12" s="274"/>
      <c r="F12" s="274"/>
      <c r="G12" s="274"/>
      <c r="H12" s="274"/>
      <c r="I12" s="274"/>
      <c r="J12" s="274"/>
      <c r="K12" s="274"/>
      <c r="L12" s="274"/>
      <c r="M12" s="274"/>
      <c r="N12" s="274"/>
      <c r="O12" s="274"/>
      <c r="P12" s="274"/>
      <c r="Q12" s="274"/>
      <c r="R12" s="274"/>
      <c r="S12" s="274"/>
      <c r="T12" s="274"/>
      <c r="U12" s="274"/>
      <c r="V12" s="275"/>
      <c r="W12" s="187"/>
    </row>
    <row r="13" spans="1:23" x14ac:dyDescent="0.2">
      <c r="A13" s="250" t="s">
        <v>787</v>
      </c>
      <c r="B13" s="251"/>
      <c r="C13" s="251"/>
      <c r="D13" s="251"/>
      <c r="E13" s="251"/>
      <c r="F13" s="251"/>
      <c r="G13" s="251"/>
      <c r="H13" s="251"/>
      <c r="I13" s="251"/>
      <c r="J13" s="251"/>
      <c r="K13" s="251"/>
      <c r="L13" s="251"/>
      <c r="M13" s="251"/>
      <c r="N13" s="251"/>
      <c r="O13" s="251"/>
      <c r="P13" s="251"/>
      <c r="Q13" s="251"/>
      <c r="R13" s="251"/>
      <c r="S13" s="251"/>
      <c r="T13" s="251"/>
      <c r="U13" s="251"/>
      <c r="V13" s="252"/>
      <c r="W13" s="187"/>
    </row>
    <row r="14" spans="1:23" x14ac:dyDescent="0.2">
      <c r="A14" s="250" t="s">
        <v>786</v>
      </c>
      <c r="B14" s="251"/>
      <c r="C14" s="251"/>
      <c r="D14" s="251"/>
      <c r="E14" s="251"/>
      <c r="F14" s="251"/>
      <c r="G14" s="251"/>
      <c r="H14" s="251"/>
      <c r="I14" s="251"/>
      <c r="J14" s="251"/>
      <c r="K14" s="251"/>
      <c r="L14" s="251"/>
      <c r="M14" s="251"/>
      <c r="N14" s="251"/>
      <c r="O14" s="251"/>
      <c r="P14" s="251"/>
      <c r="Q14" s="251"/>
      <c r="R14" s="251"/>
      <c r="S14" s="251"/>
      <c r="T14" s="251"/>
      <c r="U14" s="251"/>
      <c r="V14" s="252"/>
      <c r="W14" s="187"/>
    </row>
    <row r="15" spans="1:23" x14ac:dyDescent="0.2">
      <c r="A15" s="250" t="s">
        <v>805</v>
      </c>
      <c r="B15" s="251"/>
      <c r="C15" s="251"/>
      <c r="D15" s="251"/>
      <c r="E15" s="251"/>
      <c r="F15" s="251"/>
      <c r="G15" s="251"/>
      <c r="H15" s="251"/>
      <c r="I15" s="251"/>
      <c r="J15" s="251"/>
      <c r="K15" s="251"/>
      <c r="L15" s="251"/>
      <c r="M15" s="251"/>
      <c r="N15" s="251"/>
      <c r="O15" s="251"/>
      <c r="P15" s="251"/>
      <c r="Q15" s="251"/>
      <c r="R15" s="251"/>
      <c r="S15" s="251"/>
      <c r="T15" s="251"/>
      <c r="U15" s="251"/>
      <c r="V15" s="252"/>
      <c r="W15" s="187"/>
    </row>
    <row r="16" spans="1:23" x14ac:dyDescent="0.2">
      <c r="A16" s="250" t="s">
        <v>894</v>
      </c>
      <c r="B16" s="251"/>
      <c r="C16" s="251"/>
      <c r="D16" s="251"/>
      <c r="E16" s="251"/>
      <c r="F16" s="251"/>
      <c r="G16" s="251"/>
      <c r="H16" s="251"/>
      <c r="I16" s="251"/>
      <c r="J16" s="251"/>
      <c r="K16" s="251"/>
      <c r="L16" s="251"/>
      <c r="M16" s="251"/>
      <c r="N16" s="251"/>
      <c r="O16" s="251"/>
      <c r="P16" s="251"/>
      <c r="Q16" s="251"/>
      <c r="R16" s="251"/>
      <c r="S16" s="251"/>
      <c r="T16" s="251"/>
      <c r="U16" s="251"/>
      <c r="V16" s="252"/>
      <c r="W16" s="187"/>
    </row>
    <row r="17" spans="1:23" ht="13.5" thickBot="1" x14ac:dyDescent="0.25">
      <c r="A17" s="250" t="s">
        <v>897</v>
      </c>
      <c r="B17" s="251"/>
      <c r="C17" s="251"/>
      <c r="D17" s="251"/>
      <c r="E17" s="251"/>
      <c r="F17" s="251"/>
      <c r="G17" s="251"/>
      <c r="H17" s="251"/>
      <c r="I17" s="251"/>
      <c r="J17" s="251"/>
      <c r="K17" s="251"/>
      <c r="L17" s="251"/>
      <c r="M17" s="251"/>
      <c r="N17" s="251"/>
      <c r="O17" s="251"/>
      <c r="P17" s="251"/>
      <c r="Q17" s="251"/>
      <c r="R17" s="251"/>
      <c r="S17" s="251"/>
      <c r="T17" s="251"/>
      <c r="U17" s="251"/>
      <c r="V17" s="252"/>
      <c r="W17" s="187"/>
    </row>
    <row r="18" spans="1:23" x14ac:dyDescent="0.2">
      <c r="A18" s="253" t="s">
        <v>792</v>
      </c>
      <c r="B18" s="254"/>
      <c r="C18" s="254"/>
      <c r="D18" s="254"/>
      <c r="E18" s="254"/>
      <c r="F18" s="254"/>
      <c r="G18" s="254"/>
      <c r="H18" s="254"/>
      <c r="I18" s="254"/>
      <c r="J18" s="254"/>
      <c r="K18" s="254"/>
      <c r="L18" s="254"/>
      <c r="M18" s="254"/>
      <c r="N18" s="254"/>
      <c r="O18" s="254"/>
      <c r="P18" s="254"/>
      <c r="Q18" s="254"/>
      <c r="R18" s="254"/>
      <c r="S18" s="254"/>
      <c r="T18" s="254"/>
      <c r="U18" s="254"/>
      <c r="V18" s="255"/>
      <c r="W18" s="187"/>
    </row>
    <row r="19" spans="1:23" x14ac:dyDescent="0.2">
      <c r="A19" s="262" t="s">
        <v>804</v>
      </c>
      <c r="B19" s="263"/>
      <c r="C19" s="263"/>
      <c r="D19" s="263"/>
      <c r="E19" s="263"/>
      <c r="F19" s="263"/>
      <c r="G19" s="263"/>
      <c r="H19" s="263"/>
      <c r="I19" s="263"/>
      <c r="J19" s="263"/>
      <c r="K19" s="263"/>
      <c r="L19" s="263"/>
      <c r="M19" s="263"/>
      <c r="N19" s="263"/>
      <c r="O19" s="263"/>
      <c r="P19" s="263"/>
      <c r="Q19" s="263"/>
      <c r="R19" s="263"/>
      <c r="S19" s="263"/>
      <c r="T19" s="263"/>
      <c r="U19" s="263"/>
      <c r="V19" s="264"/>
      <c r="W19" s="187"/>
    </row>
    <row r="20" spans="1:23" ht="13.5" thickBot="1" x14ac:dyDescent="0.25">
      <c r="A20" s="259" t="s">
        <v>801</v>
      </c>
      <c r="B20" s="260"/>
      <c r="C20" s="260"/>
      <c r="D20" s="260"/>
      <c r="E20" s="260"/>
      <c r="F20" s="260"/>
      <c r="G20" s="260"/>
      <c r="H20" s="260"/>
      <c r="I20" s="260"/>
      <c r="J20" s="260"/>
      <c r="K20" s="260"/>
      <c r="L20" s="260"/>
      <c r="M20" s="260"/>
      <c r="N20" s="260"/>
      <c r="O20" s="260"/>
      <c r="P20" s="260"/>
      <c r="Q20" s="260"/>
      <c r="R20" s="260"/>
      <c r="S20" s="260"/>
      <c r="T20" s="260"/>
      <c r="U20" s="260"/>
      <c r="V20" s="261"/>
      <c r="W20" s="187"/>
    </row>
    <row r="21" spans="1:23" x14ac:dyDescent="0.2">
      <c r="A21" s="250" t="s">
        <v>803</v>
      </c>
      <c r="B21" s="251"/>
      <c r="C21" s="251"/>
      <c r="D21" s="251"/>
      <c r="E21" s="251"/>
      <c r="F21" s="251"/>
      <c r="G21" s="251"/>
      <c r="H21" s="251"/>
      <c r="I21" s="251"/>
      <c r="J21" s="251"/>
      <c r="K21" s="251"/>
      <c r="L21" s="251"/>
      <c r="M21" s="251"/>
      <c r="N21" s="251"/>
      <c r="O21" s="251"/>
      <c r="P21" s="251"/>
      <c r="Q21" s="251"/>
      <c r="R21" s="251"/>
      <c r="S21" s="251"/>
      <c r="T21" s="251"/>
      <c r="U21" s="251"/>
      <c r="V21" s="252"/>
      <c r="W21" s="187"/>
    </row>
    <row r="22" spans="1:23" x14ac:dyDescent="0.2">
      <c r="A22" s="250" t="s">
        <v>806</v>
      </c>
      <c r="B22" s="251"/>
      <c r="C22" s="251"/>
      <c r="D22" s="251"/>
      <c r="E22" s="251"/>
      <c r="F22" s="251"/>
      <c r="G22" s="251"/>
      <c r="H22" s="251"/>
      <c r="I22" s="251"/>
      <c r="J22" s="251"/>
      <c r="K22" s="251"/>
      <c r="L22" s="251"/>
      <c r="M22" s="251"/>
      <c r="N22" s="251"/>
      <c r="O22" s="251"/>
      <c r="P22" s="251"/>
      <c r="Q22" s="251"/>
      <c r="R22" s="251"/>
      <c r="S22" s="251"/>
      <c r="T22" s="251"/>
      <c r="U22" s="251"/>
      <c r="V22" s="252"/>
      <c r="W22" s="187"/>
    </row>
    <row r="23" spans="1:23" ht="13.5" thickBot="1" x14ac:dyDescent="0.25">
      <c r="A23" s="276" t="s">
        <v>785</v>
      </c>
      <c r="B23" s="277"/>
      <c r="C23" s="277"/>
      <c r="D23" s="277"/>
      <c r="E23" s="277"/>
      <c r="F23" s="277"/>
      <c r="G23" s="277"/>
      <c r="H23" s="277"/>
      <c r="I23" s="277"/>
      <c r="J23" s="277"/>
      <c r="K23" s="277"/>
      <c r="L23" s="277"/>
      <c r="M23" s="277"/>
      <c r="N23" s="277"/>
      <c r="O23" s="277"/>
      <c r="P23" s="277"/>
      <c r="Q23" s="277"/>
      <c r="R23" s="277"/>
      <c r="S23" s="277"/>
      <c r="T23" s="277"/>
      <c r="U23" s="277"/>
      <c r="V23" s="278"/>
      <c r="W23" s="187"/>
    </row>
    <row r="24" spans="1:23" ht="13.5" thickBot="1" x14ac:dyDescent="0.25">
      <c r="A24" s="262" t="s">
        <v>895</v>
      </c>
      <c r="B24" s="263"/>
      <c r="C24" s="263"/>
      <c r="D24" s="263"/>
      <c r="E24" s="263"/>
      <c r="F24" s="263"/>
      <c r="G24" s="263"/>
      <c r="H24" s="263"/>
      <c r="I24" s="263"/>
      <c r="J24" s="263"/>
      <c r="K24" s="263"/>
      <c r="L24" s="263"/>
      <c r="M24" s="263"/>
      <c r="N24" s="263"/>
      <c r="O24" s="263"/>
      <c r="P24" s="263"/>
      <c r="Q24" s="263"/>
      <c r="R24" s="263"/>
      <c r="S24" s="263"/>
      <c r="T24" s="263"/>
      <c r="U24" s="263"/>
      <c r="V24" s="264"/>
      <c r="W24" s="187"/>
    </row>
    <row r="25" spans="1:23" ht="13.5" thickBot="1" x14ac:dyDescent="0.25">
      <c r="A25" s="282"/>
      <c r="B25" s="282"/>
      <c r="C25" s="282"/>
      <c r="D25" s="282"/>
      <c r="E25" s="282"/>
      <c r="F25" s="282"/>
      <c r="G25" s="282"/>
      <c r="H25" s="282"/>
      <c r="I25" s="282"/>
      <c r="J25" s="282"/>
      <c r="K25" s="282"/>
      <c r="L25" s="282"/>
      <c r="M25" s="282"/>
      <c r="N25" s="282"/>
      <c r="O25" s="282"/>
      <c r="P25" s="282"/>
      <c r="Q25" s="282"/>
      <c r="R25" s="282"/>
      <c r="S25" s="282"/>
      <c r="T25" s="282"/>
      <c r="U25" s="282"/>
      <c r="V25" s="282"/>
      <c r="W25" s="187"/>
    </row>
    <row r="26" spans="1:23" ht="15" customHeight="1" thickBot="1" x14ac:dyDescent="0.25">
      <c r="A26" s="256" t="s">
        <v>941</v>
      </c>
      <c r="B26" s="257"/>
      <c r="C26" s="257"/>
      <c r="D26" s="257"/>
      <c r="E26" s="257"/>
      <c r="F26" s="257"/>
      <c r="G26" s="257"/>
      <c r="H26" s="257"/>
      <c r="I26" s="257"/>
      <c r="J26" s="257"/>
      <c r="K26" s="257"/>
      <c r="L26" s="257"/>
      <c r="M26" s="257"/>
      <c r="N26" s="257"/>
      <c r="O26" s="257"/>
      <c r="P26" s="257"/>
      <c r="Q26" s="257"/>
      <c r="R26" s="257"/>
      <c r="S26" s="257"/>
      <c r="T26" s="257"/>
      <c r="U26" s="257"/>
      <c r="V26" s="258"/>
      <c r="W26" s="187"/>
    </row>
    <row r="27" spans="1:23" x14ac:dyDescent="0.2">
      <c r="A27" s="262" t="s">
        <v>781</v>
      </c>
      <c r="B27" s="263"/>
      <c r="C27" s="263"/>
      <c r="D27" s="263"/>
      <c r="E27" s="263"/>
      <c r="F27" s="263"/>
      <c r="G27" s="263"/>
      <c r="H27" s="263"/>
      <c r="I27" s="263"/>
      <c r="J27" s="263"/>
      <c r="K27" s="263"/>
      <c r="L27" s="263"/>
      <c r="M27" s="263"/>
      <c r="N27" s="263"/>
      <c r="O27" s="263"/>
      <c r="P27" s="263"/>
      <c r="Q27" s="263"/>
      <c r="R27" s="263"/>
      <c r="S27" s="263"/>
      <c r="T27" s="263"/>
      <c r="U27" s="263"/>
      <c r="V27" s="264"/>
      <c r="W27" s="187"/>
    </row>
    <row r="28" spans="1:23" x14ac:dyDescent="0.2">
      <c r="A28" s="262" t="s">
        <v>783</v>
      </c>
      <c r="B28" s="263"/>
      <c r="C28" s="263"/>
      <c r="D28" s="263"/>
      <c r="E28" s="263"/>
      <c r="F28" s="263"/>
      <c r="G28" s="263"/>
      <c r="H28" s="263"/>
      <c r="I28" s="263"/>
      <c r="J28" s="263"/>
      <c r="K28" s="263"/>
      <c r="L28" s="263"/>
      <c r="M28" s="263"/>
      <c r="N28" s="263"/>
      <c r="O28" s="263"/>
      <c r="P28" s="263"/>
      <c r="Q28" s="263"/>
      <c r="R28" s="263"/>
      <c r="S28" s="263"/>
      <c r="T28" s="263"/>
      <c r="U28" s="263"/>
      <c r="V28" s="264"/>
      <c r="W28" s="187"/>
    </row>
    <row r="29" spans="1:23" ht="13.5" thickBot="1" x14ac:dyDescent="0.25">
      <c r="A29" s="262" t="s">
        <v>782</v>
      </c>
      <c r="B29" s="263"/>
      <c r="C29" s="263"/>
      <c r="D29" s="263"/>
      <c r="E29" s="263"/>
      <c r="F29" s="263"/>
      <c r="G29" s="263"/>
      <c r="H29" s="263"/>
      <c r="I29" s="263"/>
      <c r="J29" s="263"/>
      <c r="K29" s="263"/>
      <c r="L29" s="263"/>
      <c r="M29" s="263"/>
      <c r="N29" s="263"/>
      <c r="O29" s="263"/>
      <c r="P29" s="263"/>
      <c r="Q29" s="263"/>
      <c r="R29" s="263"/>
      <c r="S29" s="263"/>
      <c r="T29" s="263"/>
      <c r="U29" s="263"/>
      <c r="V29" s="264"/>
      <c r="W29" s="187"/>
    </row>
    <row r="30" spans="1:23" x14ac:dyDescent="0.2">
      <c r="A30" s="273" t="s">
        <v>793</v>
      </c>
      <c r="B30" s="274"/>
      <c r="C30" s="274"/>
      <c r="D30" s="274"/>
      <c r="E30" s="274"/>
      <c r="F30" s="274"/>
      <c r="G30" s="274"/>
      <c r="H30" s="274"/>
      <c r="I30" s="274"/>
      <c r="J30" s="274"/>
      <c r="K30" s="274"/>
      <c r="L30" s="274"/>
      <c r="M30" s="274"/>
      <c r="N30" s="274"/>
      <c r="O30" s="274"/>
      <c r="P30" s="274"/>
      <c r="Q30" s="274"/>
      <c r="R30" s="274"/>
      <c r="S30" s="274"/>
      <c r="T30" s="274"/>
      <c r="U30" s="274"/>
      <c r="V30" s="275"/>
      <c r="W30" s="187"/>
    </row>
    <row r="31" spans="1:23" ht="13.5" thickBot="1" x14ac:dyDescent="0.25">
      <c r="A31" s="276" t="s">
        <v>776</v>
      </c>
      <c r="B31" s="277"/>
      <c r="C31" s="277"/>
      <c r="D31" s="277"/>
      <c r="E31" s="277"/>
      <c r="F31" s="277"/>
      <c r="G31" s="277"/>
      <c r="H31" s="277"/>
      <c r="I31" s="277"/>
      <c r="J31" s="277"/>
      <c r="K31" s="277"/>
      <c r="L31" s="277"/>
      <c r="M31" s="277"/>
      <c r="N31" s="277"/>
      <c r="O31" s="277"/>
      <c r="P31" s="277"/>
      <c r="Q31" s="277"/>
      <c r="R31" s="277"/>
      <c r="S31" s="277"/>
      <c r="T31" s="277"/>
      <c r="U31" s="277"/>
      <c r="V31" s="278"/>
      <c r="W31" s="187"/>
    </row>
    <row r="32" spans="1:23" ht="13.5" thickBot="1" x14ac:dyDescent="0.25">
      <c r="A32" s="367" t="s">
        <v>945</v>
      </c>
      <c r="B32" s="368"/>
      <c r="C32" s="368"/>
      <c r="D32" s="368"/>
      <c r="E32" s="368"/>
      <c r="F32" s="368"/>
      <c r="G32" s="368"/>
      <c r="H32" s="368"/>
      <c r="I32" s="368"/>
      <c r="J32" s="368"/>
      <c r="K32" s="368"/>
      <c r="L32" s="368"/>
      <c r="M32" s="368"/>
      <c r="N32" s="368"/>
      <c r="O32" s="368"/>
      <c r="P32" s="368"/>
      <c r="Q32" s="368"/>
      <c r="R32" s="368"/>
      <c r="S32" s="368"/>
      <c r="T32" s="368"/>
      <c r="U32" s="368"/>
      <c r="V32" s="369"/>
      <c r="W32" s="187"/>
    </row>
    <row r="33" spans="1:23" ht="13.5" thickBot="1" x14ac:dyDescent="0.25">
      <c r="A33" s="283" t="s">
        <v>935</v>
      </c>
      <c r="B33" s="284"/>
      <c r="C33" s="284"/>
      <c r="D33" s="284"/>
      <c r="E33" s="284"/>
      <c r="F33" s="284"/>
      <c r="G33" s="284"/>
      <c r="H33" s="284"/>
      <c r="I33" s="284"/>
      <c r="J33" s="284"/>
      <c r="K33" s="284"/>
      <c r="L33" s="284"/>
      <c r="M33" s="284"/>
      <c r="N33" s="284"/>
      <c r="O33" s="284"/>
      <c r="P33" s="284"/>
      <c r="Q33" s="284"/>
      <c r="R33" s="284"/>
      <c r="S33" s="284"/>
      <c r="T33" s="284"/>
      <c r="U33" s="284"/>
      <c r="V33" s="285"/>
      <c r="W33" s="187"/>
    </row>
    <row r="34" spans="1:23" ht="13.5" thickBot="1" x14ac:dyDescent="0.25">
      <c r="A34" s="283" t="s">
        <v>943</v>
      </c>
      <c r="B34" s="284"/>
      <c r="C34" s="284"/>
      <c r="D34" s="284"/>
      <c r="E34" s="284"/>
      <c r="F34" s="284"/>
      <c r="G34" s="284"/>
      <c r="H34" s="284"/>
      <c r="I34" s="284"/>
      <c r="J34" s="284"/>
      <c r="K34" s="284"/>
      <c r="L34" s="284"/>
      <c r="M34" s="284"/>
      <c r="N34" s="284"/>
      <c r="O34" s="284"/>
      <c r="P34" s="284"/>
      <c r="Q34" s="284"/>
      <c r="R34" s="284"/>
      <c r="S34" s="284"/>
      <c r="T34" s="284"/>
      <c r="U34" s="284"/>
      <c r="V34" s="285"/>
      <c r="W34" s="187"/>
    </row>
    <row r="35" spans="1:23" ht="13.5" thickBot="1" x14ac:dyDescent="0.25">
      <c r="A35" s="282"/>
      <c r="B35" s="282"/>
      <c r="C35" s="282"/>
      <c r="D35" s="282"/>
      <c r="E35" s="282"/>
      <c r="F35" s="282"/>
      <c r="G35" s="282"/>
      <c r="H35" s="282"/>
      <c r="I35" s="282"/>
      <c r="J35" s="282"/>
      <c r="K35" s="282"/>
      <c r="L35" s="282"/>
      <c r="M35" s="282"/>
      <c r="N35" s="282"/>
      <c r="O35" s="282"/>
      <c r="P35" s="282"/>
      <c r="Q35" s="282"/>
      <c r="R35" s="282"/>
      <c r="S35" s="282"/>
      <c r="T35" s="282"/>
      <c r="U35" s="282"/>
      <c r="V35" s="282"/>
      <c r="W35" s="187"/>
    </row>
    <row r="36" spans="1:23" ht="13.5" thickBot="1" x14ac:dyDescent="0.25">
      <c r="A36" s="286" t="s">
        <v>778</v>
      </c>
      <c r="B36" s="287"/>
      <c r="C36" s="287"/>
      <c r="D36" s="287"/>
      <c r="E36" s="287"/>
      <c r="F36" s="287"/>
      <c r="G36" s="287"/>
      <c r="H36" s="287"/>
      <c r="I36" s="287"/>
      <c r="J36" s="287"/>
      <c r="K36" s="287"/>
      <c r="L36" s="287"/>
      <c r="M36" s="287"/>
      <c r="N36" s="287"/>
      <c r="O36" s="287"/>
      <c r="P36" s="287"/>
      <c r="Q36" s="287"/>
      <c r="R36" s="287"/>
      <c r="S36" s="287"/>
      <c r="T36" s="287"/>
      <c r="U36" s="287"/>
      <c r="V36" s="288"/>
      <c r="W36" s="187"/>
    </row>
    <row r="37" spans="1:23" ht="13.5" thickBot="1" x14ac:dyDescent="0.25">
      <c r="A37" s="253" t="s">
        <v>794</v>
      </c>
      <c r="B37" s="254"/>
      <c r="C37" s="254"/>
      <c r="D37" s="254"/>
      <c r="E37" s="254"/>
      <c r="F37" s="254"/>
      <c r="G37" s="254"/>
      <c r="H37" s="254"/>
      <c r="I37" s="254"/>
      <c r="J37" s="254"/>
      <c r="K37" s="254"/>
      <c r="L37" s="254"/>
      <c r="M37" s="254"/>
      <c r="N37" s="254"/>
      <c r="O37" s="254"/>
      <c r="P37" s="254"/>
      <c r="Q37" s="254"/>
      <c r="R37" s="254"/>
      <c r="S37" s="254"/>
      <c r="T37" s="254"/>
      <c r="U37" s="254"/>
      <c r="V37" s="255"/>
      <c r="W37" s="187"/>
    </row>
    <row r="38" spans="1:23" ht="13.5" thickBot="1" x14ac:dyDescent="0.25">
      <c r="A38" s="282"/>
      <c r="B38" s="282"/>
      <c r="C38" s="282"/>
      <c r="D38" s="282"/>
      <c r="E38" s="282"/>
      <c r="F38" s="282"/>
      <c r="G38" s="282"/>
      <c r="H38" s="282"/>
      <c r="I38" s="282"/>
      <c r="J38" s="282"/>
      <c r="K38" s="282"/>
      <c r="L38" s="282"/>
      <c r="M38" s="282"/>
      <c r="N38" s="282"/>
      <c r="O38" s="282"/>
      <c r="P38" s="282"/>
      <c r="Q38" s="282"/>
      <c r="R38" s="282"/>
      <c r="S38" s="282"/>
      <c r="T38" s="282"/>
      <c r="U38" s="282"/>
      <c r="V38" s="282"/>
      <c r="W38" s="187"/>
    </row>
    <row r="39" spans="1:23" ht="15.75" thickBot="1" x14ac:dyDescent="0.3">
      <c r="A39" s="270" t="s">
        <v>942</v>
      </c>
      <c r="B39" s="271"/>
      <c r="C39" s="271"/>
      <c r="D39" s="271"/>
      <c r="E39" s="271"/>
      <c r="F39" s="271"/>
      <c r="G39" s="271"/>
      <c r="H39" s="271"/>
      <c r="I39" s="271"/>
      <c r="J39" s="271"/>
      <c r="K39" s="271"/>
      <c r="L39" s="271"/>
      <c r="M39" s="271"/>
      <c r="N39" s="271"/>
      <c r="O39" s="271"/>
      <c r="P39" s="271"/>
      <c r="Q39" s="271"/>
      <c r="R39" s="271"/>
      <c r="S39" s="271"/>
      <c r="T39" s="271"/>
      <c r="U39" s="271"/>
      <c r="V39" s="272"/>
      <c r="W39" s="187"/>
    </row>
    <row r="40" spans="1:23" ht="13.5" thickBot="1" x14ac:dyDescent="0.25">
      <c r="A40" s="256" t="s">
        <v>779</v>
      </c>
      <c r="B40" s="257"/>
      <c r="C40" s="257"/>
      <c r="D40" s="257"/>
      <c r="E40" s="257"/>
      <c r="F40" s="257"/>
      <c r="G40" s="257"/>
      <c r="H40" s="257"/>
      <c r="I40" s="257"/>
      <c r="J40" s="257"/>
      <c r="K40" s="257"/>
      <c r="L40" s="257"/>
      <c r="M40" s="257"/>
      <c r="N40" s="257"/>
      <c r="O40" s="257"/>
      <c r="P40" s="257"/>
      <c r="Q40" s="257"/>
      <c r="R40" s="257"/>
      <c r="S40" s="257"/>
      <c r="T40" s="257"/>
      <c r="U40" s="257"/>
      <c r="V40" s="258"/>
      <c r="W40" s="187"/>
    </row>
    <row r="41" spans="1:23" ht="13.5" thickBot="1" x14ac:dyDescent="0.25">
      <c r="A41" s="265" t="s">
        <v>784</v>
      </c>
      <c r="B41" s="266"/>
      <c r="C41" s="266"/>
      <c r="D41" s="266"/>
      <c r="E41" s="266"/>
      <c r="F41" s="266"/>
      <c r="G41" s="266"/>
      <c r="H41" s="266"/>
      <c r="I41" s="266"/>
      <c r="J41" s="266"/>
      <c r="K41" s="266"/>
      <c r="L41" s="266"/>
      <c r="M41" s="266"/>
      <c r="N41" s="266"/>
      <c r="O41" s="266"/>
      <c r="P41" s="266"/>
      <c r="Q41" s="266"/>
      <c r="R41" s="266"/>
      <c r="S41" s="266"/>
      <c r="T41" s="266"/>
      <c r="U41" s="266"/>
      <c r="V41" s="267"/>
      <c r="W41" s="187"/>
    </row>
    <row r="42" spans="1:23" ht="13.5" thickBot="1" x14ac:dyDescent="0.25">
      <c r="A42" s="256" t="s">
        <v>777</v>
      </c>
      <c r="B42" s="257"/>
      <c r="C42" s="257"/>
      <c r="D42" s="257"/>
      <c r="E42" s="257"/>
      <c r="F42" s="257"/>
      <c r="G42" s="257"/>
      <c r="H42" s="257"/>
      <c r="I42" s="257"/>
      <c r="J42" s="257"/>
      <c r="K42" s="257"/>
      <c r="L42" s="257"/>
      <c r="M42" s="257"/>
      <c r="N42" s="257"/>
      <c r="O42" s="257"/>
      <c r="P42" s="257"/>
      <c r="Q42" s="257"/>
      <c r="R42" s="257"/>
      <c r="S42" s="257"/>
      <c r="T42" s="257"/>
      <c r="U42" s="257"/>
      <c r="V42" s="258"/>
      <c r="W42" s="187"/>
    </row>
    <row r="43" spans="1:23" ht="13.5" thickBot="1" x14ac:dyDescent="0.25">
      <c r="A43" s="265" t="s">
        <v>858</v>
      </c>
      <c r="B43" s="266"/>
      <c r="C43" s="266"/>
      <c r="D43" s="266"/>
      <c r="E43" s="266"/>
      <c r="F43" s="266"/>
      <c r="G43" s="266"/>
      <c r="H43" s="266"/>
      <c r="I43" s="266"/>
      <c r="J43" s="266"/>
      <c r="K43" s="266"/>
      <c r="L43" s="266"/>
      <c r="M43" s="266"/>
      <c r="N43" s="266"/>
      <c r="O43" s="266"/>
      <c r="P43" s="266"/>
      <c r="Q43" s="266"/>
      <c r="R43" s="266"/>
      <c r="S43" s="266"/>
      <c r="T43" s="266"/>
      <c r="U43" s="266"/>
      <c r="V43" s="267"/>
      <c r="W43" s="187"/>
    </row>
    <row r="44" spans="1:23" ht="13.5" thickBot="1" x14ac:dyDescent="0.25">
      <c r="A44" s="265" t="s">
        <v>791</v>
      </c>
      <c r="B44" s="266"/>
      <c r="C44" s="266"/>
      <c r="D44" s="266"/>
      <c r="E44" s="266"/>
      <c r="F44" s="266"/>
      <c r="G44" s="266"/>
      <c r="H44" s="266"/>
      <c r="I44" s="266"/>
      <c r="J44" s="266"/>
      <c r="K44" s="266"/>
      <c r="L44" s="266"/>
      <c r="M44" s="266"/>
      <c r="N44" s="266"/>
      <c r="O44" s="266"/>
      <c r="P44" s="266"/>
      <c r="Q44" s="266"/>
      <c r="R44" s="266"/>
      <c r="S44" s="266"/>
      <c r="T44" s="266"/>
      <c r="U44" s="266"/>
      <c r="V44" s="267"/>
      <c r="W44" s="187"/>
    </row>
    <row r="45" spans="1:23" ht="13.5" thickBot="1" x14ac:dyDescent="0.25">
      <c r="A45" s="265" t="s">
        <v>896</v>
      </c>
      <c r="B45" s="266"/>
      <c r="C45" s="266"/>
      <c r="D45" s="266"/>
      <c r="E45" s="266"/>
      <c r="F45" s="266"/>
      <c r="G45" s="266"/>
      <c r="H45" s="266"/>
      <c r="I45" s="266"/>
      <c r="J45" s="266"/>
      <c r="K45" s="266"/>
      <c r="L45" s="266"/>
      <c r="M45" s="266"/>
      <c r="N45" s="266"/>
      <c r="O45" s="266"/>
      <c r="P45" s="266"/>
      <c r="Q45" s="266"/>
      <c r="R45" s="266"/>
      <c r="S45" s="266"/>
      <c r="T45" s="266"/>
      <c r="U45" s="266"/>
      <c r="V45" s="267"/>
      <c r="W45" s="187"/>
    </row>
    <row r="46" spans="1:23" ht="13.5" thickBot="1" x14ac:dyDescent="0.25">
      <c r="A46" s="265" t="s">
        <v>780</v>
      </c>
      <c r="B46" s="266"/>
      <c r="C46" s="266"/>
      <c r="D46" s="266"/>
      <c r="E46" s="266"/>
      <c r="F46" s="266"/>
      <c r="G46" s="266"/>
      <c r="H46" s="266"/>
      <c r="I46" s="266"/>
      <c r="J46" s="266"/>
      <c r="K46" s="266"/>
      <c r="L46" s="266"/>
      <c r="M46" s="266"/>
      <c r="N46" s="266"/>
      <c r="O46" s="266"/>
      <c r="P46" s="266"/>
      <c r="Q46" s="266"/>
      <c r="R46" s="266"/>
      <c r="S46" s="266"/>
      <c r="T46" s="266"/>
      <c r="U46" s="266"/>
      <c r="V46" s="267"/>
      <c r="W46" s="187"/>
    </row>
    <row r="47" spans="1:23" ht="13.5" thickBot="1" x14ac:dyDescent="0.25">
      <c r="A47" s="282"/>
      <c r="B47" s="282"/>
      <c r="C47" s="282"/>
      <c r="D47" s="282"/>
      <c r="E47" s="282"/>
      <c r="F47" s="282"/>
      <c r="G47" s="282"/>
      <c r="H47" s="282"/>
      <c r="I47" s="282"/>
      <c r="J47" s="282"/>
      <c r="K47" s="282"/>
      <c r="L47" s="282"/>
      <c r="M47" s="282"/>
      <c r="N47" s="282"/>
      <c r="O47" s="282"/>
      <c r="P47" s="282"/>
      <c r="Q47" s="282"/>
      <c r="R47" s="282"/>
      <c r="S47" s="282"/>
      <c r="T47" s="282"/>
      <c r="U47" s="282"/>
      <c r="V47" s="282"/>
      <c r="W47" s="187"/>
    </row>
    <row r="48" spans="1:23" ht="13.5" thickBot="1" x14ac:dyDescent="0.25">
      <c r="A48" s="256" t="s">
        <v>796</v>
      </c>
      <c r="B48" s="257"/>
      <c r="C48" s="257"/>
      <c r="D48" s="257"/>
      <c r="E48" s="257"/>
      <c r="F48" s="257"/>
      <c r="G48" s="257"/>
      <c r="H48" s="257"/>
      <c r="I48" s="257"/>
      <c r="J48" s="257"/>
      <c r="K48" s="257"/>
      <c r="L48" s="257"/>
      <c r="M48" s="257"/>
      <c r="N48" s="257"/>
      <c r="O48" s="257"/>
      <c r="P48" s="257"/>
      <c r="Q48" s="257"/>
      <c r="R48" s="257"/>
      <c r="S48" s="257"/>
      <c r="T48" s="257"/>
      <c r="U48" s="257"/>
      <c r="V48" s="258"/>
      <c r="W48" s="187"/>
    </row>
    <row r="49" spans="1:23" ht="13.5" thickBot="1" x14ac:dyDescent="0.25">
      <c r="A49" s="265" t="s">
        <v>797</v>
      </c>
      <c r="B49" s="266"/>
      <c r="C49" s="266"/>
      <c r="D49" s="266"/>
      <c r="E49" s="266"/>
      <c r="F49" s="266"/>
      <c r="G49" s="266"/>
      <c r="H49" s="266"/>
      <c r="I49" s="266"/>
      <c r="J49" s="266"/>
      <c r="K49" s="266"/>
      <c r="L49" s="266"/>
      <c r="M49" s="266"/>
      <c r="N49" s="266"/>
      <c r="O49" s="266"/>
      <c r="P49" s="266"/>
      <c r="Q49" s="266"/>
      <c r="R49" s="266"/>
      <c r="S49" s="266"/>
      <c r="T49" s="266"/>
      <c r="U49" s="266"/>
      <c r="V49" s="267"/>
      <c r="W49" s="187"/>
    </row>
    <row r="50" spans="1:23" ht="13.5" thickBot="1" x14ac:dyDescent="0.25">
      <c r="A50" s="265" t="s">
        <v>798</v>
      </c>
      <c r="B50" s="266"/>
      <c r="C50" s="266"/>
      <c r="D50" s="266"/>
      <c r="E50" s="266"/>
      <c r="F50" s="266"/>
      <c r="G50" s="266"/>
      <c r="H50" s="266"/>
      <c r="I50" s="266"/>
      <c r="J50" s="266"/>
      <c r="K50" s="266"/>
      <c r="L50" s="266"/>
      <c r="M50" s="266"/>
      <c r="N50" s="266"/>
      <c r="O50" s="266"/>
      <c r="P50" s="266"/>
      <c r="Q50" s="266"/>
      <c r="R50" s="266"/>
      <c r="S50" s="266"/>
      <c r="T50" s="266"/>
      <c r="U50" s="266"/>
      <c r="V50" s="267"/>
      <c r="W50" s="187"/>
    </row>
    <row r="51" spans="1:23" ht="13.5" customHeight="1" thickBot="1" x14ac:dyDescent="0.25">
      <c r="A51" s="265" t="s">
        <v>799</v>
      </c>
      <c r="B51" s="266"/>
      <c r="C51" s="266"/>
      <c r="D51" s="266"/>
      <c r="E51" s="266"/>
      <c r="F51" s="266"/>
      <c r="G51" s="266"/>
      <c r="H51" s="266"/>
      <c r="I51" s="266"/>
      <c r="J51" s="266"/>
      <c r="K51" s="266"/>
      <c r="L51" s="266"/>
      <c r="M51" s="266"/>
      <c r="N51" s="266"/>
      <c r="O51" s="266"/>
      <c r="P51" s="266"/>
      <c r="Q51" s="266"/>
      <c r="R51" s="266"/>
      <c r="S51" s="266"/>
      <c r="T51" s="266"/>
      <c r="U51" s="266"/>
      <c r="V51" s="267"/>
      <c r="W51" s="187"/>
    </row>
    <row r="52" spans="1:23" ht="27" customHeight="1" thickBot="1" x14ac:dyDescent="0.25">
      <c r="A52" s="268" t="s">
        <v>802</v>
      </c>
      <c r="B52" s="269"/>
      <c r="C52" s="269"/>
      <c r="D52" s="269"/>
      <c r="E52" s="269"/>
      <c r="F52" s="269"/>
      <c r="G52" s="269"/>
      <c r="H52" s="269"/>
      <c r="I52" s="269"/>
      <c r="J52" s="269"/>
      <c r="K52" s="266"/>
      <c r="L52" s="266"/>
      <c r="M52" s="266"/>
      <c r="N52" s="266"/>
      <c r="O52" s="266"/>
      <c r="P52" s="266"/>
      <c r="Q52" s="266"/>
      <c r="R52" s="266"/>
      <c r="S52" s="266"/>
      <c r="T52" s="266"/>
      <c r="U52" s="266"/>
      <c r="V52" s="267"/>
      <c r="W52" s="187"/>
    </row>
    <row r="53" spans="1:23" ht="13.5" thickBot="1" x14ac:dyDescent="0.25">
      <c r="A53" s="265" t="s">
        <v>800</v>
      </c>
      <c r="B53" s="266"/>
      <c r="C53" s="266"/>
      <c r="D53" s="266"/>
      <c r="E53" s="266"/>
      <c r="F53" s="266"/>
      <c r="G53" s="266"/>
      <c r="H53" s="266"/>
      <c r="I53" s="266"/>
      <c r="J53" s="266"/>
      <c r="K53" s="266"/>
      <c r="L53" s="266"/>
      <c r="M53" s="266"/>
      <c r="N53" s="266"/>
      <c r="O53" s="266"/>
      <c r="P53" s="266"/>
      <c r="Q53" s="266"/>
      <c r="R53" s="266"/>
      <c r="S53" s="266"/>
      <c r="T53" s="266"/>
      <c r="U53" s="266"/>
      <c r="V53" s="267"/>
      <c r="W53" s="187"/>
    </row>
    <row r="54" spans="1:23" ht="13.5" thickBot="1" x14ac:dyDescent="0.25">
      <c r="A54" s="282"/>
      <c r="B54" s="282"/>
      <c r="C54" s="282"/>
      <c r="D54" s="282"/>
      <c r="E54" s="282"/>
      <c r="F54" s="282"/>
      <c r="G54" s="282"/>
      <c r="H54" s="282"/>
      <c r="I54" s="282"/>
      <c r="J54" s="282"/>
      <c r="K54" s="282"/>
      <c r="L54" s="282"/>
      <c r="M54" s="282"/>
      <c r="N54" s="282"/>
      <c r="O54" s="282"/>
      <c r="P54" s="282"/>
      <c r="Q54" s="282"/>
      <c r="R54" s="282"/>
      <c r="S54" s="282"/>
      <c r="T54" s="282"/>
      <c r="U54" s="282"/>
      <c r="V54" s="282"/>
    </row>
    <row r="55" spans="1:23" ht="13.5" thickBot="1" x14ac:dyDescent="0.25">
      <c r="A55" s="256" t="s">
        <v>859</v>
      </c>
      <c r="B55" s="257"/>
      <c r="C55" s="257"/>
      <c r="D55" s="257"/>
      <c r="E55" s="257"/>
      <c r="F55" s="257"/>
      <c r="G55" s="257"/>
      <c r="H55" s="257"/>
      <c r="I55" s="257"/>
      <c r="J55" s="257"/>
      <c r="K55" s="257"/>
      <c r="L55" s="257"/>
      <c r="M55" s="257"/>
      <c r="N55" s="257"/>
      <c r="O55" s="257"/>
      <c r="P55" s="257"/>
      <c r="Q55" s="257"/>
      <c r="R55" s="257"/>
      <c r="S55" s="257"/>
      <c r="T55" s="257"/>
      <c r="U55" s="257"/>
      <c r="V55" s="258"/>
    </row>
    <row r="56" spans="1:23" ht="13.5" thickBot="1" x14ac:dyDescent="0.25">
      <c r="A56" s="265" t="s">
        <v>860</v>
      </c>
      <c r="B56" s="266"/>
      <c r="C56" s="266"/>
      <c r="D56" s="266"/>
      <c r="E56" s="266"/>
      <c r="F56" s="266"/>
      <c r="G56" s="266"/>
      <c r="H56" s="266"/>
      <c r="I56" s="266"/>
      <c r="J56" s="266"/>
      <c r="K56" s="266"/>
      <c r="L56" s="266"/>
      <c r="M56" s="266"/>
      <c r="N56" s="266"/>
      <c r="O56" s="266"/>
      <c r="P56" s="266"/>
      <c r="Q56" s="266"/>
      <c r="R56" s="266"/>
      <c r="S56" s="266"/>
      <c r="T56" s="266"/>
      <c r="U56" s="266"/>
      <c r="V56" s="267"/>
    </row>
    <row r="57" spans="1:23" ht="13.5" thickBot="1" x14ac:dyDescent="0.25">
      <c r="A57" s="265" t="s">
        <v>861</v>
      </c>
      <c r="B57" s="266"/>
      <c r="C57" s="266"/>
      <c r="D57" s="266"/>
      <c r="E57" s="266"/>
      <c r="F57" s="266"/>
      <c r="G57" s="266"/>
      <c r="H57" s="266"/>
      <c r="I57" s="266"/>
      <c r="J57" s="266"/>
      <c r="K57" s="266"/>
      <c r="L57" s="266"/>
      <c r="M57" s="266"/>
      <c r="N57" s="266"/>
      <c r="O57" s="266"/>
      <c r="P57" s="266"/>
      <c r="Q57" s="266"/>
      <c r="R57" s="266"/>
      <c r="S57" s="266"/>
      <c r="T57" s="266"/>
      <c r="U57" s="266"/>
      <c r="V57" s="267"/>
    </row>
    <row r="58" spans="1:23" ht="13.5" thickBot="1" x14ac:dyDescent="0.25">
      <c r="A58" s="265" t="s">
        <v>862</v>
      </c>
      <c r="B58" s="266"/>
      <c r="C58" s="266"/>
      <c r="D58" s="266"/>
      <c r="E58" s="266"/>
      <c r="F58" s="266"/>
      <c r="G58" s="266"/>
      <c r="H58" s="266"/>
      <c r="I58" s="266"/>
      <c r="J58" s="266"/>
      <c r="K58" s="266"/>
      <c r="L58" s="266"/>
      <c r="M58" s="266"/>
      <c r="N58" s="266"/>
      <c r="O58" s="266"/>
      <c r="P58" s="266"/>
      <c r="Q58" s="266"/>
      <c r="R58" s="266"/>
      <c r="S58" s="266"/>
      <c r="T58" s="266"/>
      <c r="U58" s="266"/>
      <c r="V58" s="267"/>
    </row>
    <row r="59" spans="1:23" ht="13.5" thickBot="1" x14ac:dyDescent="0.25">
      <c r="A59" s="265" t="s">
        <v>863</v>
      </c>
      <c r="B59" s="266"/>
      <c r="C59" s="266"/>
      <c r="D59" s="266"/>
      <c r="E59" s="266"/>
      <c r="F59" s="266"/>
      <c r="G59" s="266"/>
      <c r="H59" s="266"/>
      <c r="I59" s="266"/>
      <c r="J59" s="266"/>
      <c r="K59" s="266"/>
      <c r="L59" s="266"/>
      <c r="M59" s="266"/>
      <c r="N59" s="266"/>
      <c r="O59" s="266"/>
      <c r="P59" s="266"/>
      <c r="Q59" s="266"/>
      <c r="R59" s="266"/>
      <c r="S59" s="266"/>
      <c r="T59" s="266"/>
      <c r="U59" s="266"/>
      <c r="V59" s="267"/>
    </row>
    <row r="60" spans="1:23" ht="13.5" thickBot="1" x14ac:dyDescent="0.25">
      <c r="A60" s="265" t="s">
        <v>864</v>
      </c>
      <c r="B60" s="266"/>
      <c r="C60" s="266"/>
      <c r="D60" s="266"/>
      <c r="E60" s="266"/>
      <c r="F60" s="266"/>
      <c r="G60" s="266"/>
      <c r="H60" s="266"/>
      <c r="I60" s="266"/>
      <c r="J60" s="266"/>
      <c r="K60" s="266"/>
      <c r="L60" s="266"/>
      <c r="M60" s="266"/>
      <c r="N60" s="266"/>
      <c r="O60" s="266"/>
      <c r="P60" s="266"/>
      <c r="Q60" s="266"/>
      <c r="R60" s="266"/>
      <c r="S60" s="266"/>
      <c r="T60" s="266"/>
      <c r="U60" s="266"/>
      <c r="V60" s="267"/>
    </row>
    <row r="61" spans="1:23" ht="13.5" thickBot="1" x14ac:dyDescent="0.25">
      <c r="A61" s="265" t="s">
        <v>865</v>
      </c>
      <c r="B61" s="266"/>
      <c r="C61" s="266"/>
      <c r="D61" s="266"/>
      <c r="E61" s="266"/>
      <c r="F61" s="266"/>
      <c r="G61" s="266"/>
      <c r="H61" s="266"/>
      <c r="I61" s="266"/>
      <c r="J61" s="266"/>
      <c r="K61" s="266"/>
      <c r="L61" s="266"/>
      <c r="M61" s="266"/>
      <c r="N61" s="266"/>
      <c r="O61" s="266"/>
      <c r="P61" s="266"/>
      <c r="Q61" s="266"/>
      <c r="R61" s="266"/>
      <c r="S61" s="266"/>
      <c r="T61" s="266"/>
      <c r="U61" s="266"/>
      <c r="V61" s="267"/>
    </row>
    <row r="62" spans="1:23" ht="13.5" thickBot="1" x14ac:dyDescent="0.25">
      <c r="A62" s="265" t="s">
        <v>868</v>
      </c>
      <c r="B62" s="266"/>
      <c r="C62" s="266"/>
      <c r="D62" s="266"/>
      <c r="E62" s="266"/>
      <c r="F62" s="266"/>
      <c r="G62" s="266"/>
      <c r="H62" s="266"/>
      <c r="I62" s="266"/>
      <c r="J62" s="266"/>
      <c r="K62" s="266"/>
      <c r="L62" s="266"/>
      <c r="M62" s="266"/>
      <c r="N62" s="266"/>
      <c r="O62" s="266"/>
      <c r="P62" s="266"/>
      <c r="Q62" s="266"/>
      <c r="R62" s="266"/>
      <c r="S62" s="266"/>
      <c r="T62" s="266"/>
      <c r="U62" s="266"/>
      <c r="V62" s="267"/>
    </row>
    <row r="63" spans="1:23" ht="13.5" thickBot="1" x14ac:dyDescent="0.25">
      <c r="A63" s="265" t="s">
        <v>866</v>
      </c>
      <c r="B63" s="266"/>
      <c r="C63" s="266"/>
      <c r="D63" s="266"/>
      <c r="E63" s="266"/>
      <c r="F63" s="266"/>
      <c r="G63" s="266"/>
      <c r="H63" s="266"/>
      <c r="I63" s="266"/>
      <c r="J63" s="266"/>
      <c r="K63" s="266"/>
      <c r="L63" s="266"/>
      <c r="M63" s="266"/>
      <c r="N63" s="266"/>
      <c r="O63" s="266"/>
      <c r="P63" s="266"/>
      <c r="Q63" s="266"/>
      <c r="R63" s="266"/>
      <c r="S63" s="266"/>
      <c r="T63" s="266"/>
      <c r="U63" s="266"/>
      <c r="V63" s="267"/>
    </row>
    <row r="64" spans="1:23" ht="13.5" thickBot="1" x14ac:dyDescent="0.25">
      <c r="A64" s="265" t="s">
        <v>867</v>
      </c>
      <c r="B64" s="266"/>
      <c r="C64" s="266"/>
      <c r="D64" s="266"/>
      <c r="E64" s="266"/>
      <c r="F64" s="266"/>
      <c r="G64" s="266"/>
      <c r="H64" s="266"/>
      <c r="I64" s="266"/>
      <c r="J64" s="266"/>
      <c r="K64" s="266"/>
      <c r="L64" s="266"/>
      <c r="M64" s="266"/>
      <c r="N64" s="266"/>
      <c r="O64" s="266"/>
      <c r="P64" s="266"/>
      <c r="Q64" s="266"/>
      <c r="R64" s="266"/>
      <c r="S64" s="266"/>
      <c r="T64" s="266"/>
      <c r="U64" s="266"/>
      <c r="V64" s="267"/>
    </row>
    <row r="65" spans="1:22" ht="13.5" thickBot="1" x14ac:dyDescent="0.25">
      <c r="A65" s="265" t="s">
        <v>870</v>
      </c>
      <c r="B65" s="266"/>
      <c r="C65" s="266"/>
      <c r="D65" s="266"/>
      <c r="E65" s="266"/>
      <c r="F65" s="266"/>
      <c r="G65" s="266"/>
      <c r="H65" s="266"/>
      <c r="I65" s="266"/>
      <c r="J65" s="266"/>
      <c r="K65" s="266"/>
      <c r="L65" s="266"/>
      <c r="M65" s="266"/>
      <c r="N65" s="266"/>
      <c r="O65" s="266"/>
      <c r="P65" s="266"/>
      <c r="Q65" s="266"/>
      <c r="R65" s="266"/>
      <c r="S65" s="266"/>
      <c r="T65" s="266"/>
      <c r="U65" s="266"/>
      <c r="V65" s="267"/>
    </row>
    <row r="66" spans="1:22" ht="13.5" thickBot="1" x14ac:dyDescent="0.25">
      <c r="A66" s="265" t="s">
        <v>869</v>
      </c>
      <c r="B66" s="266"/>
      <c r="C66" s="266"/>
      <c r="D66" s="266"/>
      <c r="E66" s="266"/>
      <c r="F66" s="266"/>
      <c r="G66" s="266"/>
      <c r="H66" s="266"/>
      <c r="I66" s="266"/>
      <c r="J66" s="266"/>
      <c r="K66" s="266"/>
      <c r="L66" s="266"/>
      <c r="M66" s="266"/>
      <c r="N66" s="266"/>
      <c r="O66" s="266"/>
      <c r="P66" s="266"/>
      <c r="Q66" s="266"/>
      <c r="R66" s="266"/>
      <c r="S66" s="266"/>
      <c r="T66" s="266"/>
      <c r="U66" s="266"/>
      <c r="V66" s="267"/>
    </row>
    <row r="67" spans="1:22" ht="13.5" thickBot="1" x14ac:dyDescent="0.25">
      <c r="A67" s="265" t="s">
        <v>871</v>
      </c>
      <c r="B67" s="266"/>
      <c r="C67" s="266"/>
      <c r="D67" s="266"/>
      <c r="E67" s="266"/>
      <c r="F67" s="266"/>
      <c r="G67" s="266"/>
      <c r="H67" s="266"/>
      <c r="I67" s="266"/>
      <c r="J67" s="266"/>
      <c r="K67" s="266"/>
      <c r="L67" s="266"/>
      <c r="M67" s="266"/>
      <c r="N67" s="266"/>
      <c r="O67" s="266"/>
      <c r="P67" s="266"/>
      <c r="Q67" s="266"/>
      <c r="R67" s="266"/>
      <c r="S67" s="266"/>
      <c r="T67" s="266"/>
      <c r="U67" s="266"/>
      <c r="V67" s="267"/>
    </row>
    <row r="68" spans="1:22" ht="13.5" thickBot="1" x14ac:dyDescent="0.25">
      <c r="A68" s="265" t="s">
        <v>872</v>
      </c>
      <c r="B68" s="266"/>
      <c r="C68" s="266"/>
      <c r="D68" s="266"/>
      <c r="E68" s="266"/>
      <c r="F68" s="266"/>
      <c r="G68" s="266"/>
      <c r="H68" s="266"/>
      <c r="I68" s="266"/>
      <c r="J68" s="266"/>
      <c r="K68" s="266"/>
      <c r="L68" s="266"/>
      <c r="M68" s="266"/>
      <c r="N68" s="266"/>
      <c r="O68" s="266"/>
      <c r="P68" s="266"/>
      <c r="Q68" s="266"/>
      <c r="R68" s="266"/>
      <c r="S68" s="266"/>
      <c r="T68" s="266"/>
      <c r="U68" s="266"/>
      <c r="V68" s="267"/>
    </row>
    <row r="69" spans="1:22" ht="13.5" thickBot="1" x14ac:dyDescent="0.25">
      <c r="A69" s="265" t="s">
        <v>873</v>
      </c>
      <c r="B69" s="266"/>
      <c r="C69" s="266"/>
      <c r="D69" s="266"/>
      <c r="E69" s="266"/>
      <c r="F69" s="266"/>
      <c r="G69" s="266"/>
      <c r="H69" s="266"/>
      <c r="I69" s="266"/>
      <c r="J69" s="266"/>
      <c r="K69" s="266"/>
      <c r="L69" s="266"/>
      <c r="M69" s="266"/>
      <c r="N69" s="266"/>
      <c r="O69" s="266"/>
      <c r="P69" s="266"/>
      <c r="Q69" s="266"/>
      <c r="R69" s="266"/>
      <c r="S69" s="266"/>
      <c r="T69" s="266"/>
      <c r="U69" s="266"/>
      <c r="V69" s="267"/>
    </row>
    <row r="70" spans="1:22" ht="13.5" thickBot="1" x14ac:dyDescent="0.25">
      <c r="A70" s="265" t="s">
        <v>874</v>
      </c>
      <c r="B70" s="266"/>
      <c r="C70" s="266"/>
      <c r="D70" s="266"/>
      <c r="E70" s="266"/>
      <c r="F70" s="266"/>
      <c r="G70" s="266"/>
      <c r="H70" s="266"/>
      <c r="I70" s="266"/>
      <c r="J70" s="266"/>
      <c r="K70" s="266"/>
      <c r="L70" s="266"/>
      <c r="M70" s="266"/>
      <c r="N70" s="266"/>
      <c r="O70" s="266"/>
      <c r="P70" s="266"/>
      <c r="Q70" s="266"/>
      <c r="R70" s="266"/>
      <c r="S70" s="266"/>
      <c r="T70" s="266"/>
      <c r="U70" s="266"/>
      <c r="V70" s="267"/>
    </row>
    <row r="71" spans="1:22" ht="13.5" thickBot="1" x14ac:dyDescent="0.25">
      <c r="A71" s="265" t="s">
        <v>875</v>
      </c>
      <c r="B71" s="266"/>
      <c r="C71" s="266"/>
      <c r="D71" s="266"/>
      <c r="E71" s="266"/>
      <c r="F71" s="266"/>
      <c r="G71" s="266"/>
      <c r="H71" s="266"/>
      <c r="I71" s="266"/>
      <c r="J71" s="266"/>
      <c r="K71" s="266"/>
      <c r="L71" s="266"/>
      <c r="M71" s="266"/>
      <c r="N71" s="266"/>
      <c r="O71" s="266"/>
      <c r="P71" s="266"/>
      <c r="Q71" s="266"/>
      <c r="R71" s="266"/>
      <c r="S71" s="266"/>
      <c r="T71" s="266"/>
      <c r="U71" s="266"/>
      <c r="V71" s="267"/>
    </row>
    <row r="72" spans="1:22" ht="13.5" thickBot="1" x14ac:dyDescent="0.25">
      <c r="A72" s="265" t="s">
        <v>876</v>
      </c>
      <c r="B72" s="266"/>
      <c r="C72" s="266"/>
      <c r="D72" s="266"/>
      <c r="E72" s="266"/>
      <c r="F72" s="266"/>
      <c r="G72" s="266"/>
      <c r="H72" s="266"/>
      <c r="I72" s="266"/>
      <c r="J72" s="266"/>
      <c r="K72" s="266"/>
      <c r="L72" s="266"/>
      <c r="M72" s="266"/>
      <c r="N72" s="266"/>
      <c r="O72" s="266"/>
      <c r="P72" s="266"/>
      <c r="Q72" s="266"/>
      <c r="R72" s="266"/>
      <c r="S72" s="266"/>
      <c r="T72" s="266"/>
      <c r="U72" s="266"/>
      <c r="V72" s="267"/>
    </row>
  </sheetData>
  <mergeCells count="71">
    <mergeCell ref="A54:V54"/>
    <mergeCell ref="A70:V70"/>
    <mergeCell ref="A71:V71"/>
    <mergeCell ref="A72:V72"/>
    <mergeCell ref="A59:V59"/>
    <mergeCell ref="A69:V69"/>
    <mergeCell ref="A60:V60"/>
    <mergeCell ref="A61:V61"/>
    <mergeCell ref="A64:V64"/>
    <mergeCell ref="A63:V63"/>
    <mergeCell ref="A62:V62"/>
    <mergeCell ref="A66:V66"/>
    <mergeCell ref="A65:V65"/>
    <mergeCell ref="A67:V67"/>
    <mergeCell ref="A68:V68"/>
    <mergeCell ref="A55:V55"/>
    <mergeCell ref="A56:V56"/>
    <mergeCell ref="A57:V57"/>
    <mergeCell ref="A58:V58"/>
    <mergeCell ref="A33:V33"/>
    <mergeCell ref="A36:V36"/>
    <mergeCell ref="A35:V35"/>
    <mergeCell ref="A37:V37"/>
    <mergeCell ref="A41:V41"/>
    <mergeCell ref="A40:V40"/>
    <mergeCell ref="A39:V39"/>
    <mergeCell ref="A34:V34"/>
    <mergeCell ref="A44:V44"/>
    <mergeCell ref="A45:V45"/>
    <mergeCell ref="A46:V46"/>
    <mergeCell ref="A43:V43"/>
    <mergeCell ref="A49:V49"/>
    <mergeCell ref="A2:V2"/>
    <mergeCell ref="A1:V1"/>
    <mergeCell ref="A48:V48"/>
    <mergeCell ref="A47:V47"/>
    <mergeCell ref="A7:V7"/>
    <mergeCell ref="A38:V38"/>
    <mergeCell ref="A3:V3"/>
    <mergeCell ref="A4:V4"/>
    <mergeCell ref="A30:V30"/>
    <mergeCell ref="A31:V31"/>
    <mergeCell ref="A28:V28"/>
    <mergeCell ref="A29:V29"/>
    <mergeCell ref="A25:V25"/>
    <mergeCell ref="A8:V8"/>
    <mergeCell ref="A10:V10"/>
    <mergeCell ref="A53:V53"/>
    <mergeCell ref="A52:V52"/>
    <mergeCell ref="A50:V50"/>
    <mergeCell ref="A51:V51"/>
    <mergeCell ref="A6:V6"/>
    <mergeCell ref="A9:V9"/>
    <mergeCell ref="A19:V19"/>
    <mergeCell ref="A42:V42"/>
    <mergeCell ref="A12:V12"/>
    <mergeCell ref="A14:V14"/>
    <mergeCell ref="A27:V27"/>
    <mergeCell ref="A13:V13"/>
    <mergeCell ref="A23:V23"/>
    <mergeCell ref="A11:V11"/>
    <mergeCell ref="A15:V15"/>
    <mergeCell ref="A32:V32"/>
    <mergeCell ref="A17:V17"/>
    <mergeCell ref="A16:V16"/>
    <mergeCell ref="A18:V18"/>
    <mergeCell ref="A26:V26"/>
    <mergeCell ref="A20:V20"/>
    <mergeCell ref="A22:V22"/>
    <mergeCell ref="A21:V21"/>
    <mergeCell ref="A24:V24"/>
  </mergeCells>
  <pageMargins left="0.7" right="0.7" top="0.75" bottom="0.75" header="0.3" footer="0.3"/>
  <pageSetup paperSize="9" scale="6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D48"/>
  <sheetViews>
    <sheetView zoomScale="130" zoomScaleNormal="130" workbookViewId="0">
      <selection activeCell="A27" sqref="A27:A30"/>
    </sheetView>
  </sheetViews>
  <sheetFormatPr defaultRowHeight="12.75" x14ac:dyDescent="0.2"/>
  <cols>
    <col min="1" max="1" width="19.7109375" style="188" customWidth="1"/>
    <col min="2" max="2" width="12.7109375" style="188" customWidth="1"/>
    <col min="3" max="11" width="5.7109375" style="188" customWidth="1"/>
    <col min="12" max="13" width="5.7109375" customWidth="1"/>
    <col min="14" max="14" width="5.7109375" style="91" customWidth="1"/>
    <col min="15" max="18" width="5.7109375" customWidth="1"/>
    <col min="19" max="19" width="5.7109375" style="91" customWidth="1"/>
    <col min="20" max="29" width="5.7109375" customWidth="1"/>
    <col min="30" max="30" width="5.7109375" hidden="1" customWidth="1"/>
    <col min="31" max="44" width="5.7109375" customWidth="1"/>
  </cols>
  <sheetData>
    <row r="1" spans="1:22" ht="13.5" thickBot="1" x14ac:dyDescent="0.25">
      <c r="A1" s="286" t="s">
        <v>880</v>
      </c>
      <c r="B1" s="287"/>
      <c r="C1" s="287"/>
      <c r="D1" s="287"/>
      <c r="E1" s="287"/>
      <c r="F1" s="287"/>
      <c r="G1" s="287"/>
      <c r="H1" s="287"/>
      <c r="I1" s="287"/>
      <c r="J1" s="287"/>
      <c r="K1" s="287"/>
      <c r="L1" s="287"/>
      <c r="M1" s="287"/>
      <c r="N1" s="287"/>
      <c r="O1" s="287"/>
      <c r="P1" s="287"/>
      <c r="Q1" s="287"/>
      <c r="R1" s="287"/>
      <c r="S1" s="287"/>
      <c r="T1" s="287"/>
      <c r="U1" s="287"/>
      <c r="V1" s="288"/>
    </row>
    <row r="2" spans="1:22" ht="13.5" thickBot="1" x14ac:dyDescent="0.25">
      <c r="A2" s="201" t="s">
        <v>835</v>
      </c>
      <c r="B2" s="220" t="s">
        <v>849</v>
      </c>
      <c r="C2" s="217" t="s">
        <v>811</v>
      </c>
      <c r="D2" s="218" t="s">
        <v>812</v>
      </c>
      <c r="E2" s="218" t="s">
        <v>813</v>
      </c>
      <c r="F2" s="218" t="s">
        <v>814</v>
      </c>
      <c r="G2" s="219" t="s">
        <v>502</v>
      </c>
      <c r="H2" s="218" t="s">
        <v>815</v>
      </c>
      <c r="I2" s="218" t="s">
        <v>816</v>
      </c>
      <c r="J2" s="218" t="s">
        <v>817</v>
      </c>
      <c r="K2" s="218" t="s">
        <v>818</v>
      </c>
      <c r="L2" s="219" t="s">
        <v>819</v>
      </c>
      <c r="M2" s="217" t="s">
        <v>820</v>
      </c>
      <c r="N2" s="218" t="s">
        <v>821</v>
      </c>
      <c r="O2" s="218" t="s">
        <v>828</v>
      </c>
      <c r="P2" s="218" t="s">
        <v>822</v>
      </c>
      <c r="Q2" s="219" t="s">
        <v>823</v>
      </c>
      <c r="R2" s="218" t="s">
        <v>824</v>
      </c>
      <c r="S2" s="218" t="s">
        <v>825</v>
      </c>
      <c r="T2" s="218"/>
      <c r="U2" s="218"/>
      <c r="V2" s="219"/>
    </row>
    <row r="3" spans="1:22" ht="13.5" thickBot="1" x14ac:dyDescent="0.25">
      <c r="A3" s="290" t="s">
        <v>856</v>
      </c>
      <c r="B3" s="214" t="s">
        <v>877</v>
      </c>
      <c r="C3" s="227">
        <v>315</v>
      </c>
      <c r="D3" s="228">
        <v>375</v>
      </c>
      <c r="E3" s="228">
        <v>435</v>
      </c>
      <c r="F3" s="228">
        <v>500</v>
      </c>
      <c r="G3" s="229">
        <v>560</v>
      </c>
      <c r="H3" s="230">
        <v>620</v>
      </c>
      <c r="I3" s="230">
        <v>675</v>
      </c>
      <c r="J3" s="230">
        <v>730</v>
      </c>
      <c r="K3" s="230"/>
      <c r="L3" s="230"/>
      <c r="M3" s="231"/>
      <c r="N3" s="230"/>
      <c r="O3" s="230"/>
      <c r="P3" s="230"/>
      <c r="Q3" s="232"/>
      <c r="R3" s="230"/>
      <c r="S3" s="230"/>
      <c r="T3" s="230"/>
      <c r="U3" s="230"/>
      <c r="V3" s="232"/>
    </row>
    <row r="4" spans="1:22" ht="13.5" thickBot="1" x14ac:dyDescent="0.25">
      <c r="A4" s="291"/>
      <c r="B4" s="214" t="s">
        <v>878</v>
      </c>
      <c r="C4" s="231">
        <v>485</v>
      </c>
      <c r="D4" s="230">
        <v>545</v>
      </c>
      <c r="E4" s="230">
        <v>605</v>
      </c>
      <c r="F4" s="230">
        <v>680</v>
      </c>
      <c r="G4" s="232">
        <v>710</v>
      </c>
      <c r="H4" s="230">
        <v>730</v>
      </c>
      <c r="I4" s="230"/>
      <c r="J4" s="230"/>
      <c r="K4" s="230"/>
      <c r="L4" s="230"/>
      <c r="M4" s="231"/>
      <c r="N4" s="230"/>
      <c r="O4" s="230"/>
      <c r="P4" s="230"/>
      <c r="Q4" s="232"/>
      <c r="R4" s="230"/>
      <c r="S4" s="230"/>
      <c r="T4" s="230"/>
      <c r="U4" s="230"/>
      <c r="V4" s="232"/>
    </row>
    <row r="5" spans="1:22" ht="13.5" thickBot="1" x14ac:dyDescent="0.25">
      <c r="A5" s="291"/>
      <c r="B5" s="214" t="s">
        <v>879</v>
      </c>
      <c r="C5" s="233">
        <v>485</v>
      </c>
      <c r="D5" s="234">
        <v>545</v>
      </c>
      <c r="E5" s="234">
        <v>605</v>
      </c>
      <c r="F5" s="234" t="s">
        <v>247</v>
      </c>
      <c r="G5" s="235">
        <v>750</v>
      </c>
      <c r="H5" s="230">
        <v>840</v>
      </c>
      <c r="I5" s="230">
        <v>950</v>
      </c>
      <c r="J5" s="230">
        <v>1070</v>
      </c>
      <c r="K5" s="230">
        <v>1200</v>
      </c>
      <c r="L5" s="230">
        <v>1350</v>
      </c>
      <c r="M5" s="231">
        <v>1500</v>
      </c>
      <c r="N5" s="230">
        <v>1680</v>
      </c>
      <c r="O5" s="230" t="s">
        <v>247</v>
      </c>
      <c r="P5" s="230">
        <v>1870</v>
      </c>
      <c r="Q5" s="232">
        <v>2005</v>
      </c>
      <c r="R5" s="230"/>
      <c r="S5" s="230"/>
      <c r="T5" s="230"/>
      <c r="U5" s="236"/>
      <c r="V5" s="232"/>
    </row>
    <row r="6" spans="1:22" ht="13.5" thickBot="1" x14ac:dyDescent="0.25">
      <c r="A6" s="292"/>
      <c r="B6" s="214" t="s">
        <v>854</v>
      </c>
      <c r="C6" s="231">
        <v>510</v>
      </c>
      <c r="D6" s="230">
        <v>575</v>
      </c>
      <c r="E6" s="230">
        <v>635</v>
      </c>
      <c r="F6" s="230">
        <v>715</v>
      </c>
      <c r="G6" s="232">
        <v>795</v>
      </c>
      <c r="H6" s="230">
        <v>890</v>
      </c>
      <c r="I6" s="230">
        <v>1040</v>
      </c>
      <c r="J6" s="230">
        <v>1180</v>
      </c>
      <c r="K6" s="230">
        <v>1330</v>
      </c>
      <c r="L6" s="230">
        <v>1490</v>
      </c>
      <c r="M6" s="231">
        <v>1660</v>
      </c>
      <c r="N6" s="230">
        <v>1860</v>
      </c>
      <c r="O6" s="230" t="s">
        <v>247</v>
      </c>
      <c r="P6" s="230">
        <v>2000</v>
      </c>
      <c r="Q6" s="232"/>
      <c r="R6" s="230"/>
      <c r="S6" s="230"/>
      <c r="T6" s="230"/>
      <c r="U6" s="230"/>
      <c r="V6" s="232"/>
    </row>
    <row r="7" spans="1:22" ht="13.5" thickBot="1" x14ac:dyDescent="0.25">
      <c r="A7" s="290" t="s">
        <v>857</v>
      </c>
      <c r="B7" s="214" t="s">
        <v>877</v>
      </c>
      <c r="C7" s="227" t="s">
        <v>247</v>
      </c>
      <c r="D7" s="228" t="s">
        <v>247</v>
      </c>
      <c r="E7" s="228">
        <v>485</v>
      </c>
      <c r="F7" s="228">
        <v>575</v>
      </c>
      <c r="G7" s="229">
        <v>665</v>
      </c>
      <c r="H7" s="230">
        <v>760</v>
      </c>
      <c r="I7" s="230">
        <v>840</v>
      </c>
      <c r="J7" s="230">
        <v>925</v>
      </c>
      <c r="K7" s="230">
        <v>1010</v>
      </c>
      <c r="L7" s="230">
        <v>1050</v>
      </c>
      <c r="M7" s="231"/>
      <c r="N7" s="230"/>
      <c r="O7" s="230"/>
      <c r="P7" s="230"/>
      <c r="Q7" s="232"/>
      <c r="R7" s="230"/>
      <c r="S7" s="230"/>
      <c r="T7" s="230"/>
      <c r="U7" s="230"/>
      <c r="V7" s="232"/>
    </row>
    <row r="8" spans="1:22" ht="13.5" thickBot="1" x14ac:dyDescent="0.25">
      <c r="A8" s="291"/>
      <c r="B8" s="214" t="s">
        <v>878</v>
      </c>
      <c r="C8" s="231" t="s">
        <v>247</v>
      </c>
      <c r="D8" s="230">
        <v>655</v>
      </c>
      <c r="E8" s="230">
        <v>725</v>
      </c>
      <c r="F8" s="230">
        <v>820</v>
      </c>
      <c r="G8" s="232">
        <v>910</v>
      </c>
      <c r="H8" s="230">
        <v>1020</v>
      </c>
      <c r="I8" s="230">
        <v>1050</v>
      </c>
      <c r="J8" s="230"/>
      <c r="K8" s="230"/>
      <c r="L8" s="230"/>
      <c r="M8" s="231"/>
      <c r="N8" s="230"/>
      <c r="O8" s="230"/>
      <c r="P8" s="230"/>
      <c r="Q8" s="232"/>
      <c r="R8" s="230"/>
      <c r="S8" s="230"/>
      <c r="T8" s="230"/>
      <c r="U8" s="230"/>
      <c r="V8" s="232"/>
    </row>
    <row r="9" spans="1:22" ht="13.5" thickBot="1" x14ac:dyDescent="0.25">
      <c r="A9" s="291"/>
      <c r="B9" s="214" t="s">
        <v>879</v>
      </c>
      <c r="C9" s="233" t="s">
        <v>247</v>
      </c>
      <c r="D9" s="234" t="s">
        <v>247</v>
      </c>
      <c r="E9" s="234" t="s">
        <v>247</v>
      </c>
      <c r="F9" s="234" t="s">
        <v>247</v>
      </c>
      <c r="G9" s="235">
        <v>860</v>
      </c>
      <c r="H9" s="230">
        <v>965</v>
      </c>
      <c r="I9" s="230">
        <v>1080</v>
      </c>
      <c r="J9" s="230">
        <v>1220</v>
      </c>
      <c r="K9" s="230">
        <v>1380</v>
      </c>
      <c r="L9" s="230">
        <v>1550</v>
      </c>
      <c r="M9" s="231">
        <v>1720</v>
      </c>
      <c r="N9" s="230">
        <v>1920</v>
      </c>
      <c r="O9" s="230" t="s">
        <v>247</v>
      </c>
      <c r="P9" s="230">
        <v>2020</v>
      </c>
      <c r="Q9" s="232">
        <v>2130</v>
      </c>
      <c r="R9" s="230">
        <v>2170</v>
      </c>
      <c r="S9" s="230"/>
      <c r="T9" s="230"/>
      <c r="U9" s="236"/>
      <c r="V9" s="232"/>
    </row>
    <row r="10" spans="1:22" ht="13.5" thickBot="1" x14ac:dyDescent="0.25">
      <c r="A10" s="292"/>
      <c r="B10" s="214" t="s">
        <v>854</v>
      </c>
      <c r="C10" s="231" t="s">
        <v>247</v>
      </c>
      <c r="D10" s="230">
        <v>665</v>
      </c>
      <c r="E10" s="230">
        <v>735</v>
      </c>
      <c r="F10" s="230">
        <v>830</v>
      </c>
      <c r="G10" s="232">
        <v>920</v>
      </c>
      <c r="H10" s="230">
        <v>1030</v>
      </c>
      <c r="I10" s="230">
        <v>1210</v>
      </c>
      <c r="J10" s="230">
        <v>1360</v>
      </c>
      <c r="K10" s="230">
        <v>1540</v>
      </c>
      <c r="L10" s="230">
        <v>1730</v>
      </c>
      <c r="M10" s="231">
        <v>1920</v>
      </c>
      <c r="N10" s="230">
        <v>2150</v>
      </c>
      <c r="O10" s="230" t="s">
        <v>247</v>
      </c>
      <c r="P10" s="230">
        <v>2400</v>
      </c>
      <c r="Q10" s="232">
        <v>2690</v>
      </c>
      <c r="R10" s="230"/>
      <c r="S10" s="230"/>
      <c r="T10" s="230"/>
      <c r="U10" s="230"/>
      <c r="V10" s="232"/>
    </row>
    <row r="11" spans="1:22" ht="13.5" thickBot="1" x14ac:dyDescent="0.25">
      <c r="A11" s="290" t="s">
        <v>881</v>
      </c>
      <c r="B11" s="214" t="s">
        <v>877</v>
      </c>
      <c r="C11" s="227" t="s">
        <v>247</v>
      </c>
      <c r="D11" s="228" t="s">
        <v>247</v>
      </c>
      <c r="E11" s="228" t="s">
        <v>247</v>
      </c>
      <c r="F11" s="228" t="s">
        <v>247</v>
      </c>
      <c r="G11" s="229">
        <v>780</v>
      </c>
      <c r="H11" s="230">
        <v>925</v>
      </c>
      <c r="I11" s="230">
        <v>1090</v>
      </c>
      <c r="J11" s="230">
        <v>1280</v>
      </c>
      <c r="K11" s="230">
        <v>1440</v>
      </c>
      <c r="L11" s="230">
        <v>1580</v>
      </c>
      <c r="M11" s="231">
        <v>1720</v>
      </c>
      <c r="N11" s="230">
        <v>1870</v>
      </c>
      <c r="O11" s="230"/>
      <c r="P11" s="230"/>
      <c r="Q11" s="232"/>
      <c r="R11" s="230"/>
      <c r="S11" s="230"/>
      <c r="T11" s="230"/>
      <c r="U11" s="230"/>
      <c r="V11" s="232"/>
    </row>
    <row r="12" spans="1:22" ht="13.5" thickBot="1" x14ac:dyDescent="0.25">
      <c r="A12" s="291"/>
      <c r="B12" s="214" t="s">
        <v>878</v>
      </c>
      <c r="C12" s="231" t="s">
        <v>247</v>
      </c>
      <c r="D12" s="230" t="s">
        <v>247</v>
      </c>
      <c r="E12" s="230" t="s">
        <v>247</v>
      </c>
      <c r="F12" s="230" t="s">
        <v>247</v>
      </c>
      <c r="G12" s="232">
        <v>1210</v>
      </c>
      <c r="H12" s="230">
        <v>1360</v>
      </c>
      <c r="I12" s="230">
        <v>1590</v>
      </c>
      <c r="J12" s="230">
        <v>1790</v>
      </c>
      <c r="K12" s="230">
        <v>1860</v>
      </c>
      <c r="L12" s="230">
        <v>1870</v>
      </c>
      <c r="M12" s="231"/>
      <c r="N12" s="230"/>
      <c r="O12" s="230"/>
      <c r="P12" s="230"/>
      <c r="Q12" s="232"/>
      <c r="R12" s="230"/>
      <c r="S12" s="230"/>
      <c r="T12" s="230"/>
      <c r="U12" s="230"/>
      <c r="V12" s="232"/>
    </row>
    <row r="13" spans="1:22" ht="13.5" thickBot="1" x14ac:dyDescent="0.25">
      <c r="A13" s="291"/>
      <c r="B13" s="214" t="s">
        <v>879</v>
      </c>
      <c r="C13" s="233" t="s">
        <v>247</v>
      </c>
      <c r="D13" s="234" t="s">
        <v>247</v>
      </c>
      <c r="E13" s="234" t="s">
        <v>247</v>
      </c>
      <c r="F13" s="234" t="s">
        <v>247</v>
      </c>
      <c r="G13" s="235">
        <v>1150</v>
      </c>
      <c r="H13" s="230">
        <v>1280</v>
      </c>
      <c r="I13" s="230">
        <v>1450</v>
      </c>
      <c r="J13" s="230">
        <v>1630</v>
      </c>
      <c r="K13" s="230">
        <v>1840</v>
      </c>
      <c r="L13" s="230">
        <v>2070</v>
      </c>
      <c r="M13" s="231">
        <v>2300</v>
      </c>
      <c r="N13" s="230">
        <v>2570</v>
      </c>
      <c r="O13" s="230" t="s">
        <v>247</v>
      </c>
      <c r="P13" s="230">
        <v>2870</v>
      </c>
      <c r="Q13" s="232">
        <v>3220</v>
      </c>
      <c r="R13" s="230">
        <v>3590</v>
      </c>
      <c r="S13" s="230"/>
      <c r="T13" s="230"/>
      <c r="U13" s="236"/>
      <c r="V13" s="232"/>
    </row>
    <row r="14" spans="1:22" ht="13.5" thickBot="1" x14ac:dyDescent="0.25">
      <c r="A14" s="292"/>
      <c r="B14" s="214" t="s">
        <v>854</v>
      </c>
      <c r="C14" s="231" t="s">
        <v>247</v>
      </c>
      <c r="D14" s="230" t="s">
        <v>247</v>
      </c>
      <c r="E14" s="230" t="s">
        <v>247</v>
      </c>
      <c r="F14" s="230" t="s">
        <v>247</v>
      </c>
      <c r="G14" s="232">
        <v>1210</v>
      </c>
      <c r="H14" s="230">
        <v>1360</v>
      </c>
      <c r="I14" s="230">
        <v>1590</v>
      </c>
      <c r="J14" s="230">
        <v>1790</v>
      </c>
      <c r="K14" s="230">
        <v>2020</v>
      </c>
      <c r="L14" s="230">
        <v>2270</v>
      </c>
      <c r="M14" s="231">
        <v>2520</v>
      </c>
      <c r="N14" s="230">
        <v>2830</v>
      </c>
      <c r="O14" s="230" t="s">
        <v>247</v>
      </c>
      <c r="P14" s="230">
        <v>3160</v>
      </c>
      <c r="Q14" s="232">
        <v>3570</v>
      </c>
      <c r="R14" s="230">
        <v>4080</v>
      </c>
      <c r="S14" s="230"/>
      <c r="T14" s="230"/>
      <c r="U14" s="230"/>
      <c r="V14" s="232"/>
    </row>
    <row r="15" spans="1:22" ht="13.5" thickBot="1" x14ac:dyDescent="0.25">
      <c r="A15" s="289"/>
      <c r="B15" s="289"/>
      <c r="C15" s="289"/>
      <c r="D15" s="289"/>
      <c r="E15" s="289"/>
      <c r="F15" s="289"/>
      <c r="G15" s="289"/>
      <c r="H15" s="289"/>
      <c r="I15" s="289"/>
      <c r="J15" s="289"/>
      <c r="K15" s="289"/>
      <c r="L15" s="289"/>
      <c r="M15" s="289"/>
      <c r="N15" s="289"/>
      <c r="O15" s="289"/>
      <c r="P15" s="289"/>
      <c r="Q15" s="289"/>
      <c r="R15" s="289"/>
      <c r="S15" s="289"/>
      <c r="T15" s="289"/>
      <c r="U15" s="289"/>
      <c r="V15" s="289"/>
    </row>
    <row r="16" spans="1:22" ht="13.5" thickBot="1" x14ac:dyDescent="0.25">
      <c r="A16" s="256" t="s">
        <v>882</v>
      </c>
      <c r="B16" s="257"/>
      <c r="C16" s="257"/>
      <c r="D16" s="257"/>
      <c r="E16" s="257"/>
      <c r="F16" s="257"/>
      <c r="G16" s="257"/>
      <c r="H16" s="257"/>
      <c r="I16" s="257"/>
      <c r="J16" s="257"/>
      <c r="K16" s="257"/>
      <c r="L16" s="257"/>
      <c r="M16" s="257"/>
      <c r="N16" s="257"/>
      <c r="O16" s="257"/>
      <c r="P16" s="257"/>
      <c r="Q16" s="257"/>
      <c r="R16" s="257"/>
      <c r="S16" s="257"/>
      <c r="T16" s="257"/>
      <c r="U16" s="257"/>
      <c r="V16" s="258"/>
    </row>
    <row r="17" spans="1:22" ht="13.5" thickBot="1" x14ac:dyDescent="0.25">
      <c r="A17" s="237" t="s">
        <v>835</v>
      </c>
      <c r="B17" s="237" t="s">
        <v>849</v>
      </c>
      <c r="C17" s="238" t="s">
        <v>811</v>
      </c>
      <c r="D17" s="239" t="s">
        <v>812</v>
      </c>
      <c r="E17" s="239" t="s">
        <v>813</v>
      </c>
      <c r="F17" s="239" t="s">
        <v>814</v>
      </c>
      <c r="G17" s="240" t="s">
        <v>502</v>
      </c>
      <c r="H17" s="239" t="s">
        <v>815</v>
      </c>
      <c r="I17" s="239" t="s">
        <v>816</v>
      </c>
      <c r="J17" s="239" t="s">
        <v>817</v>
      </c>
      <c r="K17" s="239" t="s">
        <v>818</v>
      </c>
      <c r="L17" s="240" t="s">
        <v>819</v>
      </c>
      <c r="M17" s="238" t="s">
        <v>820</v>
      </c>
      <c r="N17" s="239" t="s">
        <v>821</v>
      </c>
      <c r="O17" s="239" t="s">
        <v>828</v>
      </c>
      <c r="P17" s="239" t="s">
        <v>822</v>
      </c>
      <c r="Q17" s="240" t="s">
        <v>823</v>
      </c>
      <c r="R17" s="239" t="s">
        <v>824</v>
      </c>
      <c r="S17" s="239" t="s">
        <v>825</v>
      </c>
      <c r="T17" s="239"/>
      <c r="U17" s="239"/>
      <c r="V17" s="240"/>
    </row>
    <row r="18" spans="1:22" ht="13.5" thickBot="1" x14ac:dyDescent="0.25">
      <c r="A18" s="290" t="s">
        <v>856</v>
      </c>
      <c r="B18" s="214" t="s">
        <v>878</v>
      </c>
      <c r="C18" s="227">
        <v>490</v>
      </c>
      <c r="D18" s="228">
        <v>550</v>
      </c>
      <c r="E18" s="228">
        <v>610</v>
      </c>
      <c r="F18" s="228">
        <v>690</v>
      </c>
      <c r="G18" s="229">
        <v>725</v>
      </c>
      <c r="H18" s="230">
        <v>730</v>
      </c>
      <c r="I18" s="230"/>
      <c r="J18" s="230"/>
      <c r="K18" s="230"/>
      <c r="L18" s="230"/>
      <c r="M18" s="231"/>
      <c r="N18" s="230"/>
      <c r="O18" s="230"/>
      <c r="P18" s="230"/>
      <c r="Q18" s="232"/>
      <c r="R18" s="230"/>
      <c r="S18" s="230"/>
      <c r="T18" s="230"/>
      <c r="U18" s="230"/>
      <c r="V18" s="232"/>
    </row>
    <row r="19" spans="1:22" ht="13.5" thickBot="1" x14ac:dyDescent="0.25">
      <c r="A19" s="292"/>
      <c r="B19" s="214" t="s">
        <v>854</v>
      </c>
      <c r="C19" s="231">
        <v>515</v>
      </c>
      <c r="D19" s="230">
        <v>580</v>
      </c>
      <c r="E19" s="230">
        <v>645</v>
      </c>
      <c r="F19" s="230">
        <v>725</v>
      </c>
      <c r="G19" s="232">
        <v>805</v>
      </c>
      <c r="H19" s="230">
        <v>900</v>
      </c>
      <c r="I19" s="230">
        <v>1060</v>
      </c>
      <c r="J19" s="230">
        <v>1200</v>
      </c>
      <c r="K19" s="230">
        <v>1350</v>
      </c>
      <c r="L19" s="230">
        <v>1520</v>
      </c>
      <c r="M19" s="231">
        <v>1690</v>
      </c>
      <c r="N19" s="230">
        <v>1890</v>
      </c>
      <c r="O19" s="230" t="s">
        <v>247</v>
      </c>
      <c r="P19" s="230">
        <v>2000</v>
      </c>
      <c r="Q19" s="232"/>
      <c r="R19" s="230"/>
      <c r="S19" s="230"/>
      <c r="T19" s="230"/>
      <c r="U19" s="230"/>
      <c r="V19" s="232"/>
    </row>
    <row r="20" spans="1:22" ht="13.5" thickBot="1" x14ac:dyDescent="0.25">
      <c r="A20" s="290" t="s">
        <v>857</v>
      </c>
      <c r="B20" s="214" t="s">
        <v>878</v>
      </c>
      <c r="C20" s="227" t="s">
        <v>247</v>
      </c>
      <c r="D20" s="228">
        <v>660</v>
      </c>
      <c r="E20" s="228">
        <v>735</v>
      </c>
      <c r="F20" s="228">
        <v>825</v>
      </c>
      <c r="G20" s="229">
        <v>920</v>
      </c>
      <c r="H20" s="230">
        <v>1030</v>
      </c>
      <c r="I20" s="230">
        <v>1050</v>
      </c>
      <c r="J20" s="230"/>
      <c r="K20" s="230"/>
      <c r="L20" s="230"/>
      <c r="M20" s="231"/>
      <c r="N20" s="230"/>
      <c r="O20" s="230"/>
      <c r="P20" s="230"/>
      <c r="Q20" s="232"/>
      <c r="R20" s="230"/>
      <c r="S20" s="230"/>
      <c r="T20" s="230"/>
      <c r="U20" s="230"/>
      <c r="V20" s="232"/>
    </row>
    <row r="21" spans="1:22" ht="13.5" thickBot="1" x14ac:dyDescent="0.25">
      <c r="A21" s="292"/>
      <c r="B21" s="214" t="s">
        <v>854</v>
      </c>
      <c r="C21" s="231" t="s">
        <v>247</v>
      </c>
      <c r="D21" s="230">
        <v>670</v>
      </c>
      <c r="E21" s="230">
        <v>745</v>
      </c>
      <c r="F21" s="230">
        <v>840</v>
      </c>
      <c r="G21" s="232">
        <v>930</v>
      </c>
      <c r="H21" s="230">
        <v>1040</v>
      </c>
      <c r="I21" s="230">
        <v>1230</v>
      </c>
      <c r="J21" s="230">
        <v>1390</v>
      </c>
      <c r="K21" s="230">
        <v>1570</v>
      </c>
      <c r="L21" s="230">
        <v>1760</v>
      </c>
      <c r="M21" s="231">
        <v>1960</v>
      </c>
      <c r="N21" s="230">
        <v>2190</v>
      </c>
      <c r="O21" s="230" t="s">
        <v>247</v>
      </c>
      <c r="P21" s="230">
        <v>2450</v>
      </c>
      <c r="Q21" s="232">
        <v>2690</v>
      </c>
      <c r="R21" s="230"/>
      <c r="S21" s="230"/>
      <c r="T21" s="230"/>
      <c r="U21" s="230"/>
      <c r="V21" s="232"/>
    </row>
    <row r="22" spans="1:22" ht="13.5" thickBot="1" x14ac:dyDescent="0.25">
      <c r="A22" s="290" t="s">
        <v>881</v>
      </c>
      <c r="B22" s="214" t="s">
        <v>878</v>
      </c>
      <c r="C22" s="227" t="s">
        <v>247</v>
      </c>
      <c r="D22" s="228" t="s">
        <v>247</v>
      </c>
      <c r="E22" s="228" t="s">
        <v>247</v>
      </c>
      <c r="F22" s="228" t="s">
        <v>247</v>
      </c>
      <c r="G22" s="229">
        <v>1220</v>
      </c>
      <c r="H22" s="230">
        <v>1370</v>
      </c>
      <c r="I22" s="230">
        <v>1620</v>
      </c>
      <c r="J22" s="230">
        <v>1830</v>
      </c>
      <c r="K22" s="230">
        <v>1860</v>
      </c>
      <c r="L22" s="230">
        <v>1870</v>
      </c>
      <c r="M22" s="231"/>
      <c r="N22" s="230"/>
      <c r="O22" s="230"/>
      <c r="P22" s="230"/>
      <c r="Q22" s="232"/>
      <c r="R22" s="230"/>
      <c r="S22" s="230"/>
      <c r="T22" s="230"/>
      <c r="U22" s="230"/>
      <c r="V22" s="232"/>
    </row>
    <row r="23" spans="1:22" ht="13.5" thickBot="1" x14ac:dyDescent="0.25">
      <c r="A23" s="292"/>
      <c r="B23" s="214" t="s">
        <v>854</v>
      </c>
      <c r="C23" s="231" t="s">
        <v>247</v>
      </c>
      <c r="D23" s="230" t="s">
        <v>247</v>
      </c>
      <c r="E23" s="230" t="s">
        <v>247</v>
      </c>
      <c r="F23" s="230" t="s">
        <v>247</v>
      </c>
      <c r="G23" s="232">
        <v>1220</v>
      </c>
      <c r="H23" s="230">
        <v>1370</v>
      </c>
      <c r="I23" s="230">
        <v>1620</v>
      </c>
      <c r="J23" s="230">
        <v>1830</v>
      </c>
      <c r="K23" s="230">
        <v>2060</v>
      </c>
      <c r="L23" s="230">
        <v>2320</v>
      </c>
      <c r="M23" s="231">
        <v>2570</v>
      </c>
      <c r="N23" s="230">
        <v>2880</v>
      </c>
      <c r="O23" s="230" t="s">
        <v>247</v>
      </c>
      <c r="P23" s="230">
        <v>3220</v>
      </c>
      <c r="Q23" s="232">
        <v>3600</v>
      </c>
      <c r="R23" s="230">
        <v>4120</v>
      </c>
      <c r="S23" s="230"/>
      <c r="T23" s="230"/>
      <c r="U23" s="230"/>
      <c r="V23" s="232"/>
    </row>
    <row r="24" spans="1:22" ht="13.5" thickBot="1" x14ac:dyDescent="0.25">
      <c r="A24" s="289"/>
      <c r="B24" s="289"/>
      <c r="C24" s="289"/>
      <c r="D24" s="289"/>
      <c r="E24" s="289"/>
      <c r="F24" s="289"/>
      <c r="G24" s="289"/>
      <c r="H24" s="289"/>
      <c r="I24" s="289"/>
      <c r="J24" s="289"/>
      <c r="K24" s="289"/>
      <c r="L24" s="289"/>
      <c r="M24" s="289"/>
      <c r="N24" s="289"/>
      <c r="O24" s="289"/>
      <c r="P24" s="289"/>
      <c r="Q24" s="289"/>
      <c r="R24" s="289"/>
      <c r="S24" s="289"/>
      <c r="T24" s="289"/>
      <c r="U24" s="289"/>
      <c r="V24" s="289"/>
    </row>
    <row r="25" spans="1:22" ht="13.5" thickBot="1" x14ac:dyDescent="0.25">
      <c r="A25" s="286" t="s">
        <v>883</v>
      </c>
      <c r="B25" s="287"/>
      <c r="C25" s="287"/>
      <c r="D25" s="287"/>
      <c r="E25" s="287"/>
      <c r="F25" s="287"/>
      <c r="G25" s="287"/>
      <c r="H25" s="287"/>
      <c r="I25" s="287"/>
      <c r="J25" s="287"/>
      <c r="K25" s="287"/>
      <c r="L25" s="287"/>
      <c r="M25" s="287"/>
      <c r="N25" s="287"/>
      <c r="O25" s="287"/>
      <c r="P25" s="287"/>
      <c r="Q25" s="287"/>
      <c r="R25" s="287"/>
      <c r="S25" s="287"/>
      <c r="T25" s="287"/>
      <c r="U25" s="287"/>
      <c r="V25" s="288"/>
    </row>
    <row r="26" spans="1:22" ht="13.5" thickBot="1" x14ac:dyDescent="0.25">
      <c r="A26" s="201" t="s">
        <v>835</v>
      </c>
      <c r="B26" s="220" t="s">
        <v>849</v>
      </c>
      <c r="C26" s="217" t="s">
        <v>811</v>
      </c>
      <c r="D26" s="218" t="s">
        <v>812</v>
      </c>
      <c r="E26" s="218" t="s">
        <v>813</v>
      </c>
      <c r="F26" s="218" t="s">
        <v>814</v>
      </c>
      <c r="G26" s="219" t="s">
        <v>502</v>
      </c>
      <c r="H26" s="218" t="s">
        <v>815</v>
      </c>
      <c r="I26" s="218" t="s">
        <v>816</v>
      </c>
      <c r="J26" s="218" t="s">
        <v>817</v>
      </c>
      <c r="K26" s="218" t="s">
        <v>818</v>
      </c>
      <c r="L26" s="219" t="s">
        <v>819</v>
      </c>
      <c r="M26" s="217" t="s">
        <v>820</v>
      </c>
      <c r="N26" s="218" t="s">
        <v>821</v>
      </c>
      <c r="O26" s="218" t="s">
        <v>828</v>
      </c>
      <c r="P26" s="218" t="s">
        <v>822</v>
      </c>
      <c r="Q26" s="219" t="s">
        <v>823</v>
      </c>
      <c r="R26" s="218" t="s">
        <v>824</v>
      </c>
      <c r="S26" s="218" t="s">
        <v>825</v>
      </c>
      <c r="T26" s="218"/>
      <c r="U26" s="218"/>
      <c r="V26" s="219"/>
    </row>
    <row r="27" spans="1:22" ht="13.5" thickBot="1" x14ac:dyDescent="0.25">
      <c r="A27" s="290" t="s">
        <v>856</v>
      </c>
      <c r="B27" s="214" t="s">
        <v>877</v>
      </c>
      <c r="C27" s="227">
        <v>315</v>
      </c>
      <c r="D27" s="228">
        <v>375</v>
      </c>
      <c r="E27" s="228">
        <v>435</v>
      </c>
      <c r="F27" s="228">
        <v>500</v>
      </c>
      <c r="G27" s="229">
        <v>560</v>
      </c>
      <c r="H27" s="230">
        <v>620</v>
      </c>
      <c r="I27" s="230">
        <v>675</v>
      </c>
      <c r="J27" s="230">
        <v>730</v>
      </c>
      <c r="K27" s="230"/>
      <c r="L27" s="230"/>
      <c r="M27" s="231"/>
      <c r="N27" s="230"/>
      <c r="O27" s="230"/>
      <c r="P27" s="230"/>
      <c r="Q27" s="232"/>
      <c r="R27" s="230"/>
      <c r="S27" s="230"/>
      <c r="T27" s="230"/>
      <c r="U27" s="230"/>
      <c r="V27" s="232"/>
    </row>
    <row r="28" spans="1:22" ht="13.5" thickBot="1" x14ac:dyDescent="0.25">
      <c r="A28" s="291"/>
      <c r="B28" s="214" t="s">
        <v>878</v>
      </c>
      <c r="C28" s="231">
        <v>565</v>
      </c>
      <c r="D28" s="230">
        <v>635</v>
      </c>
      <c r="E28" s="230">
        <v>705</v>
      </c>
      <c r="F28" s="230">
        <v>715</v>
      </c>
      <c r="G28" s="232">
        <v>725</v>
      </c>
      <c r="H28" s="230">
        <v>730</v>
      </c>
      <c r="I28" s="230"/>
      <c r="J28" s="230"/>
      <c r="K28" s="230"/>
      <c r="L28" s="230"/>
      <c r="M28" s="231"/>
      <c r="N28" s="230"/>
      <c r="O28" s="230"/>
      <c r="P28" s="230"/>
      <c r="Q28" s="232"/>
      <c r="R28" s="230"/>
      <c r="S28" s="230"/>
      <c r="T28" s="230"/>
      <c r="U28" s="230"/>
      <c r="V28" s="232"/>
    </row>
    <row r="29" spans="1:22" ht="13.5" thickBot="1" x14ac:dyDescent="0.25">
      <c r="A29" s="291"/>
      <c r="B29" s="214" t="s">
        <v>879</v>
      </c>
      <c r="C29" s="233">
        <v>580</v>
      </c>
      <c r="D29" s="234">
        <v>650</v>
      </c>
      <c r="E29" s="234">
        <v>715</v>
      </c>
      <c r="F29" s="234" t="s">
        <v>247</v>
      </c>
      <c r="G29" s="235">
        <v>885</v>
      </c>
      <c r="H29" s="230">
        <v>985</v>
      </c>
      <c r="I29" s="230">
        <v>1100</v>
      </c>
      <c r="J29" s="230">
        <v>1240</v>
      </c>
      <c r="K29" s="230">
        <v>1390</v>
      </c>
      <c r="L29" s="230">
        <v>1560</v>
      </c>
      <c r="M29" s="231">
        <v>1730</v>
      </c>
      <c r="N29" s="230">
        <v>1930</v>
      </c>
      <c r="O29" s="230" t="s">
        <v>247</v>
      </c>
      <c r="P29" s="230">
        <v>2005</v>
      </c>
      <c r="Q29" s="232"/>
      <c r="R29" s="230"/>
      <c r="S29" s="230"/>
      <c r="T29" s="230"/>
      <c r="U29" s="236"/>
      <c r="V29" s="232"/>
    </row>
    <row r="30" spans="1:22" ht="13.5" thickBot="1" x14ac:dyDescent="0.25">
      <c r="A30" s="292"/>
      <c r="B30" s="214" t="s">
        <v>854</v>
      </c>
      <c r="C30" s="231">
        <v>595</v>
      </c>
      <c r="D30" s="230">
        <v>665</v>
      </c>
      <c r="E30" s="230">
        <v>755</v>
      </c>
      <c r="F30" s="230">
        <v>850</v>
      </c>
      <c r="G30" s="232">
        <v>945</v>
      </c>
      <c r="H30" s="230">
        <v>1060</v>
      </c>
      <c r="I30" s="230">
        <v>1200</v>
      </c>
      <c r="J30" s="230">
        <v>1350</v>
      </c>
      <c r="K30" s="230">
        <v>1520</v>
      </c>
      <c r="L30" s="230">
        <v>1710</v>
      </c>
      <c r="M30" s="231">
        <v>1900</v>
      </c>
      <c r="N30" s="230">
        <v>2000</v>
      </c>
      <c r="O30" s="230"/>
      <c r="P30" s="230"/>
      <c r="Q30" s="232"/>
      <c r="R30" s="230"/>
      <c r="S30" s="230"/>
      <c r="T30" s="230"/>
      <c r="U30" s="230"/>
      <c r="V30" s="232"/>
    </row>
    <row r="31" spans="1:22" ht="13.5" thickBot="1" x14ac:dyDescent="0.25">
      <c r="A31" s="290" t="s">
        <v>857</v>
      </c>
      <c r="B31" s="214" t="s">
        <v>877</v>
      </c>
      <c r="C31" s="227" t="s">
        <v>247</v>
      </c>
      <c r="D31" s="228" t="s">
        <v>247</v>
      </c>
      <c r="E31" s="228">
        <v>485</v>
      </c>
      <c r="F31" s="228">
        <v>575</v>
      </c>
      <c r="G31" s="229">
        <v>665</v>
      </c>
      <c r="H31" s="230">
        <v>760</v>
      </c>
      <c r="I31" s="230">
        <v>840</v>
      </c>
      <c r="J31" s="230">
        <v>925</v>
      </c>
      <c r="K31" s="230">
        <v>1010</v>
      </c>
      <c r="L31" s="230">
        <v>1050</v>
      </c>
      <c r="M31" s="231"/>
      <c r="N31" s="230"/>
      <c r="O31" s="230"/>
      <c r="P31" s="230"/>
      <c r="Q31" s="232"/>
      <c r="R31" s="230"/>
      <c r="S31" s="230"/>
      <c r="T31" s="230"/>
      <c r="U31" s="230"/>
      <c r="V31" s="232"/>
    </row>
    <row r="32" spans="1:22" ht="13.5" thickBot="1" x14ac:dyDescent="0.25">
      <c r="A32" s="291"/>
      <c r="B32" s="214" t="s">
        <v>878</v>
      </c>
      <c r="C32" s="231" t="s">
        <v>247</v>
      </c>
      <c r="D32" s="230">
        <v>765</v>
      </c>
      <c r="E32" s="230">
        <v>800</v>
      </c>
      <c r="F32" s="230">
        <v>970</v>
      </c>
      <c r="G32" s="232">
        <v>1020</v>
      </c>
      <c r="H32" s="230">
        <v>1040</v>
      </c>
      <c r="I32" s="230">
        <v>1050</v>
      </c>
      <c r="J32" s="230"/>
      <c r="K32" s="230"/>
      <c r="L32" s="230"/>
      <c r="M32" s="231"/>
      <c r="N32" s="230"/>
      <c r="O32" s="230"/>
      <c r="P32" s="230"/>
      <c r="Q32" s="232"/>
      <c r="R32" s="230"/>
      <c r="S32" s="230"/>
      <c r="T32" s="230"/>
      <c r="U32" s="230"/>
      <c r="V32" s="232"/>
    </row>
    <row r="33" spans="1:22" ht="13.5" thickBot="1" x14ac:dyDescent="0.25">
      <c r="A33" s="291"/>
      <c r="B33" s="214" t="s">
        <v>879</v>
      </c>
      <c r="C33" s="233" t="s">
        <v>247</v>
      </c>
      <c r="D33" s="234" t="s">
        <v>247</v>
      </c>
      <c r="E33" s="234" t="s">
        <v>247</v>
      </c>
      <c r="F33" s="234" t="s">
        <v>247</v>
      </c>
      <c r="G33" s="235">
        <v>1010</v>
      </c>
      <c r="H33" s="230">
        <v>1130</v>
      </c>
      <c r="I33" s="230">
        <v>1270</v>
      </c>
      <c r="J33" s="230">
        <v>1430</v>
      </c>
      <c r="K33" s="230">
        <v>1620</v>
      </c>
      <c r="L33" s="230">
        <v>1820</v>
      </c>
      <c r="M33" s="231">
        <v>2020</v>
      </c>
      <c r="N33" s="230">
        <v>2270</v>
      </c>
      <c r="O33" s="230" t="s">
        <v>247</v>
      </c>
      <c r="P33" s="230">
        <v>2530</v>
      </c>
      <c r="Q33" s="232">
        <v>2690</v>
      </c>
      <c r="R33" s="230"/>
      <c r="S33" s="230"/>
      <c r="T33" s="230"/>
      <c r="U33" s="236"/>
      <c r="V33" s="232"/>
    </row>
    <row r="34" spans="1:22" ht="13.5" thickBot="1" x14ac:dyDescent="0.25">
      <c r="A34" s="292"/>
      <c r="B34" s="214" t="s">
        <v>854</v>
      </c>
      <c r="C34" s="231" t="s">
        <v>247</v>
      </c>
      <c r="D34" s="230">
        <v>775</v>
      </c>
      <c r="E34" s="230">
        <v>875</v>
      </c>
      <c r="F34" s="230">
        <v>985</v>
      </c>
      <c r="G34" s="232">
        <v>1090</v>
      </c>
      <c r="H34" s="230">
        <v>1220</v>
      </c>
      <c r="I34" s="230">
        <v>1390</v>
      </c>
      <c r="J34" s="230">
        <v>1560</v>
      </c>
      <c r="K34" s="230">
        <v>1760</v>
      </c>
      <c r="L34" s="230">
        <v>1980</v>
      </c>
      <c r="M34" s="231">
        <v>2200</v>
      </c>
      <c r="N34" s="230">
        <v>2470</v>
      </c>
      <c r="O34" s="230" t="s">
        <v>247</v>
      </c>
      <c r="P34" s="230">
        <v>2690</v>
      </c>
      <c r="Q34" s="232"/>
      <c r="R34" s="230"/>
      <c r="S34" s="230"/>
      <c r="T34" s="230"/>
      <c r="U34" s="230"/>
      <c r="V34" s="232"/>
    </row>
    <row r="35" spans="1:22" ht="13.5" thickBot="1" x14ac:dyDescent="0.25">
      <c r="A35" s="290" t="s">
        <v>881</v>
      </c>
      <c r="B35" s="214" t="s">
        <v>877</v>
      </c>
      <c r="C35" s="227" t="s">
        <v>247</v>
      </c>
      <c r="D35" s="228" t="s">
        <v>247</v>
      </c>
      <c r="E35" s="228" t="s">
        <v>247</v>
      </c>
      <c r="F35" s="228" t="s">
        <v>247</v>
      </c>
      <c r="G35" s="229">
        <v>780</v>
      </c>
      <c r="H35" s="230">
        <v>925</v>
      </c>
      <c r="I35" s="230">
        <v>1090</v>
      </c>
      <c r="J35" s="230">
        <v>1280</v>
      </c>
      <c r="K35" s="230">
        <v>1440</v>
      </c>
      <c r="L35" s="230">
        <v>1580</v>
      </c>
      <c r="M35" s="231">
        <v>1720</v>
      </c>
      <c r="N35" s="230">
        <v>1870</v>
      </c>
      <c r="O35" s="230"/>
      <c r="P35" s="230"/>
      <c r="Q35" s="232"/>
      <c r="R35" s="230"/>
      <c r="S35" s="230"/>
      <c r="T35" s="230"/>
      <c r="U35" s="230"/>
      <c r="V35" s="232"/>
    </row>
    <row r="36" spans="1:22" ht="13.5" thickBot="1" x14ac:dyDescent="0.25">
      <c r="A36" s="291"/>
      <c r="B36" s="214" t="s">
        <v>878</v>
      </c>
      <c r="C36" s="231" t="s">
        <v>247</v>
      </c>
      <c r="D36" s="230" t="s">
        <v>247</v>
      </c>
      <c r="E36" s="230" t="s">
        <v>247</v>
      </c>
      <c r="F36" s="230" t="s">
        <v>247</v>
      </c>
      <c r="G36" s="232">
        <v>1440</v>
      </c>
      <c r="H36" s="230">
        <v>1610</v>
      </c>
      <c r="I36" s="230">
        <v>1800</v>
      </c>
      <c r="J36" s="230">
        <v>1830</v>
      </c>
      <c r="K36" s="230">
        <v>1860</v>
      </c>
      <c r="L36" s="230">
        <v>1870</v>
      </c>
      <c r="M36" s="231"/>
      <c r="N36" s="230"/>
      <c r="O36" s="230"/>
      <c r="P36" s="230"/>
      <c r="Q36" s="232"/>
      <c r="R36" s="230"/>
      <c r="S36" s="230"/>
      <c r="T36" s="230"/>
      <c r="U36" s="230"/>
      <c r="V36" s="232"/>
    </row>
    <row r="37" spans="1:22" ht="13.5" thickBot="1" x14ac:dyDescent="0.25">
      <c r="A37" s="291"/>
      <c r="B37" s="214" t="s">
        <v>879</v>
      </c>
      <c r="C37" s="233" t="s">
        <v>247</v>
      </c>
      <c r="D37" s="234" t="s">
        <v>247</v>
      </c>
      <c r="E37" s="234" t="s">
        <v>247</v>
      </c>
      <c r="F37" s="234" t="s">
        <v>247</v>
      </c>
      <c r="G37" s="235">
        <v>1350</v>
      </c>
      <c r="H37" s="230">
        <v>1500</v>
      </c>
      <c r="I37" s="230">
        <v>1700</v>
      </c>
      <c r="J37" s="230">
        <v>1910</v>
      </c>
      <c r="K37" s="230">
        <v>2150</v>
      </c>
      <c r="L37" s="230">
        <v>2430</v>
      </c>
      <c r="M37" s="231">
        <v>2700</v>
      </c>
      <c r="N37" s="230">
        <v>3020</v>
      </c>
      <c r="O37" s="230" t="s">
        <v>247</v>
      </c>
      <c r="P37" s="230">
        <v>3370</v>
      </c>
      <c r="Q37" s="232">
        <v>3780</v>
      </c>
      <c r="R37" s="230">
        <v>4320</v>
      </c>
      <c r="S37" s="230"/>
      <c r="T37" s="230"/>
      <c r="U37" s="236"/>
      <c r="V37" s="232"/>
    </row>
    <row r="38" spans="1:22" ht="13.5" thickBot="1" x14ac:dyDescent="0.25">
      <c r="A38" s="292"/>
      <c r="B38" s="214" t="s">
        <v>854</v>
      </c>
      <c r="C38" s="231" t="s">
        <v>247</v>
      </c>
      <c r="D38" s="230" t="s">
        <v>247</v>
      </c>
      <c r="E38" s="230" t="s">
        <v>247</v>
      </c>
      <c r="F38" s="230" t="s">
        <v>247</v>
      </c>
      <c r="G38" s="232">
        <v>1440</v>
      </c>
      <c r="H38" s="230">
        <v>1610</v>
      </c>
      <c r="I38" s="230">
        <v>1830</v>
      </c>
      <c r="J38" s="230">
        <v>2060</v>
      </c>
      <c r="K38" s="230">
        <v>2320</v>
      </c>
      <c r="L38" s="230">
        <v>2610</v>
      </c>
      <c r="M38" s="231">
        <v>2900</v>
      </c>
      <c r="N38" s="230">
        <v>3250</v>
      </c>
      <c r="O38" s="230" t="s">
        <v>247</v>
      </c>
      <c r="P38" s="230">
        <v>3620</v>
      </c>
      <c r="Q38" s="232">
        <v>4060</v>
      </c>
      <c r="R38" s="230">
        <v>4640</v>
      </c>
      <c r="S38" s="230">
        <v>4650</v>
      </c>
      <c r="T38" s="230"/>
      <c r="U38" s="230"/>
      <c r="V38" s="232"/>
    </row>
    <row r="39" spans="1:22" ht="13.5" thickBot="1" x14ac:dyDescent="0.25">
      <c r="A39" s="289"/>
      <c r="B39" s="289"/>
      <c r="C39" s="289"/>
      <c r="D39" s="289"/>
      <c r="E39" s="289"/>
      <c r="F39" s="289"/>
      <c r="G39" s="289"/>
      <c r="H39" s="289"/>
      <c r="I39" s="289"/>
      <c r="J39" s="289"/>
      <c r="K39" s="289"/>
      <c r="L39" s="289"/>
      <c r="M39" s="289"/>
      <c r="N39" s="289"/>
      <c r="O39" s="289"/>
      <c r="P39" s="289"/>
      <c r="Q39" s="289"/>
      <c r="R39" s="289"/>
      <c r="S39" s="289"/>
      <c r="T39" s="289"/>
      <c r="U39" s="289"/>
      <c r="V39" s="289"/>
    </row>
    <row r="40" spans="1:22" ht="13.5" thickBot="1" x14ac:dyDescent="0.25">
      <c r="A40" s="286" t="s">
        <v>884</v>
      </c>
      <c r="B40" s="287"/>
      <c r="C40" s="287"/>
      <c r="D40" s="287"/>
      <c r="E40" s="287"/>
      <c r="F40" s="287"/>
      <c r="G40" s="287"/>
      <c r="H40" s="287"/>
      <c r="I40" s="287"/>
      <c r="J40" s="287"/>
      <c r="K40" s="287"/>
      <c r="L40" s="287"/>
      <c r="M40" s="287"/>
      <c r="N40" s="287"/>
      <c r="O40" s="287"/>
      <c r="P40" s="287"/>
      <c r="Q40" s="287"/>
      <c r="R40" s="287"/>
      <c r="S40" s="287"/>
      <c r="T40" s="287"/>
      <c r="U40" s="287"/>
      <c r="V40" s="288"/>
    </row>
    <row r="41" spans="1:22" ht="13.5" thickBot="1" x14ac:dyDescent="0.25">
      <c r="A41" s="293" t="s">
        <v>835</v>
      </c>
      <c r="B41" s="294"/>
      <c r="C41" s="217" t="s">
        <v>811</v>
      </c>
      <c r="D41" s="218" t="s">
        <v>812</v>
      </c>
      <c r="E41" s="218" t="s">
        <v>813</v>
      </c>
      <c r="F41" s="218" t="s">
        <v>814</v>
      </c>
      <c r="G41" s="219" t="s">
        <v>502</v>
      </c>
      <c r="H41" s="218" t="s">
        <v>815</v>
      </c>
      <c r="I41" s="218" t="s">
        <v>816</v>
      </c>
      <c r="J41" s="218" t="s">
        <v>817</v>
      </c>
      <c r="K41" s="218" t="s">
        <v>818</v>
      </c>
      <c r="L41" s="219" t="s">
        <v>819</v>
      </c>
      <c r="M41" s="217" t="s">
        <v>820</v>
      </c>
      <c r="N41" s="218" t="s">
        <v>821</v>
      </c>
      <c r="O41" s="218" t="s">
        <v>828</v>
      </c>
      <c r="P41" s="218" t="s">
        <v>822</v>
      </c>
      <c r="Q41" s="247" t="s">
        <v>823</v>
      </c>
      <c r="R41" s="246" t="s">
        <v>824</v>
      </c>
      <c r="S41" s="246" t="s">
        <v>825</v>
      </c>
      <c r="T41" s="246"/>
      <c r="U41" s="246"/>
      <c r="V41" s="245"/>
    </row>
    <row r="42" spans="1:22" ht="13.5" thickBot="1" x14ac:dyDescent="0.25">
      <c r="A42" s="290" t="s">
        <v>885</v>
      </c>
      <c r="B42" s="213" t="s">
        <v>890</v>
      </c>
      <c r="C42" s="231">
        <f>C41*0.164*95</f>
        <v>498.56</v>
      </c>
      <c r="D42" s="230">
        <f t="shared" ref="D42:P42" si="0">D41*0.164*95</f>
        <v>560.88</v>
      </c>
      <c r="E42" s="230">
        <f t="shared" si="0"/>
        <v>623.20000000000005</v>
      </c>
      <c r="F42" s="230">
        <f t="shared" si="0"/>
        <v>701.1</v>
      </c>
      <c r="G42" s="232">
        <f t="shared" si="0"/>
        <v>779.00000000000011</v>
      </c>
      <c r="H42" s="231">
        <f t="shared" si="0"/>
        <v>872.48000000000013</v>
      </c>
      <c r="I42" s="230">
        <f t="shared" si="0"/>
        <v>981.54000000000008</v>
      </c>
      <c r="J42" s="230">
        <f t="shared" si="0"/>
        <v>1106.18</v>
      </c>
      <c r="K42" s="230">
        <f t="shared" si="0"/>
        <v>1246.4000000000001</v>
      </c>
      <c r="L42" s="232">
        <f t="shared" si="0"/>
        <v>1402.2</v>
      </c>
      <c r="M42" s="231">
        <f t="shared" si="0"/>
        <v>1558.0000000000002</v>
      </c>
      <c r="N42" s="230">
        <f t="shared" si="0"/>
        <v>1744.9600000000003</v>
      </c>
      <c r="O42" s="230">
        <f t="shared" si="0"/>
        <v>1885.18</v>
      </c>
      <c r="P42" s="230">
        <f t="shared" si="0"/>
        <v>1947.5</v>
      </c>
      <c r="Q42" s="248">
        <f>Q41*0.164*96</f>
        <v>2204.16</v>
      </c>
      <c r="R42" s="243">
        <f>R41*0.164*96</f>
        <v>2519.04</v>
      </c>
      <c r="S42" s="241">
        <f>S41*0.164*96</f>
        <v>2833.92</v>
      </c>
      <c r="T42" s="241"/>
      <c r="U42" s="241"/>
      <c r="V42" s="242"/>
    </row>
    <row r="43" spans="1:22" ht="13.5" thickBot="1" x14ac:dyDescent="0.25">
      <c r="A43" s="291"/>
      <c r="B43" s="213" t="s">
        <v>888</v>
      </c>
      <c r="C43" s="231">
        <f>C41*0.165*95</f>
        <v>501.6</v>
      </c>
      <c r="D43" s="230">
        <f t="shared" ref="D43:P43" si="1">D41*0.165*95</f>
        <v>564.30000000000007</v>
      </c>
      <c r="E43" s="230">
        <f t="shared" si="1"/>
        <v>627</v>
      </c>
      <c r="F43" s="230">
        <f t="shared" si="1"/>
        <v>705.37500000000011</v>
      </c>
      <c r="G43" s="232">
        <f t="shared" si="1"/>
        <v>783.75</v>
      </c>
      <c r="H43" s="231">
        <f t="shared" si="1"/>
        <v>877.80000000000007</v>
      </c>
      <c r="I43" s="230">
        <f t="shared" si="1"/>
        <v>987.52500000000009</v>
      </c>
      <c r="J43" s="230">
        <f t="shared" si="1"/>
        <v>1112.925</v>
      </c>
      <c r="K43" s="230">
        <f t="shared" si="1"/>
        <v>1254</v>
      </c>
      <c r="L43" s="232">
        <f t="shared" si="1"/>
        <v>1410.7500000000002</v>
      </c>
      <c r="M43" s="231">
        <f t="shared" si="1"/>
        <v>1567.5</v>
      </c>
      <c r="N43" s="230">
        <f t="shared" si="1"/>
        <v>1755.6000000000001</v>
      </c>
      <c r="O43" s="230">
        <f t="shared" si="1"/>
        <v>1896.675</v>
      </c>
      <c r="P43" s="230">
        <f t="shared" si="1"/>
        <v>1959.375</v>
      </c>
      <c r="Q43" s="248">
        <f>Q41*0.165*96</f>
        <v>2217.6000000000004</v>
      </c>
      <c r="R43" s="243">
        <f>R41*0.165*96</f>
        <v>2534.4</v>
      </c>
      <c r="S43" s="241">
        <f>S41*0.165*96</f>
        <v>2851.2000000000003</v>
      </c>
      <c r="T43" s="241"/>
      <c r="U43" s="241"/>
      <c r="V43" s="242"/>
    </row>
    <row r="44" spans="1:22" ht="13.5" thickBot="1" x14ac:dyDescent="0.25">
      <c r="A44" s="291"/>
      <c r="B44" s="214" t="s">
        <v>891</v>
      </c>
      <c r="C44" s="231">
        <f>C41*0.183*95</f>
        <v>556.31999999999994</v>
      </c>
      <c r="D44" s="230">
        <f t="shared" ref="D44:P44" si="2">D41*0.183*95</f>
        <v>625.86</v>
      </c>
      <c r="E44" s="230">
        <f t="shared" si="2"/>
        <v>695.4</v>
      </c>
      <c r="F44" s="230">
        <f t="shared" si="2"/>
        <v>782.32499999999993</v>
      </c>
      <c r="G44" s="232">
        <f t="shared" si="2"/>
        <v>869.25</v>
      </c>
      <c r="H44" s="231">
        <f t="shared" si="2"/>
        <v>973.56</v>
      </c>
      <c r="I44" s="230">
        <f t="shared" si="2"/>
        <v>1095.2549999999999</v>
      </c>
      <c r="J44" s="230">
        <f t="shared" si="2"/>
        <v>1234.335</v>
      </c>
      <c r="K44" s="230">
        <f t="shared" si="2"/>
        <v>1390.8</v>
      </c>
      <c r="L44" s="232">
        <f t="shared" si="2"/>
        <v>1564.6499999999999</v>
      </c>
      <c r="M44" s="231">
        <f t="shared" si="2"/>
        <v>1738.5</v>
      </c>
      <c r="N44" s="230">
        <f t="shared" si="2"/>
        <v>1947.12</v>
      </c>
      <c r="O44" s="230">
        <f t="shared" si="2"/>
        <v>2103.585</v>
      </c>
      <c r="P44" s="230">
        <f t="shared" si="2"/>
        <v>2173.125</v>
      </c>
      <c r="Q44" s="248">
        <f>Q41*0.183*96</f>
        <v>2459.52</v>
      </c>
      <c r="R44" s="243">
        <f>R41*0.183*96</f>
        <v>2810.88</v>
      </c>
      <c r="S44" s="241">
        <f>S41*0.183*96</f>
        <v>3162.24</v>
      </c>
      <c r="T44" s="241"/>
      <c r="U44" s="241"/>
      <c r="V44" s="242"/>
    </row>
    <row r="45" spans="1:22" ht="13.5" thickBot="1" x14ac:dyDescent="0.25">
      <c r="A45" s="291"/>
      <c r="B45" s="213" t="s">
        <v>887</v>
      </c>
      <c r="C45" s="231">
        <f>C41*0.19*95</f>
        <v>577.6</v>
      </c>
      <c r="D45" s="230">
        <f t="shared" ref="D45:P45" si="3">D41*0.19*95</f>
        <v>649.79999999999995</v>
      </c>
      <c r="E45" s="230">
        <f t="shared" si="3"/>
        <v>722</v>
      </c>
      <c r="F45" s="230">
        <f t="shared" si="3"/>
        <v>812.25000000000011</v>
      </c>
      <c r="G45" s="232">
        <f t="shared" si="3"/>
        <v>902.5</v>
      </c>
      <c r="H45" s="231">
        <f t="shared" si="3"/>
        <v>1010.8000000000001</v>
      </c>
      <c r="I45" s="230">
        <f t="shared" si="3"/>
        <v>1137.1500000000001</v>
      </c>
      <c r="J45" s="230">
        <f t="shared" si="3"/>
        <v>1281.55</v>
      </c>
      <c r="K45" s="230">
        <f t="shared" si="3"/>
        <v>1444</v>
      </c>
      <c r="L45" s="232">
        <f t="shared" si="3"/>
        <v>1624.5000000000002</v>
      </c>
      <c r="M45" s="231">
        <f t="shared" si="3"/>
        <v>1805</v>
      </c>
      <c r="N45" s="230">
        <f t="shared" si="3"/>
        <v>2021.6000000000001</v>
      </c>
      <c r="O45" s="230">
        <f t="shared" si="3"/>
        <v>2184.0500000000002</v>
      </c>
      <c r="P45" s="230">
        <f t="shared" si="3"/>
        <v>2256.25</v>
      </c>
      <c r="Q45" s="248">
        <f>Q41*0.19*96</f>
        <v>2553.6000000000004</v>
      </c>
      <c r="R45" s="243">
        <f>R41*0.19*96</f>
        <v>2918.3999999999996</v>
      </c>
      <c r="S45" s="241">
        <f>S41*0.19*96</f>
        <v>3283.2000000000003</v>
      </c>
      <c r="T45" s="241"/>
      <c r="U45" s="241"/>
      <c r="V45" s="242"/>
    </row>
    <row r="46" spans="1:22" ht="13.5" thickBot="1" x14ac:dyDescent="0.25">
      <c r="A46" s="291"/>
      <c r="B46" s="213" t="s">
        <v>886</v>
      </c>
      <c r="C46" s="231">
        <f>C41*0.196*95</f>
        <v>595.84</v>
      </c>
      <c r="D46" s="230">
        <f t="shared" ref="D46:P46" si="4">D41*0.196*95</f>
        <v>670.32</v>
      </c>
      <c r="E46" s="230">
        <f t="shared" si="4"/>
        <v>744.8</v>
      </c>
      <c r="F46" s="230">
        <f t="shared" si="4"/>
        <v>837.9</v>
      </c>
      <c r="G46" s="232">
        <f t="shared" si="4"/>
        <v>931.00000000000011</v>
      </c>
      <c r="H46" s="231">
        <f t="shared" si="4"/>
        <v>1042.72</v>
      </c>
      <c r="I46" s="230">
        <f t="shared" si="4"/>
        <v>1173.0600000000002</v>
      </c>
      <c r="J46" s="230">
        <f t="shared" si="4"/>
        <v>1322.02</v>
      </c>
      <c r="K46" s="230">
        <f t="shared" si="4"/>
        <v>1489.6</v>
      </c>
      <c r="L46" s="232">
        <f t="shared" si="4"/>
        <v>1675.8</v>
      </c>
      <c r="M46" s="231">
        <f t="shared" si="4"/>
        <v>1862.0000000000002</v>
      </c>
      <c r="N46" s="230">
        <f t="shared" si="4"/>
        <v>2085.44</v>
      </c>
      <c r="O46" s="230">
        <f t="shared" si="4"/>
        <v>2253.02</v>
      </c>
      <c r="P46" s="230">
        <f t="shared" si="4"/>
        <v>2327.5</v>
      </c>
      <c r="Q46" s="248">
        <f>Q41*0.196*96</f>
        <v>2634.2400000000002</v>
      </c>
      <c r="R46" s="243">
        <f>R41*0.196*96</f>
        <v>3010.56</v>
      </c>
      <c r="S46" s="241">
        <f>S41*0.196*96</f>
        <v>3386.88</v>
      </c>
      <c r="T46" s="241"/>
      <c r="U46" s="241"/>
      <c r="V46" s="242"/>
    </row>
    <row r="47" spans="1:22" ht="13.5" thickBot="1" x14ac:dyDescent="0.25">
      <c r="A47" s="291"/>
      <c r="B47" s="214" t="s">
        <v>892</v>
      </c>
      <c r="C47" s="231">
        <f>C41*0.218*95</f>
        <v>662.72</v>
      </c>
      <c r="D47" s="230">
        <f t="shared" ref="D47:P47" si="5">D41*0.218*95</f>
        <v>745.56</v>
      </c>
      <c r="E47" s="230">
        <f t="shared" si="5"/>
        <v>828.40000000000009</v>
      </c>
      <c r="F47" s="230">
        <f t="shared" si="5"/>
        <v>931.95</v>
      </c>
      <c r="G47" s="232">
        <f t="shared" si="5"/>
        <v>1035.5</v>
      </c>
      <c r="H47" s="231">
        <f t="shared" si="5"/>
        <v>1159.76</v>
      </c>
      <c r="I47" s="230">
        <f t="shared" si="5"/>
        <v>1304.73</v>
      </c>
      <c r="J47" s="230">
        <f t="shared" si="5"/>
        <v>1470.41</v>
      </c>
      <c r="K47" s="230">
        <f t="shared" si="5"/>
        <v>1656.8000000000002</v>
      </c>
      <c r="L47" s="232">
        <f t="shared" si="5"/>
        <v>1863.9</v>
      </c>
      <c r="M47" s="231">
        <f t="shared" si="5"/>
        <v>2071</v>
      </c>
      <c r="N47" s="230">
        <f t="shared" si="5"/>
        <v>2319.52</v>
      </c>
      <c r="O47" s="230">
        <f t="shared" si="5"/>
        <v>2505.91</v>
      </c>
      <c r="P47" s="230">
        <f t="shared" si="5"/>
        <v>2588.75</v>
      </c>
      <c r="Q47" s="248">
        <f>Q41*0.218*96</f>
        <v>2929.92</v>
      </c>
      <c r="R47" s="243">
        <f>R41*0.218*96</f>
        <v>3348.4800000000005</v>
      </c>
      <c r="S47" s="241">
        <f>S41*0.218*96</f>
        <v>3767.04</v>
      </c>
      <c r="T47" s="241"/>
      <c r="U47" s="244"/>
      <c r="V47" s="242"/>
    </row>
    <row r="48" spans="1:22" ht="13.5" thickBot="1" x14ac:dyDescent="0.25">
      <c r="A48" s="292"/>
      <c r="B48" s="214" t="s">
        <v>889</v>
      </c>
      <c r="C48" s="231">
        <f>C41*0.219*95</f>
        <v>665.76</v>
      </c>
      <c r="D48" s="230">
        <f t="shared" ref="D48:P48" si="6">D41*0.219*95</f>
        <v>748.98</v>
      </c>
      <c r="E48" s="230">
        <f t="shared" si="6"/>
        <v>832.19999999999993</v>
      </c>
      <c r="F48" s="230">
        <f t="shared" si="6"/>
        <v>936.22500000000002</v>
      </c>
      <c r="G48" s="232">
        <f t="shared" si="6"/>
        <v>1040.25</v>
      </c>
      <c r="H48" s="231">
        <f t="shared" si="6"/>
        <v>1165.08</v>
      </c>
      <c r="I48" s="230">
        <f t="shared" si="6"/>
        <v>1310.7150000000001</v>
      </c>
      <c r="J48" s="230">
        <f t="shared" si="6"/>
        <v>1477.155</v>
      </c>
      <c r="K48" s="230">
        <f t="shared" si="6"/>
        <v>1664.3999999999999</v>
      </c>
      <c r="L48" s="232">
        <f t="shared" si="6"/>
        <v>1872.45</v>
      </c>
      <c r="M48" s="231">
        <f t="shared" si="6"/>
        <v>2080.5</v>
      </c>
      <c r="N48" s="230">
        <f t="shared" si="6"/>
        <v>2330.16</v>
      </c>
      <c r="O48" s="230">
        <f t="shared" si="6"/>
        <v>2517.4049999999997</v>
      </c>
      <c r="P48" s="230">
        <f t="shared" si="6"/>
        <v>2600.625</v>
      </c>
      <c r="Q48" s="248">
        <f>Q41*0.219*96</f>
        <v>2943.36</v>
      </c>
      <c r="R48" s="243">
        <f>R41*0.219*96</f>
        <v>3363.84</v>
      </c>
      <c r="S48" s="241">
        <f>S41*0.219*96</f>
        <v>3784.32</v>
      </c>
      <c r="T48" s="241"/>
      <c r="U48" s="241"/>
      <c r="V48" s="242"/>
    </row>
  </sheetData>
  <mergeCells count="18">
    <mergeCell ref="A7:A10"/>
    <mergeCell ref="A11:A14"/>
    <mergeCell ref="A16:V16"/>
    <mergeCell ref="A18:A19"/>
    <mergeCell ref="A1:V1"/>
    <mergeCell ref="A3:A6"/>
    <mergeCell ref="A15:V15"/>
    <mergeCell ref="A20:A21"/>
    <mergeCell ref="A22:A23"/>
    <mergeCell ref="A25:V25"/>
    <mergeCell ref="A27:A30"/>
    <mergeCell ref="A35:A38"/>
    <mergeCell ref="A24:V24"/>
    <mergeCell ref="A39:V39"/>
    <mergeCell ref="A40:V40"/>
    <mergeCell ref="A42:A48"/>
    <mergeCell ref="A41:B41"/>
    <mergeCell ref="A31:A34"/>
  </mergeCells>
  <pageMargins left="0.7" right="0.7" top="0.75" bottom="0.75" header="0.3" footer="0.3"/>
  <pageSetup paperSize="9" scale="60" orientation="portrait" r:id="rId1"/>
  <ignoredErrors>
    <ignoredError sqref="A3" twoDigitTextYear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T152"/>
  <sheetViews>
    <sheetView zoomScale="115" zoomScaleNormal="115" workbookViewId="0">
      <selection sqref="A1:W1"/>
    </sheetView>
  </sheetViews>
  <sheetFormatPr defaultRowHeight="12.75" x14ac:dyDescent="0.2"/>
  <cols>
    <col min="1" max="1" width="19.7109375" style="188" customWidth="1"/>
    <col min="2" max="2" width="6.7109375" style="188" customWidth="1"/>
    <col min="3" max="11" width="5.7109375" style="188" customWidth="1"/>
    <col min="12" max="13" width="5.7109375" customWidth="1"/>
    <col min="14" max="14" width="5.7109375" style="91" customWidth="1"/>
    <col min="15" max="18" width="5.7109375" customWidth="1"/>
    <col min="19" max="19" width="5.7109375" style="91" customWidth="1"/>
    <col min="20" max="23" width="5.7109375" customWidth="1"/>
    <col min="24" max="24" width="19.7109375" customWidth="1"/>
    <col min="25" max="31" width="5.7109375" customWidth="1"/>
    <col min="32" max="32" width="5.7109375" hidden="1" customWidth="1"/>
    <col min="33" max="46" width="5.7109375" customWidth="1"/>
  </cols>
  <sheetData>
    <row r="1" spans="1:23" ht="13.5" thickBot="1" x14ac:dyDescent="0.25">
      <c r="A1" s="256" t="s">
        <v>829</v>
      </c>
      <c r="B1" s="257"/>
      <c r="C1" s="257"/>
      <c r="D1" s="257"/>
      <c r="E1" s="257"/>
      <c r="F1" s="257"/>
      <c r="G1" s="257"/>
      <c r="H1" s="257"/>
      <c r="I1" s="257"/>
      <c r="J1" s="257"/>
      <c r="K1" s="257"/>
      <c r="L1" s="257"/>
      <c r="M1" s="257"/>
      <c r="N1" s="257"/>
      <c r="O1" s="257"/>
      <c r="P1" s="257"/>
      <c r="Q1" s="257"/>
      <c r="R1" s="257"/>
      <c r="S1" s="257"/>
      <c r="T1" s="257"/>
      <c r="U1" s="257"/>
      <c r="V1" s="257"/>
      <c r="W1" s="258"/>
    </row>
    <row r="2" spans="1:23" ht="13.5" thickBot="1" x14ac:dyDescent="0.25">
      <c r="A2" s="189"/>
      <c r="B2" s="194" t="s">
        <v>848</v>
      </c>
      <c r="C2" s="217" t="s">
        <v>811</v>
      </c>
      <c r="D2" s="218" t="s">
        <v>812</v>
      </c>
      <c r="E2" s="218" t="s">
        <v>813</v>
      </c>
      <c r="F2" s="218" t="s">
        <v>814</v>
      </c>
      <c r="G2" s="219" t="s">
        <v>502</v>
      </c>
      <c r="H2" s="218" t="s">
        <v>815</v>
      </c>
      <c r="I2" s="218" t="s">
        <v>816</v>
      </c>
      <c r="J2" s="218" t="s">
        <v>817</v>
      </c>
      <c r="K2" s="218" t="s">
        <v>818</v>
      </c>
      <c r="L2" s="218" t="s">
        <v>819</v>
      </c>
      <c r="M2" s="217" t="s">
        <v>820</v>
      </c>
      <c r="N2" s="218" t="s">
        <v>821</v>
      </c>
      <c r="O2" s="218" t="s">
        <v>828</v>
      </c>
      <c r="P2" s="218" t="s">
        <v>822</v>
      </c>
      <c r="Q2" s="219" t="s">
        <v>823</v>
      </c>
      <c r="R2" s="218" t="s">
        <v>824</v>
      </c>
      <c r="S2" s="218" t="s">
        <v>825</v>
      </c>
      <c r="T2" s="218"/>
      <c r="U2" s="218"/>
      <c r="V2" s="218"/>
      <c r="W2" s="219"/>
    </row>
    <row r="3" spans="1:23" ht="13.5" thickBot="1" x14ac:dyDescent="0.25">
      <c r="A3" s="295">
        <v>235</v>
      </c>
      <c r="B3" s="202" t="s">
        <v>502</v>
      </c>
      <c r="C3" s="207"/>
      <c r="D3" s="206"/>
      <c r="E3" s="206"/>
      <c r="F3" s="206"/>
      <c r="G3" s="216">
        <v>359</v>
      </c>
      <c r="H3" s="210"/>
      <c r="I3" s="210"/>
      <c r="J3" s="210"/>
      <c r="K3" s="210"/>
      <c r="L3" s="210"/>
      <c r="M3" s="209"/>
      <c r="N3" s="210"/>
      <c r="O3" s="210"/>
      <c r="P3" s="206"/>
      <c r="Q3" s="208"/>
      <c r="R3" s="206"/>
      <c r="S3" s="206"/>
      <c r="T3" s="206"/>
      <c r="U3" s="206"/>
      <c r="V3" s="206"/>
      <c r="W3" s="208"/>
    </row>
    <row r="4" spans="1:23" ht="13.5" thickBot="1" x14ac:dyDescent="0.25">
      <c r="A4" s="295"/>
      <c r="B4" s="202" t="s">
        <v>815</v>
      </c>
      <c r="C4" s="207"/>
      <c r="D4" s="206"/>
      <c r="E4" s="206"/>
      <c r="F4" s="206"/>
      <c r="G4" s="211">
        <v>369</v>
      </c>
      <c r="H4" s="210"/>
      <c r="I4" s="210"/>
      <c r="J4" s="210"/>
      <c r="K4" s="210"/>
      <c r="L4" s="210"/>
      <c r="M4" s="209"/>
      <c r="N4" s="210"/>
      <c r="O4" s="210"/>
      <c r="P4" s="206"/>
      <c r="Q4" s="208"/>
      <c r="R4" s="206"/>
      <c r="S4" s="206"/>
      <c r="T4" s="206"/>
      <c r="U4" s="206"/>
      <c r="V4" s="206"/>
      <c r="W4" s="208"/>
    </row>
    <row r="5" spans="1:23" ht="13.5" thickBot="1" x14ac:dyDescent="0.25">
      <c r="A5" s="295"/>
      <c r="B5" s="203" t="s">
        <v>816</v>
      </c>
      <c r="C5" s="207"/>
      <c r="D5" s="206"/>
      <c r="E5" s="206"/>
      <c r="F5" s="206"/>
      <c r="G5" s="211">
        <v>379</v>
      </c>
      <c r="H5" s="210"/>
      <c r="I5" s="216">
        <v>359</v>
      </c>
      <c r="J5" s="210"/>
      <c r="K5" s="210"/>
      <c r="L5" s="210"/>
      <c r="M5" s="209"/>
      <c r="N5" s="210"/>
      <c r="O5" s="210"/>
      <c r="P5" s="206"/>
      <c r="Q5" s="208"/>
      <c r="R5" s="206"/>
      <c r="S5" s="206"/>
      <c r="T5" s="206"/>
      <c r="U5" s="206"/>
      <c r="V5" s="206"/>
      <c r="W5" s="208"/>
    </row>
    <row r="6" spans="1:23" ht="13.5" thickBot="1" x14ac:dyDescent="0.25">
      <c r="A6" s="295"/>
      <c r="B6" s="205" t="s">
        <v>817</v>
      </c>
      <c r="C6" s="207"/>
      <c r="D6" s="206"/>
      <c r="E6" s="206"/>
      <c r="F6" s="206"/>
      <c r="G6" s="211">
        <v>389</v>
      </c>
      <c r="H6" s="210"/>
      <c r="I6" s="210">
        <v>369</v>
      </c>
      <c r="J6" s="216">
        <v>357</v>
      </c>
      <c r="K6" s="210"/>
      <c r="L6" s="210"/>
      <c r="M6" s="209"/>
      <c r="N6" s="210"/>
      <c r="O6" s="210"/>
      <c r="P6" s="206"/>
      <c r="Q6" s="208"/>
      <c r="R6" s="206"/>
      <c r="S6" s="206"/>
      <c r="T6" s="206"/>
      <c r="U6" s="206"/>
      <c r="V6" s="206"/>
      <c r="W6" s="208"/>
    </row>
    <row r="7" spans="1:23" ht="13.5" thickBot="1" x14ac:dyDescent="0.25">
      <c r="A7" s="295"/>
      <c r="B7" s="205" t="s">
        <v>818</v>
      </c>
      <c r="C7" s="207"/>
      <c r="D7" s="206"/>
      <c r="E7" s="206"/>
      <c r="F7" s="206"/>
      <c r="G7" s="211">
        <v>399</v>
      </c>
      <c r="H7" s="210"/>
      <c r="I7" s="210">
        <v>378</v>
      </c>
      <c r="J7" s="210">
        <v>366</v>
      </c>
      <c r="K7" s="210"/>
      <c r="L7" s="210"/>
      <c r="M7" s="209"/>
      <c r="N7" s="210"/>
      <c r="O7" s="210"/>
      <c r="P7" s="206"/>
      <c r="Q7" s="208"/>
      <c r="R7" s="206"/>
      <c r="S7" s="206"/>
      <c r="T7" s="206"/>
      <c r="U7" s="206"/>
      <c r="V7" s="206"/>
      <c r="W7" s="208"/>
    </row>
    <row r="8" spans="1:23" ht="13.5" thickBot="1" x14ac:dyDescent="0.25">
      <c r="A8" s="295"/>
      <c r="B8" s="205" t="s">
        <v>819</v>
      </c>
      <c r="C8" s="207"/>
      <c r="D8" s="206"/>
      <c r="E8" s="206"/>
      <c r="F8" s="206"/>
      <c r="G8" s="211"/>
      <c r="H8" s="210"/>
      <c r="I8" s="210">
        <v>388</v>
      </c>
      <c r="J8" s="210">
        <v>375</v>
      </c>
      <c r="K8" s="210"/>
      <c r="L8" s="210"/>
      <c r="M8" s="209"/>
      <c r="N8" s="210"/>
      <c r="O8" s="210"/>
      <c r="P8" s="206"/>
      <c r="Q8" s="208"/>
      <c r="R8" s="206"/>
      <c r="S8" s="206"/>
      <c r="T8" s="206"/>
      <c r="U8" s="206"/>
      <c r="V8" s="206"/>
      <c r="W8" s="208"/>
    </row>
    <row r="9" spans="1:23" ht="13.5" thickBot="1" x14ac:dyDescent="0.25">
      <c r="A9" s="295"/>
      <c r="B9" s="205" t="s">
        <v>828</v>
      </c>
      <c r="C9" s="207"/>
      <c r="D9" s="206"/>
      <c r="E9" s="206"/>
      <c r="F9" s="206"/>
      <c r="G9" s="211"/>
      <c r="H9" s="210"/>
      <c r="I9" s="210"/>
      <c r="J9" s="210"/>
      <c r="K9" s="210"/>
      <c r="L9" s="210"/>
      <c r="M9" s="209"/>
      <c r="N9" s="210"/>
      <c r="O9" s="216">
        <v>353</v>
      </c>
      <c r="P9" s="206"/>
      <c r="Q9" s="208"/>
      <c r="R9" s="206"/>
      <c r="S9" s="206"/>
      <c r="T9" s="206"/>
      <c r="U9" s="206"/>
      <c r="V9" s="206"/>
      <c r="W9" s="208"/>
    </row>
    <row r="10" spans="1:23" ht="13.5" thickBot="1" x14ac:dyDescent="0.25">
      <c r="A10" s="296"/>
      <c r="B10" s="204" t="s">
        <v>822</v>
      </c>
      <c r="C10" s="207"/>
      <c r="D10" s="206"/>
      <c r="E10" s="206"/>
      <c r="F10" s="206"/>
      <c r="G10" s="211"/>
      <c r="H10" s="210"/>
      <c r="I10" s="210"/>
      <c r="J10" s="210"/>
      <c r="K10" s="210"/>
      <c r="L10" s="210"/>
      <c r="M10" s="209"/>
      <c r="N10" s="210"/>
      <c r="O10" s="210">
        <v>355</v>
      </c>
      <c r="P10" s="206"/>
      <c r="Q10" s="208"/>
      <c r="R10" s="206"/>
      <c r="S10" s="206"/>
      <c r="T10" s="206"/>
      <c r="U10" s="206"/>
      <c r="V10" s="206"/>
      <c r="W10" s="208"/>
    </row>
    <row r="11" spans="1:23" ht="13.5" thickBot="1" x14ac:dyDescent="0.25">
      <c r="A11" s="265" t="s">
        <v>830</v>
      </c>
      <c r="B11" s="266"/>
      <c r="C11" s="266"/>
      <c r="D11" s="266"/>
      <c r="E11" s="266"/>
      <c r="F11" s="266"/>
      <c r="G11" s="266"/>
      <c r="H11" s="266"/>
      <c r="I11" s="266"/>
      <c r="J11" s="266"/>
      <c r="K11" s="266"/>
      <c r="L11" s="266"/>
      <c r="M11" s="266"/>
      <c r="N11" s="266"/>
      <c r="O11" s="266"/>
      <c r="P11" s="266"/>
      <c r="Q11" s="266"/>
      <c r="R11" s="266"/>
      <c r="S11" s="266"/>
      <c r="T11" s="266"/>
      <c r="U11" s="266"/>
      <c r="V11" s="266"/>
      <c r="W11" s="267"/>
    </row>
    <row r="12" spans="1:23" ht="13.5" thickBot="1" x14ac:dyDescent="0.25">
      <c r="A12" s="265" t="s">
        <v>833</v>
      </c>
      <c r="B12" s="266"/>
      <c r="C12" s="266"/>
      <c r="D12" s="266"/>
      <c r="E12" s="266"/>
      <c r="F12" s="266"/>
      <c r="G12" s="266"/>
      <c r="H12" s="266"/>
      <c r="I12" s="266"/>
      <c r="J12" s="266"/>
      <c r="K12" s="266"/>
      <c r="L12" s="266"/>
      <c r="M12" s="266"/>
      <c r="N12" s="266"/>
      <c r="O12" s="266"/>
      <c r="P12" s="266"/>
      <c r="Q12" s="266"/>
      <c r="R12" s="266"/>
      <c r="S12" s="266"/>
      <c r="T12" s="266"/>
      <c r="U12" s="266"/>
      <c r="V12" s="266"/>
      <c r="W12" s="267"/>
    </row>
    <row r="13" spans="1:23" ht="13.5" thickBot="1" x14ac:dyDescent="0.25">
      <c r="A13" s="265" t="s">
        <v>831</v>
      </c>
      <c r="B13" s="266"/>
      <c r="C13" s="266"/>
      <c r="D13" s="266"/>
      <c r="E13" s="266"/>
      <c r="F13" s="266"/>
      <c r="G13" s="266"/>
      <c r="H13" s="266"/>
      <c r="I13" s="266"/>
      <c r="J13" s="266"/>
      <c r="K13" s="266"/>
      <c r="L13" s="266"/>
      <c r="M13" s="266"/>
      <c r="N13" s="266"/>
      <c r="O13" s="266"/>
      <c r="P13" s="266"/>
      <c r="Q13" s="266"/>
      <c r="R13" s="266"/>
      <c r="S13" s="266"/>
      <c r="T13" s="266"/>
      <c r="U13" s="266"/>
      <c r="V13" s="266"/>
      <c r="W13" s="267"/>
    </row>
    <row r="14" spans="1:23" ht="13.5" thickBot="1" x14ac:dyDescent="0.25">
      <c r="A14" s="289"/>
      <c r="B14" s="289"/>
      <c r="C14" s="289"/>
      <c r="D14" s="289"/>
      <c r="E14" s="289"/>
      <c r="F14" s="289"/>
      <c r="G14" s="289"/>
      <c r="H14" s="289"/>
      <c r="I14" s="289"/>
      <c r="J14" s="289"/>
      <c r="K14" s="289"/>
      <c r="L14" s="289"/>
      <c r="M14" s="289"/>
      <c r="N14" s="289"/>
      <c r="O14" s="289"/>
      <c r="P14" s="289"/>
      <c r="Q14" s="289"/>
      <c r="R14" s="289"/>
      <c r="S14" s="289"/>
      <c r="T14" s="289"/>
      <c r="U14" s="289"/>
      <c r="V14" s="289"/>
      <c r="W14" s="289"/>
    </row>
    <row r="15" spans="1:23" ht="13.5" thickBot="1" x14ac:dyDescent="0.25">
      <c r="A15" s="286" t="s">
        <v>855</v>
      </c>
      <c r="B15" s="287"/>
      <c r="C15" s="287"/>
      <c r="D15" s="287"/>
      <c r="E15" s="287"/>
      <c r="F15" s="287"/>
      <c r="G15" s="287"/>
      <c r="H15" s="287"/>
      <c r="I15" s="287"/>
      <c r="J15" s="287"/>
      <c r="K15" s="287"/>
      <c r="L15" s="287"/>
      <c r="M15" s="287"/>
      <c r="N15" s="287"/>
      <c r="O15" s="287"/>
      <c r="P15" s="287"/>
      <c r="Q15" s="287"/>
      <c r="R15" s="287"/>
      <c r="S15" s="287"/>
      <c r="T15" s="287"/>
      <c r="U15" s="287"/>
      <c r="V15" s="287"/>
      <c r="W15" s="288"/>
    </row>
    <row r="16" spans="1:23" ht="13.5" thickBot="1" x14ac:dyDescent="0.25">
      <c r="A16" s="201" t="s">
        <v>835</v>
      </c>
      <c r="B16" s="220" t="s">
        <v>849</v>
      </c>
      <c r="C16" s="217" t="s">
        <v>811</v>
      </c>
      <c r="D16" s="217" t="s">
        <v>812</v>
      </c>
      <c r="E16" s="218" t="s">
        <v>813</v>
      </c>
      <c r="F16" s="218" t="s">
        <v>814</v>
      </c>
      <c r="G16" s="219" t="s">
        <v>502</v>
      </c>
      <c r="H16" s="217" t="s">
        <v>815</v>
      </c>
      <c r="I16" s="218" t="s">
        <v>816</v>
      </c>
      <c r="J16" s="218" t="s">
        <v>817</v>
      </c>
      <c r="K16" s="218" t="s">
        <v>818</v>
      </c>
      <c r="L16" s="219" t="s">
        <v>819</v>
      </c>
      <c r="M16" s="217" t="s">
        <v>820</v>
      </c>
      <c r="N16" s="218" t="s">
        <v>821</v>
      </c>
      <c r="O16" s="218" t="s">
        <v>828</v>
      </c>
      <c r="P16" s="218" t="s">
        <v>822</v>
      </c>
      <c r="Q16" s="219" t="s">
        <v>823</v>
      </c>
      <c r="R16" s="218" t="s">
        <v>824</v>
      </c>
      <c r="S16" s="218" t="s">
        <v>825</v>
      </c>
      <c r="T16" s="218"/>
      <c r="U16" s="218"/>
      <c r="V16" s="218"/>
      <c r="W16" s="219"/>
    </row>
    <row r="17" spans="1:23" ht="13.5" thickBot="1" x14ac:dyDescent="0.25">
      <c r="A17" s="300" t="s">
        <v>856</v>
      </c>
      <c r="B17" s="214" t="s">
        <v>850</v>
      </c>
      <c r="C17" s="207"/>
      <c r="D17" s="207"/>
      <c r="E17" s="206">
        <f t="shared" ref="E17:S17" si="0">E98*0.95*1*E123/1000*1*0.9</f>
        <v>7.8558483335389555</v>
      </c>
      <c r="F17" s="206">
        <f t="shared" si="0"/>
        <v>8.1450753270506233</v>
      </c>
      <c r="G17" s="208">
        <f t="shared" si="0"/>
        <v>8.2634000934772089</v>
      </c>
      <c r="H17" s="206">
        <f t="shared" si="0"/>
        <v>8.2906741560846218</v>
      </c>
      <c r="I17" s="206">
        <f t="shared" si="0"/>
        <v>8.2105828181043758</v>
      </c>
      <c r="J17" s="206">
        <f t="shared" si="0"/>
        <v>8.0393685928963059</v>
      </c>
      <c r="K17" s="206">
        <f t="shared" si="0"/>
        <v>7.8180857999999969</v>
      </c>
      <c r="L17" s="206">
        <f t="shared" si="0"/>
        <v>7.539768116005046</v>
      </c>
      <c r="M17" s="207">
        <f t="shared" si="0"/>
        <v>7.2601449496764348</v>
      </c>
      <c r="N17" s="206">
        <f t="shared" si="0"/>
        <v>6.9238734233591464</v>
      </c>
      <c r="O17" s="206">
        <f t="shared" si="0"/>
        <v>6.6870090238105364</v>
      </c>
      <c r="P17" s="206">
        <f t="shared" si="0"/>
        <v>6.5833482197429509</v>
      </c>
      <c r="Q17" s="208">
        <f t="shared" si="0"/>
        <v>6.2067231357590247</v>
      </c>
      <c r="R17" s="206">
        <f t="shared" si="0"/>
        <v>5.7430656810064526</v>
      </c>
      <c r="S17" s="206">
        <f t="shared" si="0"/>
        <v>5.3210424640706782</v>
      </c>
      <c r="T17" s="206"/>
      <c r="U17" s="206"/>
      <c r="V17" s="206"/>
      <c r="W17" s="208"/>
    </row>
    <row r="18" spans="1:23" ht="13.5" thickBot="1" x14ac:dyDescent="0.25">
      <c r="A18" s="301"/>
      <c r="B18" s="214" t="s">
        <v>852</v>
      </c>
      <c r="C18" s="207"/>
      <c r="D18" s="207"/>
      <c r="E18" s="206">
        <f t="shared" ref="E18:S18" si="1">E108*0.85*1*E133/1000*1*$E146/1000</f>
        <v>9.2257180459780432</v>
      </c>
      <c r="F18" s="206">
        <f t="shared" si="1"/>
        <v>9.3949466832258679</v>
      </c>
      <c r="G18" s="208">
        <f t="shared" si="1"/>
        <v>9.44233630707296</v>
      </c>
      <c r="H18" s="206">
        <f t="shared" si="1"/>
        <v>9.3963473632156109</v>
      </c>
      <c r="I18" s="206">
        <f t="shared" si="1"/>
        <v>9.2709886210956221</v>
      </c>
      <c r="J18" s="206">
        <f t="shared" si="1"/>
        <v>9.0792524778780148</v>
      </c>
      <c r="K18" s="206">
        <f t="shared" si="1"/>
        <v>8.8421733225000008</v>
      </c>
      <c r="L18" s="206">
        <f t="shared" si="1"/>
        <v>8.5684346346194449</v>
      </c>
      <c r="M18" s="207">
        <f t="shared" si="1"/>
        <v>8.291409937631407</v>
      </c>
      <c r="N18" s="206">
        <f t="shared" si="1"/>
        <v>7.9702913783832754</v>
      </c>
      <c r="O18" s="206">
        <f t="shared" si="1"/>
        <v>7.745898799913622</v>
      </c>
      <c r="P18" s="206">
        <f t="shared" si="1"/>
        <v>7.6463312926149829</v>
      </c>
      <c r="Q18" s="208">
        <f t="shared" si="1"/>
        <v>7.2958945275480591</v>
      </c>
      <c r="R18" s="206">
        <f t="shared" si="1"/>
        <v>6.8598656326026184</v>
      </c>
      <c r="S18" s="206">
        <f t="shared" si="1"/>
        <v>6.468481825989274</v>
      </c>
      <c r="T18" s="206"/>
      <c r="U18" s="206"/>
      <c r="V18" s="206"/>
      <c r="W18" s="208"/>
    </row>
    <row r="19" spans="1:23" ht="13.5" thickBot="1" x14ac:dyDescent="0.25">
      <c r="A19" s="298"/>
      <c r="B19" s="214" t="s">
        <v>851</v>
      </c>
      <c r="C19" s="207"/>
      <c r="D19" s="207"/>
      <c r="E19" s="206">
        <f t="shared" ref="E19:S19" si="2">E98*0.9</f>
        <v>12.019351795500238</v>
      </c>
      <c r="F19" s="206">
        <f t="shared" si="2"/>
        <v>11.523875674944291</v>
      </c>
      <c r="G19" s="208">
        <f t="shared" si="2"/>
        <v>11.080657182000952</v>
      </c>
      <c r="H19" s="206">
        <f t="shared" si="2"/>
        <v>10.603919109911905</v>
      </c>
      <c r="I19" s="206">
        <f t="shared" si="2"/>
        <v>10.108442989355957</v>
      </c>
      <c r="J19" s="206">
        <f t="shared" si="2"/>
        <v>9.605554206220571</v>
      </c>
      <c r="K19" s="206">
        <f t="shared" si="2"/>
        <v>9.1034999999999986</v>
      </c>
      <c r="L19" s="206">
        <f t="shared" si="2"/>
        <v>8.6080238794440547</v>
      </c>
      <c r="M19" s="207">
        <f t="shared" si="2"/>
        <v>8.1648053865007135</v>
      </c>
      <c r="N19" s="206">
        <f t="shared" si="2"/>
        <v>7.6880673144116667</v>
      </c>
      <c r="O19" s="206">
        <f t="shared" si="2"/>
        <v>7.3629255932729976</v>
      </c>
      <c r="P19" s="206">
        <f t="shared" si="2"/>
        <v>7.2261107730014267</v>
      </c>
      <c r="Q19" s="208">
        <f t="shared" si="2"/>
        <v>6.7493727009123798</v>
      </c>
      <c r="R19" s="206">
        <f t="shared" si="2"/>
        <v>6.1876482044997614</v>
      </c>
      <c r="S19" s="206">
        <f t="shared" si="2"/>
        <v>5.6921720839438148</v>
      </c>
      <c r="T19" s="206"/>
      <c r="U19" s="226" t="s">
        <v>893</v>
      </c>
      <c r="V19" s="206"/>
      <c r="W19" s="208"/>
    </row>
    <row r="20" spans="1:23" ht="13.5" thickBot="1" x14ac:dyDescent="0.25">
      <c r="A20" s="298"/>
      <c r="B20" s="214" t="s">
        <v>853</v>
      </c>
      <c r="C20" s="207"/>
      <c r="D20" s="207"/>
      <c r="E20" s="206">
        <f t="shared" ref="E20:S20" si="3">E108*0.85*1*1*1*$D146/1000</f>
        <v>12.044018336785957</v>
      </c>
      <c r="F20" s="206">
        <f t="shared" si="3"/>
        <v>11.613036691255708</v>
      </c>
      <c r="G20" s="208">
        <f t="shared" si="3"/>
        <v>11.227510472143825</v>
      </c>
      <c r="H20" s="206">
        <f t="shared" si="3"/>
        <v>10.812827805771706</v>
      </c>
      <c r="I20" s="206">
        <f t="shared" si="3"/>
        <v>10.381846160241457</v>
      </c>
      <c r="J20" s="206">
        <f t="shared" si="3"/>
        <v>9.9444167337108578</v>
      </c>
      <c r="K20" s="206">
        <f t="shared" si="3"/>
        <v>9.5077132500000001</v>
      </c>
      <c r="L20" s="206">
        <f t="shared" si="3"/>
        <v>9.076731604469753</v>
      </c>
      <c r="M20" s="207">
        <f t="shared" si="3"/>
        <v>8.6912053853578684</v>
      </c>
      <c r="N20" s="206">
        <f t="shared" si="3"/>
        <v>8.2765227189857473</v>
      </c>
      <c r="O20" s="206">
        <f t="shared" si="3"/>
        <v>7.9937036118819629</v>
      </c>
      <c r="P20" s="206">
        <f t="shared" si="3"/>
        <v>7.8746975207157401</v>
      </c>
      <c r="Q20" s="208">
        <f t="shared" si="3"/>
        <v>7.4600148543436191</v>
      </c>
      <c r="R20" s="206">
        <f t="shared" si="3"/>
        <v>6.9714081632140426</v>
      </c>
      <c r="S20" s="206">
        <f t="shared" si="3"/>
        <v>6.5404265176837946</v>
      </c>
      <c r="T20" s="206"/>
      <c r="U20" s="206"/>
      <c r="V20" s="206"/>
      <c r="W20" s="208"/>
    </row>
    <row r="21" spans="1:23" ht="13.5" thickBot="1" x14ac:dyDescent="0.25">
      <c r="A21" s="299"/>
      <c r="B21" s="214" t="s">
        <v>854</v>
      </c>
      <c r="C21" s="207"/>
      <c r="D21" s="207"/>
      <c r="E21" s="206">
        <f t="shared" ref="E21:S21" si="4">E108*0.85*1*1*1*$F146/1000</f>
        <v>12.527871407862049</v>
      </c>
      <c r="F21" s="206">
        <f t="shared" si="4"/>
        <v>12.079575624563484</v>
      </c>
      <c r="G21" s="208">
        <f t="shared" si="4"/>
        <v>11.678561381448192</v>
      </c>
      <c r="H21" s="206">
        <f t="shared" si="4"/>
        <v>11.247219368001405</v>
      </c>
      <c r="I21" s="206">
        <f t="shared" si="4"/>
        <v>10.798923584702841</v>
      </c>
      <c r="J21" s="206">
        <f t="shared" si="4"/>
        <v>10.343920989028232</v>
      </c>
      <c r="K21" s="206">
        <f t="shared" si="4"/>
        <v>9.8896734999999989</v>
      </c>
      <c r="L21" s="206">
        <f t="shared" si="4"/>
        <v>9.4413777167014352</v>
      </c>
      <c r="M21" s="207">
        <f t="shared" si="4"/>
        <v>9.0403634735861438</v>
      </c>
      <c r="N21" s="206">
        <f t="shared" si="4"/>
        <v>8.6090214601393544</v>
      </c>
      <c r="O21" s="206">
        <f t="shared" si="4"/>
        <v>8.3148404562246707</v>
      </c>
      <c r="P21" s="206">
        <f t="shared" si="4"/>
        <v>8.1910534471722904</v>
      </c>
      <c r="Q21" s="208">
        <f t="shared" si="4"/>
        <v>7.759711433725502</v>
      </c>
      <c r="R21" s="206">
        <f t="shared" si="4"/>
        <v>7.2514755921379512</v>
      </c>
      <c r="S21" s="206">
        <f t="shared" si="4"/>
        <v>6.8031798088393867</v>
      </c>
      <c r="T21" s="206"/>
      <c r="U21" s="206"/>
      <c r="V21" s="206"/>
      <c r="W21" s="208"/>
    </row>
    <row r="22" spans="1:23" ht="13.5" thickBot="1" x14ac:dyDescent="0.25">
      <c r="A22" s="300" t="s">
        <v>857</v>
      </c>
      <c r="B22" s="214" t="s">
        <v>850</v>
      </c>
      <c r="C22" s="207"/>
      <c r="D22" s="207"/>
      <c r="E22" s="206"/>
      <c r="F22" s="206"/>
      <c r="G22" s="208">
        <f t="shared" ref="G22:S22" si="5">G103*0.95*1*G128/1000*1*0.9</f>
        <v>7.8045251568520388</v>
      </c>
      <c r="H22" s="206">
        <f t="shared" si="5"/>
        <v>8.0596122869920759</v>
      </c>
      <c r="I22" s="206">
        <f t="shared" si="5"/>
        <v>8.1700970162989712</v>
      </c>
      <c r="J22" s="206">
        <f t="shared" si="5"/>
        <v>8.1538138714943802</v>
      </c>
      <c r="K22" s="206">
        <f t="shared" si="5"/>
        <v>8.0468552440135266</v>
      </c>
      <c r="L22" s="206">
        <f t="shared" si="5"/>
        <v>7.8627197633012331</v>
      </c>
      <c r="M22" s="207">
        <f t="shared" si="5"/>
        <v>7.6496651413772367</v>
      </c>
      <c r="N22" s="206">
        <f t="shared" si="5"/>
        <v>7.3751741260043824</v>
      </c>
      <c r="O22" s="206">
        <f t="shared" si="5"/>
        <v>7.1745706930742799</v>
      </c>
      <c r="P22" s="206">
        <f t="shared" si="5"/>
        <v>7.0833812195485883</v>
      </c>
      <c r="Q22" s="208">
        <f t="shared" si="5"/>
        <v>6.7437440589920445</v>
      </c>
      <c r="R22" s="206">
        <f t="shared" si="5"/>
        <v>6.3155681772025556</v>
      </c>
      <c r="S22" s="206">
        <f t="shared" si="5"/>
        <v>5.9176015869628982</v>
      </c>
      <c r="T22" s="206"/>
      <c r="U22" s="206"/>
      <c r="V22" s="206"/>
      <c r="W22" s="208"/>
    </row>
    <row r="23" spans="1:23" ht="13.5" thickBot="1" x14ac:dyDescent="0.25">
      <c r="A23" s="301"/>
      <c r="B23" s="214" t="s">
        <v>852</v>
      </c>
      <c r="C23" s="207"/>
      <c r="D23" s="207"/>
      <c r="E23" s="206"/>
      <c r="F23" s="206"/>
      <c r="G23" s="208">
        <f t="shared" ref="G23:S23" si="6">G113*0.85*1*G138/1000*1*$E146/1000</f>
        <v>9.1649433108035758</v>
      </c>
      <c r="H23" s="206">
        <f t="shared" si="6"/>
        <v>9.3020595144688372</v>
      </c>
      <c r="I23" s="206">
        <f t="shared" si="6"/>
        <v>9.3260340797599941</v>
      </c>
      <c r="J23" s="206">
        <f t="shared" si="6"/>
        <v>9.2515819788105151</v>
      </c>
      <c r="K23" s="206">
        <f t="shared" si="6"/>
        <v>9.1127432240875397</v>
      </c>
      <c r="L23" s="206">
        <f t="shared" si="6"/>
        <v>8.9096962016972956</v>
      </c>
      <c r="M23" s="207">
        <f t="shared" si="6"/>
        <v>8.6862634853366156</v>
      </c>
      <c r="N23" s="206">
        <f t="shared" si="6"/>
        <v>8.4155486932001278</v>
      </c>
      <c r="O23" s="206">
        <f t="shared" si="6"/>
        <v>8.2086423009647316</v>
      </c>
      <c r="P23" s="206">
        <f t="shared" si="6"/>
        <v>8.1208590541771404</v>
      </c>
      <c r="Q23" s="208">
        <f t="shared" si="6"/>
        <v>7.7976366198023674</v>
      </c>
      <c r="R23" s="206">
        <f t="shared" si="6"/>
        <v>7.3950218213438914</v>
      </c>
      <c r="S23" s="206">
        <f t="shared" si="6"/>
        <v>7.0258614045612546</v>
      </c>
      <c r="T23" s="206"/>
      <c r="U23" s="206"/>
      <c r="V23" s="206"/>
      <c r="W23" s="208"/>
    </row>
    <row r="24" spans="1:23" ht="13.5" thickBot="1" x14ac:dyDescent="0.25">
      <c r="A24" s="298"/>
      <c r="B24" s="214" t="s">
        <v>851</v>
      </c>
      <c r="C24" s="207"/>
      <c r="D24" s="207"/>
      <c r="E24" s="206"/>
      <c r="F24" s="206"/>
      <c r="G24" s="208">
        <f t="shared" ref="G24:S24" si="7">G103*0.9</f>
        <v>11.803577067229339</v>
      </c>
      <c r="H24" s="206">
        <f t="shared" si="7"/>
        <v>11.326838995140294</v>
      </c>
      <c r="I24" s="206">
        <f t="shared" si="7"/>
        <v>10.831362874584347</v>
      </c>
      <c r="J24" s="206">
        <f t="shared" si="7"/>
        <v>10.328474091448959</v>
      </c>
      <c r="K24" s="206">
        <f t="shared" si="7"/>
        <v>9.8264198852283879</v>
      </c>
      <c r="L24" s="206">
        <f t="shared" si="7"/>
        <v>9.3309437646724422</v>
      </c>
      <c r="M24" s="207">
        <f t="shared" si="7"/>
        <v>8.8877252717291011</v>
      </c>
      <c r="N24" s="206">
        <f t="shared" si="7"/>
        <v>8.4109871996400543</v>
      </c>
      <c r="O24" s="206">
        <f t="shared" si="7"/>
        <v>8.0858454785013869</v>
      </c>
      <c r="P24" s="206">
        <f t="shared" si="7"/>
        <v>7.9490306582298143</v>
      </c>
      <c r="Q24" s="208">
        <f t="shared" si="7"/>
        <v>7.4722925861407692</v>
      </c>
      <c r="R24" s="206">
        <f t="shared" si="7"/>
        <v>6.9105680897281498</v>
      </c>
      <c r="S24" s="206">
        <f t="shared" si="7"/>
        <v>6.4150919691722033</v>
      </c>
      <c r="T24" s="206"/>
      <c r="U24" s="206"/>
      <c r="V24" s="206"/>
      <c r="W24" s="208"/>
    </row>
    <row r="25" spans="1:23" ht="13.5" thickBot="1" x14ac:dyDescent="0.25">
      <c r="A25" s="298"/>
      <c r="B25" s="214" t="s">
        <v>853</v>
      </c>
      <c r="C25" s="207"/>
      <c r="D25" s="207"/>
      <c r="E25" s="206"/>
      <c r="F25" s="206"/>
      <c r="G25" s="208">
        <f t="shared" ref="G25:S25" si="8">G113*0.85*1*1*1*$D146/1000</f>
        <v>11.856330285644987</v>
      </c>
      <c r="H25" s="206">
        <f t="shared" si="8"/>
        <v>11.441647619272862</v>
      </c>
      <c r="I25" s="206">
        <f t="shared" si="8"/>
        <v>11.010665973742617</v>
      </c>
      <c r="J25" s="206">
        <f t="shared" si="8"/>
        <v>10.573236547212018</v>
      </c>
      <c r="K25" s="206">
        <f t="shared" si="8"/>
        <v>10.136533063501158</v>
      </c>
      <c r="L25" s="206">
        <f t="shared" si="8"/>
        <v>9.705551417970911</v>
      </c>
      <c r="M25" s="207">
        <f t="shared" si="8"/>
        <v>9.3200251988590299</v>
      </c>
      <c r="N25" s="206">
        <f t="shared" si="8"/>
        <v>8.9053425324869071</v>
      </c>
      <c r="O25" s="206">
        <f t="shared" si="8"/>
        <v>8.6225234253831218</v>
      </c>
      <c r="P25" s="206">
        <f t="shared" si="8"/>
        <v>8.5035173342168999</v>
      </c>
      <c r="Q25" s="208">
        <f t="shared" si="8"/>
        <v>8.0888346678447789</v>
      </c>
      <c r="R25" s="206">
        <f t="shared" si="8"/>
        <v>7.6002279767152015</v>
      </c>
      <c r="S25" s="206">
        <f t="shared" si="8"/>
        <v>7.1692463311849544</v>
      </c>
      <c r="T25" s="206"/>
      <c r="U25" s="206"/>
      <c r="V25" s="206"/>
      <c r="W25" s="208"/>
    </row>
    <row r="26" spans="1:23" ht="13.5" thickBot="1" x14ac:dyDescent="0.25">
      <c r="A26" s="299"/>
      <c r="B26" s="214" t="s">
        <v>854</v>
      </c>
      <c r="C26" s="207"/>
      <c r="D26" s="207"/>
      <c r="E26" s="206"/>
      <c r="F26" s="206"/>
      <c r="G26" s="208">
        <f t="shared" ref="G26:S26" si="9">G113*0.85*1*1*1*$F146/1000</f>
        <v>12.332643228716501</v>
      </c>
      <c r="H26" s="206">
        <f t="shared" si="9"/>
        <v>11.90130121526971</v>
      </c>
      <c r="I26" s="206">
        <f t="shared" si="9"/>
        <v>11.453005431971148</v>
      </c>
      <c r="J26" s="206">
        <f t="shared" si="9"/>
        <v>10.998002836296541</v>
      </c>
      <c r="K26" s="206">
        <f t="shared" si="9"/>
        <v>10.543755347268306</v>
      </c>
      <c r="L26" s="206">
        <f t="shared" si="9"/>
        <v>10.095459563969742</v>
      </c>
      <c r="M26" s="207">
        <f t="shared" si="9"/>
        <v>9.6944453208544505</v>
      </c>
      <c r="N26" s="206">
        <f t="shared" si="9"/>
        <v>9.263103307407663</v>
      </c>
      <c r="O26" s="206">
        <f t="shared" si="9"/>
        <v>8.9689223034929757</v>
      </c>
      <c r="P26" s="206">
        <f t="shared" si="9"/>
        <v>8.8451352944405972</v>
      </c>
      <c r="Q26" s="208">
        <f t="shared" si="9"/>
        <v>8.4137932809938079</v>
      </c>
      <c r="R26" s="206">
        <f t="shared" si="9"/>
        <v>7.9055574394062571</v>
      </c>
      <c r="S26" s="206">
        <f t="shared" si="9"/>
        <v>7.4572616561076934</v>
      </c>
      <c r="T26" s="206"/>
      <c r="U26" s="206"/>
      <c r="V26" s="206"/>
      <c r="W26" s="208"/>
    </row>
    <row r="27" spans="1:23" ht="13.5" thickBot="1" x14ac:dyDescent="0.25">
      <c r="A27" s="289"/>
      <c r="B27" s="289"/>
      <c r="C27" s="289"/>
      <c r="D27" s="289"/>
      <c r="E27" s="289"/>
      <c r="F27" s="289"/>
      <c r="G27" s="289"/>
      <c r="H27" s="289"/>
      <c r="I27" s="289"/>
      <c r="J27" s="289"/>
      <c r="K27" s="289"/>
      <c r="L27" s="289"/>
      <c r="M27" s="289"/>
      <c r="N27" s="289"/>
      <c r="O27" s="289"/>
      <c r="P27" s="289"/>
      <c r="Q27" s="289"/>
      <c r="R27" s="289"/>
      <c r="S27" s="289"/>
      <c r="T27" s="289"/>
      <c r="U27" s="289"/>
      <c r="V27" s="289"/>
      <c r="W27" s="289"/>
    </row>
    <row r="28" spans="1:23" ht="13.5" thickBot="1" x14ac:dyDescent="0.25">
      <c r="A28" s="256" t="s">
        <v>808</v>
      </c>
      <c r="B28" s="257"/>
      <c r="C28" s="257"/>
      <c r="D28" s="257"/>
      <c r="E28" s="257"/>
      <c r="F28" s="257"/>
      <c r="G28" s="257"/>
      <c r="H28" s="257"/>
      <c r="I28" s="257"/>
      <c r="J28" s="257"/>
      <c r="K28" s="257"/>
      <c r="L28" s="257"/>
      <c r="M28" s="257"/>
      <c r="N28" s="257"/>
      <c r="O28" s="257"/>
      <c r="P28" s="257"/>
      <c r="Q28" s="257"/>
      <c r="R28" s="257"/>
      <c r="S28" s="257"/>
      <c r="T28" s="257"/>
      <c r="U28" s="257"/>
      <c r="V28" s="257"/>
      <c r="W28" s="258"/>
    </row>
    <row r="29" spans="1:23" ht="13.5" thickBot="1" x14ac:dyDescent="0.25">
      <c r="A29" s="189" t="s">
        <v>827</v>
      </c>
      <c r="B29" s="189"/>
      <c r="C29" s="192">
        <v>5</v>
      </c>
      <c r="D29" s="191">
        <v>5.5</v>
      </c>
      <c r="E29" s="191">
        <v>6</v>
      </c>
      <c r="F29" s="191">
        <v>6.5</v>
      </c>
      <c r="G29" s="190">
        <v>7</v>
      </c>
      <c r="H29" s="192">
        <v>7.5</v>
      </c>
      <c r="I29" s="191">
        <v>8</v>
      </c>
      <c r="J29" s="191">
        <v>8.5</v>
      </c>
      <c r="K29" s="191">
        <v>9</v>
      </c>
      <c r="L29" s="190">
        <v>9.5</v>
      </c>
      <c r="M29" s="192">
        <v>10</v>
      </c>
      <c r="N29" s="191">
        <v>10.5</v>
      </c>
      <c r="O29" s="191">
        <v>11</v>
      </c>
      <c r="P29" s="191">
        <v>11.5</v>
      </c>
      <c r="Q29" s="190">
        <v>12</v>
      </c>
      <c r="R29" s="192">
        <v>12.5</v>
      </c>
      <c r="S29" s="191">
        <v>13</v>
      </c>
      <c r="T29" s="191">
        <v>13.5</v>
      </c>
      <c r="U29" s="191">
        <v>14</v>
      </c>
      <c r="V29" s="190">
        <v>14.5</v>
      </c>
      <c r="W29" s="193">
        <v>15</v>
      </c>
    </row>
    <row r="30" spans="1:23" ht="13.5" thickBot="1" x14ac:dyDescent="0.25">
      <c r="A30" s="302" t="s">
        <v>826</v>
      </c>
      <c r="B30" s="191">
        <v>8</v>
      </c>
      <c r="C30" s="195">
        <v>445</v>
      </c>
      <c r="D30" s="196">
        <v>318</v>
      </c>
      <c r="E30" s="196">
        <v>233</v>
      </c>
      <c r="F30" s="196">
        <v>175</v>
      </c>
      <c r="G30" s="197">
        <v>134</v>
      </c>
      <c r="H30" s="195">
        <v>104</v>
      </c>
      <c r="I30" s="200">
        <v>83</v>
      </c>
      <c r="J30" s="196">
        <v>66</v>
      </c>
      <c r="K30" s="196">
        <v>53</v>
      </c>
      <c r="L30" s="197">
        <v>44</v>
      </c>
      <c r="M30" s="195">
        <v>36</v>
      </c>
      <c r="N30" s="196">
        <v>30</v>
      </c>
      <c r="O30" s="196">
        <v>25</v>
      </c>
      <c r="P30" s="196">
        <v>21</v>
      </c>
      <c r="Q30" s="197">
        <v>18</v>
      </c>
      <c r="R30" s="195">
        <v>15</v>
      </c>
      <c r="S30" s="196">
        <v>13</v>
      </c>
      <c r="T30" s="196">
        <v>11</v>
      </c>
      <c r="U30" s="196">
        <v>10</v>
      </c>
      <c r="V30" s="197">
        <v>8</v>
      </c>
      <c r="W30" s="198">
        <v>7</v>
      </c>
    </row>
    <row r="31" spans="1:23" ht="13.5" thickBot="1" x14ac:dyDescent="0.25">
      <c r="A31" s="295"/>
      <c r="B31" s="191">
        <v>8.5</v>
      </c>
      <c r="C31" s="195">
        <v>557</v>
      </c>
      <c r="D31" s="196">
        <v>398</v>
      </c>
      <c r="E31" s="196">
        <v>292</v>
      </c>
      <c r="F31" s="196">
        <v>219</v>
      </c>
      <c r="G31" s="197">
        <v>168</v>
      </c>
      <c r="H31" s="195">
        <v>131</v>
      </c>
      <c r="I31" s="224">
        <v>103</v>
      </c>
      <c r="J31" s="198">
        <v>83</v>
      </c>
      <c r="K31" s="196">
        <v>67</v>
      </c>
      <c r="L31" s="197">
        <v>55</v>
      </c>
      <c r="M31" s="195">
        <v>45</v>
      </c>
      <c r="N31" s="196">
        <v>37</v>
      </c>
      <c r="O31" s="196">
        <v>31</v>
      </c>
      <c r="P31" s="196">
        <v>26</v>
      </c>
      <c r="Q31" s="197">
        <v>22</v>
      </c>
      <c r="R31" s="195">
        <v>19</v>
      </c>
      <c r="S31" s="196">
        <v>16</v>
      </c>
      <c r="T31" s="196">
        <v>14</v>
      </c>
      <c r="U31" s="196">
        <v>12</v>
      </c>
      <c r="V31" s="197">
        <v>10</v>
      </c>
      <c r="W31" s="198">
        <v>9</v>
      </c>
    </row>
    <row r="32" spans="1:23" ht="13.5" thickBot="1" x14ac:dyDescent="0.25">
      <c r="A32" s="295"/>
      <c r="B32" s="191">
        <v>9</v>
      </c>
      <c r="C32" s="195">
        <v>688</v>
      </c>
      <c r="D32" s="196">
        <v>491</v>
      </c>
      <c r="E32" s="196">
        <v>361</v>
      </c>
      <c r="F32" s="196">
        <v>271</v>
      </c>
      <c r="G32" s="197">
        <v>208</v>
      </c>
      <c r="H32" s="195">
        <v>162</v>
      </c>
      <c r="I32" s="196">
        <v>128</v>
      </c>
      <c r="J32" s="196">
        <v>102</v>
      </c>
      <c r="K32" s="200">
        <v>83</v>
      </c>
      <c r="L32" s="197">
        <v>68</v>
      </c>
      <c r="M32" s="195">
        <v>56</v>
      </c>
      <c r="N32" s="196">
        <v>46</v>
      </c>
      <c r="O32" s="196">
        <v>39</v>
      </c>
      <c r="P32" s="196">
        <v>33</v>
      </c>
      <c r="Q32" s="197">
        <v>28</v>
      </c>
      <c r="R32" s="195">
        <v>24</v>
      </c>
      <c r="S32" s="196">
        <v>20</v>
      </c>
      <c r="T32" s="196">
        <v>17</v>
      </c>
      <c r="U32" s="196">
        <v>15</v>
      </c>
      <c r="V32" s="197">
        <v>13</v>
      </c>
      <c r="W32" s="198">
        <v>11</v>
      </c>
    </row>
    <row r="33" spans="1:23" ht="13.5" thickBot="1" x14ac:dyDescent="0.25">
      <c r="A33" s="295"/>
      <c r="B33" s="191">
        <v>9.5</v>
      </c>
      <c r="C33" s="195">
        <v>842</v>
      </c>
      <c r="D33" s="196">
        <v>601</v>
      </c>
      <c r="E33" s="196">
        <v>441</v>
      </c>
      <c r="F33" s="196">
        <v>332</v>
      </c>
      <c r="G33" s="197">
        <v>254</v>
      </c>
      <c r="H33" s="195">
        <v>198</v>
      </c>
      <c r="I33" s="196">
        <v>156</v>
      </c>
      <c r="J33" s="196">
        <v>125</v>
      </c>
      <c r="K33" s="224">
        <v>101</v>
      </c>
      <c r="L33" s="198">
        <v>83</v>
      </c>
      <c r="M33" s="195">
        <v>68</v>
      </c>
      <c r="N33" s="196">
        <v>57</v>
      </c>
      <c r="O33" s="196">
        <v>48</v>
      </c>
      <c r="P33" s="196">
        <v>40</v>
      </c>
      <c r="Q33" s="197">
        <v>34</v>
      </c>
      <c r="R33" s="195">
        <v>29</v>
      </c>
      <c r="S33" s="196">
        <v>25</v>
      </c>
      <c r="T33" s="196">
        <v>21</v>
      </c>
      <c r="U33" s="196">
        <v>18</v>
      </c>
      <c r="V33" s="197">
        <v>16</v>
      </c>
      <c r="W33" s="198">
        <v>14</v>
      </c>
    </row>
    <row r="34" spans="1:23" ht="13.5" thickBot="1" x14ac:dyDescent="0.25">
      <c r="A34" s="295"/>
      <c r="B34" s="191">
        <v>10</v>
      </c>
      <c r="C34" s="195">
        <v>1000</v>
      </c>
      <c r="D34" s="196">
        <v>729</v>
      </c>
      <c r="E34" s="196">
        <v>535</v>
      </c>
      <c r="F34" s="196">
        <v>402</v>
      </c>
      <c r="G34" s="197">
        <v>308</v>
      </c>
      <c r="H34" s="195">
        <v>240</v>
      </c>
      <c r="I34" s="196">
        <v>190</v>
      </c>
      <c r="J34" s="196">
        <v>152</v>
      </c>
      <c r="K34" s="196">
        <v>123</v>
      </c>
      <c r="L34" s="197">
        <v>101</v>
      </c>
      <c r="M34" s="200">
        <v>83</v>
      </c>
      <c r="N34" s="196">
        <v>69</v>
      </c>
      <c r="O34" s="196">
        <v>58</v>
      </c>
      <c r="P34" s="196">
        <v>49</v>
      </c>
      <c r="Q34" s="197">
        <v>41</v>
      </c>
      <c r="R34" s="195">
        <v>35</v>
      </c>
      <c r="S34" s="196">
        <v>30</v>
      </c>
      <c r="T34" s="196">
        <v>26</v>
      </c>
      <c r="U34" s="196">
        <v>23</v>
      </c>
      <c r="V34" s="197">
        <v>20</v>
      </c>
      <c r="W34" s="198">
        <v>17</v>
      </c>
    </row>
    <row r="35" spans="1:23" ht="13.5" thickBot="1" x14ac:dyDescent="0.25">
      <c r="A35" s="295"/>
      <c r="B35" s="191">
        <v>10.5</v>
      </c>
      <c r="C35" s="195">
        <v>1000</v>
      </c>
      <c r="D35" s="196">
        <v>877</v>
      </c>
      <c r="E35" s="196">
        <v>644</v>
      </c>
      <c r="F35" s="196">
        <v>484</v>
      </c>
      <c r="G35" s="197">
        <v>370</v>
      </c>
      <c r="H35" s="195">
        <v>289</v>
      </c>
      <c r="I35" s="196">
        <v>228</v>
      </c>
      <c r="J35" s="196">
        <v>183</v>
      </c>
      <c r="K35" s="196">
        <v>148</v>
      </c>
      <c r="L35" s="197">
        <v>121</v>
      </c>
      <c r="M35" s="225">
        <v>100</v>
      </c>
      <c r="N35" s="198">
        <v>83</v>
      </c>
      <c r="O35" s="196">
        <v>70</v>
      </c>
      <c r="P35" s="196">
        <v>59</v>
      </c>
      <c r="Q35" s="197">
        <v>50</v>
      </c>
      <c r="R35" s="195">
        <v>43</v>
      </c>
      <c r="S35" s="196">
        <v>36</v>
      </c>
      <c r="T35" s="196">
        <v>31</v>
      </c>
      <c r="U35" s="196">
        <v>27</v>
      </c>
      <c r="V35" s="197">
        <v>24</v>
      </c>
      <c r="W35" s="198">
        <v>21</v>
      </c>
    </row>
    <row r="36" spans="1:23" ht="13.5" thickBot="1" x14ac:dyDescent="0.25">
      <c r="A36" s="296"/>
      <c r="B36" s="191">
        <v>11</v>
      </c>
      <c r="C36" s="195">
        <v>1000</v>
      </c>
      <c r="D36" s="196">
        <v>1000</v>
      </c>
      <c r="E36" s="196">
        <v>768</v>
      </c>
      <c r="F36" s="196">
        <v>577</v>
      </c>
      <c r="G36" s="197">
        <v>442</v>
      </c>
      <c r="H36" s="195">
        <v>345</v>
      </c>
      <c r="I36" s="196">
        <v>272</v>
      </c>
      <c r="J36" s="196">
        <v>218</v>
      </c>
      <c r="K36" s="196">
        <v>123</v>
      </c>
      <c r="L36" s="197">
        <v>177</v>
      </c>
      <c r="M36" s="195">
        <v>119</v>
      </c>
      <c r="N36" s="196">
        <v>99</v>
      </c>
      <c r="O36" s="200">
        <v>83</v>
      </c>
      <c r="P36" s="196">
        <v>70</v>
      </c>
      <c r="Q36" s="197">
        <v>60</v>
      </c>
      <c r="R36" s="195">
        <v>51</v>
      </c>
      <c r="S36" s="196">
        <v>44</v>
      </c>
      <c r="T36" s="196">
        <v>38</v>
      </c>
      <c r="U36" s="196">
        <v>33</v>
      </c>
      <c r="V36" s="197">
        <v>28</v>
      </c>
      <c r="W36" s="198">
        <v>25</v>
      </c>
    </row>
    <row r="93" spans="1:23" ht="13.5" thickBot="1" x14ac:dyDescent="0.25">
      <c r="A93"/>
      <c r="B93"/>
      <c r="C93"/>
      <c r="D93"/>
      <c r="E93"/>
      <c r="F93"/>
      <c r="G93"/>
      <c r="H93"/>
      <c r="I93"/>
      <c r="J93"/>
      <c r="K93"/>
      <c r="N93"/>
      <c r="S93"/>
    </row>
    <row r="94" spans="1:23" ht="13.5" thickBot="1" x14ac:dyDescent="0.25">
      <c r="A94" s="286" t="s">
        <v>847</v>
      </c>
      <c r="B94" s="287"/>
      <c r="C94" s="287"/>
      <c r="D94" s="287"/>
      <c r="E94" s="287"/>
      <c r="F94" s="287"/>
      <c r="G94" s="287"/>
      <c r="H94" s="287"/>
      <c r="I94" s="287"/>
      <c r="J94" s="287"/>
      <c r="K94" s="287"/>
      <c r="L94" s="287"/>
      <c r="M94" s="287"/>
      <c r="N94" s="287"/>
      <c r="O94" s="287"/>
      <c r="P94" s="287"/>
      <c r="Q94" s="287"/>
      <c r="R94" s="287"/>
      <c r="S94" s="287"/>
      <c r="T94" s="287"/>
      <c r="U94" s="287"/>
      <c r="V94" s="287"/>
      <c r="W94" s="288"/>
    </row>
    <row r="95" spans="1:23" ht="13.5" thickBot="1" x14ac:dyDescent="0.25">
      <c r="A95" s="201" t="s">
        <v>835</v>
      </c>
      <c r="B95" s="220" t="s">
        <v>807</v>
      </c>
      <c r="C95" s="217" t="s">
        <v>811</v>
      </c>
      <c r="D95" s="218" t="s">
        <v>812</v>
      </c>
      <c r="E95" s="218" t="s">
        <v>813</v>
      </c>
      <c r="F95" s="218" t="s">
        <v>814</v>
      </c>
      <c r="G95" s="219" t="s">
        <v>502</v>
      </c>
      <c r="H95" s="217" t="s">
        <v>815</v>
      </c>
      <c r="I95" s="218" t="s">
        <v>816</v>
      </c>
      <c r="J95" s="218" t="s">
        <v>817</v>
      </c>
      <c r="K95" s="218" t="s">
        <v>818</v>
      </c>
      <c r="L95" s="219" t="s">
        <v>819</v>
      </c>
      <c r="M95" s="217" t="s">
        <v>820</v>
      </c>
      <c r="N95" s="218" t="s">
        <v>821</v>
      </c>
      <c r="O95" s="218" t="s">
        <v>828</v>
      </c>
      <c r="P95" s="218" t="s">
        <v>822</v>
      </c>
      <c r="Q95" s="219" t="s">
        <v>823</v>
      </c>
      <c r="R95" s="218" t="s">
        <v>824</v>
      </c>
      <c r="S95" s="218" t="s">
        <v>825</v>
      </c>
      <c r="T95" s="218"/>
      <c r="U95" s="218"/>
      <c r="V95" s="218"/>
      <c r="W95" s="219"/>
    </row>
    <row r="96" spans="1:23" ht="13.5" thickBot="1" x14ac:dyDescent="0.25">
      <c r="A96" s="297" t="s">
        <v>832</v>
      </c>
      <c r="B96" s="214">
        <v>1</v>
      </c>
      <c r="C96" s="207">
        <f t="shared" ref="C96:L100" si="10">17.5*MIN((-0.615*LOG(($B96*MAX(C$95/(1000*0.16),0.2)))+0.578),1)</f>
        <v>17.5</v>
      </c>
      <c r="D96" s="206">
        <f t="shared" si="10"/>
        <v>17.087135648826461</v>
      </c>
      <c r="E96" s="206">
        <f t="shared" si="10"/>
        <v>16.594670656667194</v>
      </c>
      <c r="F96" s="206">
        <f t="shared" si="10"/>
        <v>16.044141633827252</v>
      </c>
      <c r="G96" s="208">
        <f t="shared" si="10"/>
        <v>15.551676641667987</v>
      </c>
      <c r="H96" s="207">
        <f t="shared" si="10"/>
        <v>15.021967672680159</v>
      </c>
      <c r="I96" s="206">
        <f t="shared" si="10"/>
        <v>14.471438649840216</v>
      </c>
      <c r="J96" s="206">
        <f t="shared" si="10"/>
        <v>13.912673335245342</v>
      </c>
      <c r="K96" s="206">
        <f t="shared" si="10"/>
        <v>13.354835328333598</v>
      </c>
      <c r="L96" s="208">
        <f t="shared" si="10"/>
        <v>12.804306305493656</v>
      </c>
      <c r="M96" s="207">
        <f t="shared" ref="M96:S100" si="11">17.5*MIN((-0.615*LOG(($B96*MAX(M$95/(1000*0.16),0.2)))+0.578),1)</f>
        <v>12.311841313334391</v>
      </c>
      <c r="N96" s="206">
        <f t="shared" si="11"/>
        <v>11.782132344346561</v>
      </c>
      <c r="O96" s="206">
        <f t="shared" si="11"/>
        <v>11.420863765303595</v>
      </c>
      <c r="P96" s="206">
        <f t="shared" si="11"/>
        <v>11.268847298335183</v>
      </c>
      <c r="Q96" s="208">
        <f t="shared" si="11"/>
        <v>10.739138329347353</v>
      </c>
      <c r="R96" s="206">
        <f t="shared" si="11"/>
        <v>10.114999999999998</v>
      </c>
      <c r="S96" s="206">
        <f t="shared" si="11"/>
        <v>9.5644709771600596</v>
      </c>
      <c r="T96" s="206"/>
      <c r="U96" s="206"/>
      <c r="V96" s="206"/>
      <c r="W96" s="208"/>
    </row>
    <row r="97" spans="1:23" ht="13.5" thickBot="1" x14ac:dyDescent="0.25">
      <c r="A97" s="298"/>
      <c r="B97" s="214">
        <v>1.5</v>
      </c>
      <c r="C97" s="207">
        <f t="shared" si="10"/>
        <v>15.742482496079631</v>
      </c>
      <c r="D97" s="206">
        <f t="shared" si="10"/>
        <v>15.191953473239689</v>
      </c>
      <c r="E97" s="206">
        <f t="shared" si="10"/>
        <v>14.699488481080424</v>
      </c>
      <c r="F97" s="206">
        <f t="shared" si="10"/>
        <v>14.148959458240483</v>
      </c>
      <c r="G97" s="208">
        <f t="shared" si="10"/>
        <v>13.656494466081217</v>
      </c>
      <c r="H97" s="207">
        <f t="shared" si="10"/>
        <v>13.12678549709339</v>
      </c>
      <c r="I97" s="206">
        <f t="shared" si="10"/>
        <v>12.576256474253448</v>
      </c>
      <c r="J97" s="206">
        <f t="shared" si="10"/>
        <v>12.017491159658572</v>
      </c>
      <c r="K97" s="206">
        <f t="shared" si="10"/>
        <v>11.459653152746828</v>
      </c>
      <c r="L97" s="208">
        <f t="shared" si="10"/>
        <v>10.909124129906886</v>
      </c>
      <c r="M97" s="207">
        <f t="shared" si="11"/>
        <v>10.416659137747621</v>
      </c>
      <c r="N97" s="206">
        <f t="shared" si="11"/>
        <v>9.8869501687597925</v>
      </c>
      <c r="O97" s="206">
        <f t="shared" si="11"/>
        <v>9.5256815897168252</v>
      </c>
      <c r="P97" s="206">
        <f t="shared" si="11"/>
        <v>9.3736651227484131</v>
      </c>
      <c r="Q97" s="208">
        <f t="shared" si="11"/>
        <v>8.8439561537605833</v>
      </c>
      <c r="R97" s="206">
        <f t="shared" si="11"/>
        <v>8.2198178244132301</v>
      </c>
      <c r="S97" s="206">
        <f t="shared" si="11"/>
        <v>7.6692888015732885</v>
      </c>
      <c r="T97" s="206"/>
      <c r="U97" s="206"/>
      <c r="V97" s="206"/>
      <c r="W97" s="208"/>
    </row>
    <row r="98" spans="1:23" ht="13.5" thickBot="1" x14ac:dyDescent="0.25">
      <c r="A98" s="298"/>
      <c r="B98" s="214">
        <v>2</v>
      </c>
      <c r="C98" s="207">
        <f t="shared" si="10"/>
        <v>14.397829343332806</v>
      </c>
      <c r="D98" s="206">
        <f t="shared" si="10"/>
        <v>13.847300320492863</v>
      </c>
      <c r="E98" s="206">
        <f t="shared" si="10"/>
        <v>13.354835328333598</v>
      </c>
      <c r="F98" s="206">
        <f t="shared" si="10"/>
        <v>12.804306305493656</v>
      </c>
      <c r="G98" s="208">
        <f t="shared" si="10"/>
        <v>12.311841313334391</v>
      </c>
      <c r="H98" s="207">
        <f t="shared" si="10"/>
        <v>11.782132344346561</v>
      </c>
      <c r="I98" s="206">
        <f t="shared" si="10"/>
        <v>11.231603321506618</v>
      </c>
      <c r="J98" s="206">
        <f t="shared" si="10"/>
        <v>10.672838006911745</v>
      </c>
      <c r="K98" s="206">
        <f t="shared" si="10"/>
        <v>10.114999999999998</v>
      </c>
      <c r="L98" s="208">
        <f t="shared" si="10"/>
        <v>9.5644709771600596</v>
      </c>
      <c r="M98" s="207">
        <f t="shared" si="11"/>
        <v>9.0720059850007928</v>
      </c>
      <c r="N98" s="206">
        <f t="shared" si="11"/>
        <v>8.542297016012963</v>
      </c>
      <c r="O98" s="206">
        <f t="shared" si="11"/>
        <v>8.1810284369699975</v>
      </c>
      <c r="P98" s="206">
        <f t="shared" si="11"/>
        <v>8.0290119700015854</v>
      </c>
      <c r="Q98" s="208">
        <f t="shared" si="11"/>
        <v>7.4993030010137556</v>
      </c>
      <c r="R98" s="206">
        <f t="shared" si="11"/>
        <v>6.8751646716664014</v>
      </c>
      <c r="S98" s="206">
        <f t="shared" si="11"/>
        <v>6.3246356488264608</v>
      </c>
      <c r="T98" s="206"/>
      <c r="U98" s="206"/>
      <c r="V98" s="206"/>
      <c r="W98" s="208"/>
    </row>
    <row r="99" spans="1:23" ht="13.5" thickBot="1" x14ac:dyDescent="0.25">
      <c r="A99" s="298"/>
      <c r="B99" s="214">
        <v>2.5</v>
      </c>
      <c r="C99" s="207">
        <f t="shared" si="10"/>
        <v>13.354835328333598</v>
      </c>
      <c r="D99" s="206">
        <f t="shared" si="10"/>
        <v>12.804306305493656</v>
      </c>
      <c r="E99" s="206">
        <f t="shared" si="10"/>
        <v>12.311841313334391</v>
      </c>
      <c r="F99" s="206">
        <f t="shared" si="10"/>
        <v>11.761312290494448</v>
      </c>
      <c r="G99" s="208">
        <f t="shared" si="10"/>
        <v>11.268847298335183</v>
      </c>
      <c r="H99" s="207">
        <f t="shared" si="10"/>
        <v>10.739138329347353</v>
      </c>
      <c r="I99" s="206">
        <f t="shared" si="10"/>
        <v>10.188609306507411</v>
      </c>
      <c r="J99" s="206">
        <f t="shared" si="10"/>
        <v>9.6298439919125371</v>
      </c>
      <c r="K99" s="206">
        <f t="shared" si="10"/>
        <v>9.0720059850007928</v>
      </c>
      <c r="L99" s="208">
        <f t="shared" si="10"/>
        <v>8.5214769621608504</v>
      </c>
      <c r="M99" s="207">
        <f t="shared" si="11"/>
        <v>8.0290119700015854</v>
      </c>
      <c r="N99" s="206">
        <f t="shared" si="11"/>
        <v>7.4993030010137556</v>
      </c>
      <c r="O99" s="206">
        <f t="shared" si="11"/>
        <v>7.138034421970791</v>
      </c>
      <c r="P99" s="206">
        <f t="shared" si="11"/>
        <v>6.986017955002378</v>
      </c>
      <c r="Q99" s="208">
        <f t="shared" si="11"/>
        <v>6.4563089860145482</v>
      </c>
      <c r="R99" s="206">
        <f t="shared" si="11"/>
        <v>5.8321706566671949</v>
      </c>
      <c r="S99" s="206">
        <f t="shared" si="11"/>
        <v>5.2816416338272534</v>
      </c>
      <c r="T99" s="206"/>
      <c r="U99" s="206"/>
      <c r="V99" s="206"/>
      <c r="W99" s="208"/>
    </row>
    <row r="100" spans="1:23" ht="13.5" thickBot="1" x14ac:dyDescent="0.25">
      <c r="A100" s="298"/>
      <c r="B100" s="214">
        <v>3</v>
      </c>
      <c r="C100" s="207">
        <f t="shared" si="10"/>
        <v>12.502647167746034</v>
      </c>
      <c r="D100" s="206">
        <f t="shared" si="10"/>
        <v>11.952118144906093</v>
      </c>
      <c r="E100" s="206">
        <f t="shared" si="10"/>
        <v>11.459653152746828</v>
      </c>
      <c r="F100" s="206">
        <f t="shared" si="10"/>
        <v>10.909124129906886</v>
      </c>
      <c r="G100" s="208">
        <f t="shared" si="10"/>
        <v>10.416659137747621</v>
      </c>
      <c r="H100" s="207">
        <f t="shared" si="10"/>
        <v>9.8869501687597925</v>
      </c>
      <c r="I100" s="206">
        <f t="shared" si="10"/>
        <v>9.3364211459198501</v>
      </c>
      <c r="J100" s="206">
        <f t="shared" si="10"/>
        <v>8.7776558313249744</v>
      </c>
      <c r="K100" s="206">
        <f t="shared" si="10"/>
        <v>8.2198178244132301</v>
      </c>
      <c r="L100" s="208">
        <f t="shared" si="10"/>
        <v>7.6692888015732885</v>
      </c>
      <c r="M100" s="207">
        <f t="shared" si="11"/>
        <v>7.1768238094140226</v>
      </c>
      <c r="N100" s="206">
        <f t="shared" si="11"/>
        <v>6.6471148404261937</v>
      </c>
      <c r="O100" s="206">
        <f t="shared" si="11"/>
        <v>6.28584626138323</v>
      </c>
      <c r="P100" s="206">
        <f t="shared" si="11"/>
        <v>6.1338297944148152</v>
      </c>
      <c r="Q100" s="208">
        <f t="shared" si="11"/>
        <v>5.6041208254269854</v>
      </c>
      <c r="R100" s="206">
        <f t="shared" si="11"/>
        <v>4.9799824960796331</v>
      </c>
      <c r="S100" s="206">
        <f t="shared" si="11"/>
        <v>4.4294534732396915</v>
      </c>
      <c r="T100" s="206"/>
      <c r="U100" s="206"/>
      <c r="V100" s="206"/>
      <c r="W100" s="208"/>
    </row>
    <row r="101" spans="1:23" ht="13.5" thickBot="1" x14ac:dyDescent="0.25">
      <c r="A101" s="297" t="s">
        <v>809</v>
      </c>
      <c r="B101" s="215">
        <v>1</v>
      </c>
      <c r="C101" s="206">
        <f t="shared" ref="C101:L105" si="12">17.5*MIN((-0.615*LOG(($B101*MAX(C$95/(1000*0.19),0.2)))+0.578),1)</f>
        <v>17.5</v>
      </c>
      <c r="D101" s="206">
        <f t="shared" si="12"/>
        <v>17.5</v>
      </c>
      <c r="E101" s="206">
        <f t="shared" si="12"/>
        <v>17.397914973587628</v>
      </c>
      <c r="F101" s="206">
        <f t="shared" si="12"/>
        <v>16.847385950747686</v>
      </c>
      <c r="G101" s="206">
        <f t="shared" si="12"/>
        <v>16.354920958588419</v>
      </c>
      <c r="H101" s="207">
        <f t="shared" si="12"/>
        <v>15.825211989600589</v>
      </c>
      <c r="I101" s="206">
        <f t="shared" si="12"/>
        <v>15.274682966760649</v>
      </c>
      <c r="J101" s="206">
        <f t="shared" si="12"/>
        <v>14.715917652165773</v>
      </c>
      <c r="K101" s="206">
        <f t="shared" si="12"/>
        <v>14.158079645254027</v>
      </c>
      <c r="L101" s="208">
        <f t="shared" si="12"/>
        <v>13.607550622414086</v>
      </c>
      <c r="M101" s="206">
        <f t="shared" ref="M101:S105" si="13">17.5*MIN((-0.615*LOG(($B101*MAX(M$95/(1000*0.19),0.2)))+0.578),1)</f>
        <v>13.115085630254821</v>
      </c>
      <c r="N101" s="206">
        <f t="shared" si="13"/>
        <v>12.585376661266993</v>
      </c>
      <c r="O101" s="206">
        <f t="shared" si="13"/>
        <v>12.224108082224026</v>
      </c>
      <c r="P101" s="206">
        <f t="shared" si="13"/>
        <v>12.072091615255612</v>
      </c>
      <c r="Q101" s="206">
        <f t="shared" si="13"/>
        <v>11.542382646267786</v>
      </c>
      <c r="R101" s="207">
        <f t="shared" si="13"/>
        <v>10.918244316920431</v>
      </c>
      <c r="S101" s="206">
        <f t="shared" si="13"/>
        <v>10.36771529408049</v>
      </c>
      <c r="T101" s="206"/>
      <c r="U101" s="206"/>
      <c r="V101" s="206"/>
      <c r="W101" s="208"/>
    </row>
    <row r="102" spans="1:23" ht="13.5" thickBot="1" x14ac:dyDescent="0.25">
      <c r="A102" s="298"/>
      <c r="B102" s="215">
        <v>1.5</v>
      </c>
      <c r="C102" s="206">
        <f t="shared" si="12"/>
        <v>15.742482496079631</v>
      </c>
      <c r="D102" s="206">
        <f t="shared" si="12"/>
        <v>15.742482496079631</v>
      </c>
      <c r="E102" s="206">
        <f t="shared" si="12"/>
        <v>15.502732798000858</v>
      </c>
      <c r="F102" s="206">
        <f t="shared" si="12"/>
        <v>14.952203775160916</v>
      </c>
      <c r="G102" s="206">
        <f t="shared" si="12"/>
        <v>14.459738783001651</v>
      </c>
      <c r="H102" s="207">
        <f t="shared" si="12"/>
        <v>13.930029814013819</v>
      </c>
      <c r="I102" s="206">
        <f t="shared" si="12"/>
        <v>13.379500791173877</v>
      </c>
      <c r="J102" s="206">
        <f t="shared" si="12"/>
        <v>12.820735476579005</v>
      </c>
      <c r="K102" s="206">
        <f t="shared" si="12"/>
        <v>12.26289746966726</v>
      </c>
      <c r="L102" s="208">
        <f t="shared" si="12"/>
        <v>11.712368446827318</v>
      </c>
      <c r="M102" s="206">
        <f t="shared" si="13"/>
        <v>11.219903454668051</v>
      </c>
      <c r="N102" s="206">
        <f t="shared" si="13"/>
        <v>10.690194485680223</v>
      </c>
      <c r="O102" s="206">
        <f t="shared" si="13"/>
        <v>10.328925906637258</v>
      </c>
      <c r="P102" s="206">
        <f t="shared" si="13"/>
        <v>10.176909439668846</v>
      </c>
      <c r="Q102" s="206">
        <f t="shared" si="13"/>
        <v>9.6472004706810157</v>
      </c>
      <c r="R102" s="207">
        <f t="shared" si="13"/>
        <v>9.0230621413336607</v>
      </c>
      <c r="S102" s="206">
        <f t="shared" si="13"/>
        <v>8.47253311849372</v>
      </c>
      <c r="T102" s="206"/>
      <c r="U102" s="206"/>
      <c r="V102" s="206"/>
      <c r="W102" s="208"/>
    </row>
    <row r="103" spans="1:23" ht="13.5" thickBot="1" x14ac:dyDescent="0.25">
      <c r="A103" s="298"/>
      <c r="B103" s="215">
        <v>2</v>
      </c>
      <c r="C103" s="206">
        <f t="shared" si="12"/>
        <v>14.397829343332806</v>
      </c>
      <c r="D103" s="206">
        <f t="shared" si="12"/>
        <v>14.397829343332806</v>
      </c>
      <c r="E103" s="206">
        <f t="shared" si="12"/>
        <v>14.158079645254027</v>
      </c>
      <c r="F103" s="206">
        <f t="shared" si="12"/>
        <v>13.607550622414086</v>
      </c>
      <c r="G103" s="206">
        <f t="shared" si="12"/>
        <v>13.115085630254821</v>
      </c>
      <c r="H103" s="207">
        <f t="shared" si="12"/>
        <v>12.585376661266993</v>
      </c>
      <c r="I103" s="206">
        <f t="shared" si="12"/>
        <v>12.034847638427051</v>
      </c>
      <c r="J103" s="206">
        <f t="shared" si="12"/>
        <v>11.476082323832175</v>
      </c>
      <c r="K103" s="206">
        <f t="shared" si="12"/>
        <v>10.918244316920431</v>
      </c>
      <c r="L103" s="208">
        <f t="shared" si="12"/>
        <v>10.36771529408049</v>
      </c>
      <c r="M103" s="206">
        <f t="shared" si="13"/>
        <v>9.8752503019212234</v>
      </c>
      <c r="N103" s="206">
        <f t="shared" si="13"/>
        <v>9.3455413329333936</v>
      </c>
      <c r="O103" s="206">
        <f t="shared" si="13"/>
        <v>8.9842727538904299</v>
      </c>
      <c r="P103" s="206">
        <f t="shared" si="13"/>
        <v>8.832256286922016</v>
      </c>
      <c r="Q103" s="206">
        <f t="shared" si="13"/>
        <v>8.302547317934188</v>
      </c>
      <c r="R103" s="207">
        <f t="shared" si="13"/>
        <v>7.678408988586833</v>
      </c>
      <c r="S103" s="206">
        <f t="shared" si="13"/>
        <v>7.1278799657468923</v>
      </c>
      <c r="T103" s="206"/>
      <c r="U103" s="206"/>
      <c r="V103" s="206"/>
      <c r="W103" s="208"/>
    </row>
    <row r="104" spans="1:23" ht="13.5" thickBot="1" x14ac:dyDescent="0.25">
      <c r="A104" s="298"/>
      <c r="B104" s="215">
        <v>2.5</v>
      </c>
      <c r="C104" s="206">
        <f t="shared" si="12"/>
        <v>13.354835328333598</v>
      </c>
      <c r="D104" s="206">
        <f t="shared" si="12"/>
        <v>13.354835328333598</v>
      </c>
      <c r="E104" s="206">
        <f t="shared" si="12"/>
        <v>13.115085630254821</v>
      </c>
      <c r="F104" s="206">
        <f t="shared" si="12"/>
        <v>12.564556607414881</v>
      </c>
      <c r="G104" s="206">
        <f t="shared" si="12"/>
        <v>12.072091615255614</v>
      </c>
      <c r="H104" s="207">
        <f t="shared" si="12"/>
        <v>11.542382646267786</v>
      </c>
      <c r="I104" s="206">
        <f t="shared" si="12"/>
        <v>10.991853623427843</v>
      </c>
      <c r="J104" s="206">
        <f t="shared" si="12"/>
        <v>10.433088308832968</v>
      </c>
      <c r="K104" s="206">
        <f t="shared" si="12"/>
        <v>9.8752503019212234</v>
      </c>
      <c r="L104" s="208">
        <f t="shared" si="12"/>
        <v>9.3247212790812828</v>
      </c>
      <c r="M104" s="206">
        <f t="shared" si="13"/>
        <v>8.832256286922016</v>
      </c>
      <c r="N104" s="206">
        <f t="shared" si="13"/>
        <v>8.302547317934188</v>
      </c>
      <c r="O104" s="206">
        <f t="shared" si="13"/>
        <v>7.9412787388912225</v>
      </c>
      <c r="P104" s="206">
        <f t="shared" si="13"/>
        <v>7.7892622719228086</v>
      </c>
      <c r="Q104" s="206">
        <f t="shared" si="13"/>
        <v>7.2595533029349797</v>
      </c>
      <c r="R104" s="207">
        <f t="shared" si="13"/>
        <v>6.6354149735876256</v>
      </c>
      <c r="S104" s="206">
        <f t="shared" si="13"/>
        <v>6.0848859507476849</v>
      </c>
      <c r="T104" s="206"/>
      <c r="U104" s="206"/>
      <c r="V104" s="206"/>
      <c r="W104" s="208"/>
    </row>
    <row r="105" spans="1:23" ht="13.5" thickBot="1" x14ac:dyDescent="0.25">
      <c r="A105" s="299"/>
      <c r="B105" s="215">
        <v>3</v>
      </c>
      <c r="C105" s="206">
        <f t="shared" si="12"/>
        <v>12.502647167746034</v>
      </c>
      <c r="D105" s="206">
        <f t="shared" si="12"/>
        <v>12.502647167746034</v>
      </c>
      <c r="E105" s="206">
        <f t="shared" si="12"/>
        <v>12.26289746966726</v>
      </c>
      <c r="F105" s="206">
        <f t="shared" si="12"/>
        <v>11.712368446827318</v>
      </c>
      <c r="G105" s="206">
        <f t="shared" si="12"/>
        <v>11.219903454668051</v>
      </c>
      <c r="H105" s="207">
        <f t="shared" si="12"/>
        <v>10.690194485680223</v>
      </c>
      <c r="I105" s="206">
        <f t="shared" si="12"/>
        <v>10.139665462840281</v>
      </c>
      <c r="J105" s="206">
        <f t="shared" si="12"/>
        <v>9.5809001482454068</v>
      </c>
      <c r="K105" s="206">
        <f t="shared" si="12"/>
        <v>9.0230621413336607</v>
      </c>
      <c r="L105" s="208">
        <f t="shared" si="12"/>
        <v>8.47253311849372</v>
      </c>
      <c r="M105" s="206">
        <f t="shared" si="13"/>
        <v>7.9800681263344542</v>
      </c>
      <c r="N105" s="206">
        <f t="shared" si="13"/>
        <v>7.4503591573466252</v>
      </c>
      <c r="O105" s="206">
        <f t="shared" si="13"/>
        <v>7.0890905783036606</v>
      </c>
      <c r="P105" s="206">
        <f t="shared" si="13"/>
        <v>6.9370741113352468</v>
      </c>
      <c r="Q105" s="206">
        <f t="shared" si="13"/>
        <v>6.4073651423474178</v>
      </c>
      <c r="R105" s="207">
        <f t="shared" si="13"/>
        <v>5.7832268130000637</v>
      </c>
      <c r="S105" s="206">
        <f t="shared" si="13"/>
        <v>5.232697790160123</v>
      </c>
      <c r="T105" s="206"/>
      <c r="U105" s="206"/>
      <c r="V105" s="206"/>
      <c r="W105" s="208"/>
    </row>
    <row r="106" spans="1:23" ht="13.5" thickBot="1" x14ac:dyDescent="0.25">
      <c r="A106" s="297" t="s">
        <v>834</v>
      </c>
      <c r="B106" s="214">
        <v>1</v>
      </c>
      <c r="C106" s="207">
        <f t="shared" ref="C106:L110" si="14">17.5*MIN((-0.615*LOG(($B106*MAX(C$95/(1000*0.16),0.2)))+0.694),1)</f>
        <v>17.5</v>
      </c>
      <c r="D106" s="206">
        <f t="shared" si="14"/>
        <v>17.5</v>
      </c>
      <c r="E106" s="206">
        <f t="shared" si="14"/>
        <v>17.5</v>
      </c>
      <c r="F106" s="206">
        <f t="shared" si="14"/>
        <v>17.5</v>
      </c>
      <c r="G106" s="208">
        <f t="shared" si="14"/>
        <v>17.5</v>
      </c>
      <c r="H106" s="207">
        <f t="shared" si="14"/>
        <v>17.051967672680156</v>
      </c>
      <c r="I106" s="206">
        <f t="shared" si="14"/>
        <v>16.501438649840217</v>
      </c>
      <c r="J106" s="206">
        <f t="shared" si="14"/>
        <v>15.942673335245342</v>
      </c>
      <c r="K106" s="206">
        <f t="shared" si="14"/>
        <v>15.384835328333597</v>
      </c>
      <c r="L106" s="208">
        <f t="shared" si="14"/>
        <v>14.834306305493655</v>
      </c>
      <c r="M106" s="207">
        <f t="shared" ref="M106:S110" si="15">17.5*MIN((-0.615*LOG(($B106*MAX(M$95/(1000*0.16),0.2)))+0.694),1)</f>
        <v>14.34184131333439</v>
      </c>
      <c r="N106" s="206">
        <f t="shared" si="15"/>
        <v>13.81213234434656</v>
      </c>
      <c r="O106" s="206">
        <f t="shared" si="15"/>
        <v>13.450863765303595</v>
      </c>
      <c r="P106" s="206">
        <f t="shared" si="15"/>
        <v>13.298847298335183</v>
      </c>
      <c r="Q106" s="208">
        <f t="shared" si="15"/>
        <v>12.769138329347353</v>
      </c>
      <c r="R106" s="206">
        <f t="shared" si="15"/>
        <v>12.145</v>
      </c>
      <c r="S106" s="206">
        <f t="shared" si="15"/>
        <v>11.594470977160059</v>
      </c>
      <c r="T106" s="206"/>
      <c r="U106" s="206"/>
      <c r="V106" s="206"/>
      <c r="W106" s="208"/>
    </row>
    <row r="107" spans="1:23" ht="13.5" thickBot="1" x14ac:dyDescent="0.25">
      <c r="A107" s="298"/>
      <c r="B107" s="214">
        <v>1.5</v>
      </c>
      <c r="C107" s="207">
        <f t="shared" si="14"/>
        <v>17.5</v>
      </c>
      <c r="D107" s="206">
        <f t="shared" si="14"/>
        <v>17.22195347323969</v>
      </c>
      <c r="E107" s="206">
        <f t="shared" si="14"/>
        <v>16.729488481080427</v>
      </c>
      <c r="F107" s="206">
        <f t="shared" si="14"/>
        <v>16.178959458240485</v>
      </c>
      <c r="G107" s="208">
        <f t="shared" si="14"/>
        <v>15.68649446608122</v>
      </c>
      <c r="H107" s="207">
        <f t="shared" si="14"/>
        <v>15.156785497093388</v>
      </c>
      <c r="I107" s="206">
        <f t="shared" si="14"/>
        <v>14.606256474253447</v>
      </c>
      <c r="J107" s="206">
        <f t="shared" si="14"/>
        <v>14.047491159658573</v>
      </c>
      <c r="K107" s="206">
        <f t="shared" si="14"/>
        <v>13.489653152746827</v>
      </c>
      <c r="L107" s="208">
        <f t="shared" si="14"/>
        <v>12.939124129906885</v>
      </c>
      <c r="M107" s="207">
        <f t="shared" si="15"/>
        <v>12.44665913774762</v>
      </c>
      <c r="N107" s="206">
        <f t="shared" si="15"/>
        <v>11.916950168759792</v>
      </c>
      <c r="O107" s="206">
        <f t="shared" si="15"/>
        <v>11.555681589716826</v>
      </c>
      <c r="P107" s="206">
        <f t="shared" si="15"/>
        <v>11.403665122748414</v>
      </c>
      <c r="Q107" s="208">
        <f t="shared" si="15"/>
        <v>10.873956153760584</v>
      </c>
      <c r="R107" s="206">
        <f t="shared" si="15"/>
        <v>10.249817824413229</v>
      </c>
      <c r="S107" s="206">
        <f t="shared" si="15"/>
        <v>9.699288801573287</v>
      </c>
      <c r="T107" s="206"/>
      <c r="U107" s="206"/>
      <c r="V107" s="206"/>
      <c r="W107" s="208"/>
    </row>
    <row r="108" spans="1:23" ht="13.5" thickBot="1" x14ac:dyDescent="0.25">
      <c r="A108" s="298"/>
      <c r="B108" s="214">
        <v>2</v>
      </c>
      <c r="C108" s="207">
        <f t="shared" si="14"/>
        <v>16.427829343332803</v>
      </c>
      <c r="D108" s="206">
        <f t="shared" si="14"/>
        <v>15.877300320492862</v>
      </c>
      <c r="E108" s="206">
        <f t="shared" si="14"/>
        <v>15.384835328333597</v>
      </c>
      <c r="F108" s="206">
        <f t="shared" si="14"/>
        <v>14.834306305493655</v>
      </c>
      <c r="G108" s="208">
        <f t="shared" si="14"/>
        <v>14.34184131333439</v>
      </c>
      <c r="H108" s="207">
        <f t="shared" si="14"/>
        <v>13.81213234434656</v>
      </c>
      <c r="I108" s="206">
        <f t="shared" si="14"/>
        <v>13.26160332150662</v>
      </c>
      <c r="J108" s="206">
        <f t="shared" si="14"/>
        <v>12.702838006911744</v>
      </c>
      <c r="K108" s="206">
        <f t="shared" si="14"/>
        <v>12.145</v>
      </c>
      <c r="L108" s="208">
        <f t="shared" si="14"/>
        <v>11.594470977160059</v>
      </c>
      <c r="M108" s="207">
        <f t="shared" si="15"/>
        <v>11.102005985000792</v>
      </c>
      <c r="N108" s="206">
        <f t="shared" si="15"/>
        <v>10.572297016012962</v>
      </c>
      <c r="O108" s="206">
        <f t="shared" si="15"/>
        <v>10.211028436969999</v>
      </c>
      <c r="P108" s="206">
        <f t="shared" si="15"/>
        <v>10.059011970001585</v>
      </c>
      <c r="Q108" s="208">
        <f t="shared" si="15"/>
        <v>9.5293030010137549</v>
      </c>
      <c r="R108" s="206">
        <f t="shared" si="15"/>
        <v>8.9051646716664017</v>
      </c>
      <c r="S108" s="206">
        <f t="shared" si="15"/>
        <v>8.354635648826461</v>
      </c>
      <c r="T108" s="206"/>
      <c r="U108" s="206"/>
      <c r="V108" s="206"/>
      <c r="W108" s="208"/>
    </row>
    <row r="109" spans="1:23" ht="13.5" thickBot="1" x14ac:dyDescent="0.25">
      <c r="A109" s="298"/>
      <c r="B109" s="214">
        <v>2.5</v>
      </c>
      <c r="C109" s="207">
        <f t="shared" si="14"/>
        <v>15.384835328333597</v>
      </c>
      <c r="D109" s="206">
        <f t="shared" si="14"/>
        <v>14.834306305493655</v>
      </c>
      <c r="E109" s="206">
        <f t="shared" si="14"/>
        <v>14.34184131333439</v>
      </c>
      <c r="F109" s="206">
        <f t="shared" si="14"/>
        <v>13.791312290494448</v>
      </c>
      <c r="G109" s="208">
        <f t="shared" si="14"/>
        <v>13.298847298335183</v>
      </c>
      <c r="H109" s="207">
        <f t="shared" si="14"/>
        <v>12.769138329347353</v>
      </c>
      <c r="I109" s="206">
        <f t="shared" si="14"/>
        <v>12.218609306507412</v>
      </c>
      <c r="J109" s="206">
        <f t="shared" si="14"/>
        <v>11.659843991912537</v>
      </c>
      <c r="K109" s="206">
        <f t="shared" si="14"/>
        <v>11.102005985000792</v>
      </c>
      <c r="L109" s="208">
        <f t="shared" si="14"/>
        <v>10.551476962160852</v>
      </c>
      <c r="M109" s="207">
        <f t="shared" si="15"/>
        <v>10.059011970001585</v>
      </c>
      <c r="N109" s="206">
        <f t="shared" si="15"/>
        <v>9.5293030010137549</v>
      </c>
      <c r="O109" s="206">
        <f t="shared" si="15"/>
        <v>9.1680344219707912</v>
      </c>
      <c r="P109" s="206">
        <f t="shared" si="15"/>
        <v>9.0160179550023773</v>
      </c>
      <c r="Q109" s="208">
        <f t="shared" si="15"/>
        <v>8.4863089860145475</v>
      </c>
      <c r="R109" s="206">
        <f t="shared" si="15"/>
        <v>7.8621706566671943</v>
      </c>
      <c r="S109" s="206">
        <f t="shared" si="15"/>
        <v>7.3116416338272536</v>
      </c>
      <c r="T109" s="206"/>
      <c r="U109" s="206"/>
      <c r="V109" s="206"/>
      <c r="W109" s="208"/>
    </row>
    <row r="110" spans="1:23" ht="13.5" thickBot="1" x14ac:dyDescent="0.25">
      <c r="A110" s="298"/>
      <c r="B110" s="214">
        <v>3</v>
      </c>
      <c r="C110" s="207">
        <f t="shared" si="14"/>
        <v>14.532647167746033</v>
      </c>
      <c r="D110" s="206">
        <f t="shared" si="14"/>
        <v>13.982118144906092</v>
      </c>
      <c r="E110" s="206">
        <f t="shared" si="14"/>
        <v>13.489653152746827</v>
      </c>
      <c r="F110" s="206">
        <f t="shared" si="14"/>
        <v>12.939124129906885</v>
      </c>
      <c r="G110" s="208">
        <f t="shared" si="14"/>
        <v>12.44665913774762</v>
      </c>
      <c r="H110" s="207">
        <f t="shared" si="14"/>
        <v>11.916950168759792</v>
      </c>
      <c r="I110" s="206">
        <f t="shared" si="14"/>
        <v>11.366421145919849</v>
      </c>
      <c r="J110" s="206">
        <f t="shared" si="14"/>
        <v>10.807655831324977</v>
      </c>
      <c r="K110" s="206">
        <f t="shared" si="14"/>
        <v>10.249817824413229</v>
      </c>
      <c r="L110" s="208">
        <f t="shared" si="14"/>
        <v>9.699288801573287</v>
      </c>
      <c r="M110" s="207">
        <f t="shared" si="15"/>
        <v>9.206823809414022</v>
      </c>
      <c r="N110" s="206">
        <f t="shared" si="15"/>
        <v>8.677114840426194</v>
      </c>
      <c r="O110" s="206">
        <f t="shared" si="15"/>
        <v>8.3158462613832302</v>
      </c>
      <c r="P110" s="206">
        <f t="shared" si="15"/>
        <v>8.1638297944148146</v>
      </c>
      <c r="Q110" s="208">
        <f t="shared" si="15"/>
        <v>7.6341208254269857</v>
      </c>
      <c r="R110" s="206">
        <f t="shared" si="15"/>
        <v>7.0099824960796324</v>
      </c>
      <c r="S110" s="206">
        <f t="shared" si="15"/>
        <v>6.4594534732396909</v>
      </c>
      <c r="T110" s="206"/>
      <c r="U110" s="206"/>
      <c r="V110" s="206"/>
      <c r="W110" s="208"/>
    </row>
    <row r="111" spans="1:23" ht="13.5" thickBot="1" x14ac:dyDescent="0.25">
      <c r="A111" s="297" t="s">
        <v>810</v>
      </c>
      <c r="B111" s="215">
        <v>1</v>
      </c>
      <c r="C111" s="206">
        <f t="shared" ref="C111:L115" si="16">17.5*MIN((-0.615*LOG(($B111*MAX(C$95/(1000*0.19),0.2)))+0.694),1)</f>
        <v>17.5</v>
      </c>
      <c r="D111" s="206">
        <f t="shared" si="16"/>
        <v>17.5</v>
      </c>
      <c r="E111" s="206">
        <f t="shared" si="16"/>
        <v>17.5</v>
      </c>
      <c r="F111" s="206">
        <f t="shared" si="16"/>
        <v>17.5</v>
      </c>
      <c r="G111" s="206">
        <f t="shared" si="16"/>
        <v>17.5</v>
      </c>
      <c r="H111" s="207">
        <f t="shared" si="16"/>
        <v>17.5</v>
      </c>
      <c r="I111" s="206">
        <f t="shared" si="16"/>
        <v>17.304682966760648</v>
      </c>
      <c r="J111" s="206">
        <f t="shared" si="16"/>
        <v>16.745917652165772</v>
      </c>
      <c r="K111" s="206">
        <f t="shared" si="16"/>
        <v>16.188079645254028</v>
      </c>
      <c r="L111" s="208">
        <f t="shared" si="16"/>
        <v>15.637550622414086</v>
      </c>
      <c r="M111" s="206">
        <f t="shared" ref="M111:S115" si="17">17.5*MIN((-0.615*LOG(($B111*MAX(M$95/(1000*0.19),0.2)))+0.694),1)</f>
        <v>15.145085630254821</v>
      </c>
      <c r="N111" s="206">
        <f t="shared" si="17"/>
        <v>14.615376661266991</v>
      </c>
      <c r="O111" s="206">
        <f t="shared" si="17"/>
        <v>14.254108082224027</v>
      </c>
      <c r="P111" s="206">
        <f t="shared" si="17"/>
        <v>14.102091615255613</v>
      </c>
      <c r="Q111" s="206">
        <f t="shared" si="17"/>
        <v>13.572382646267785</v>
      </c>
      <c r="R111" s="207">
        <f t="shared" si="17"/>
        <v>12.94824431692043</v>
      </c>
      <c r="S111" s="206">
        <f t="shared" si="17"/>
        <v>12.39771529408049</v>
      </c>
      <c r="T111" s="206"/>
      <c r="U111" s="206"/>
      <c r="V111" s="206"/>
      <c r="W111" s="208"/>
    </row>
    <row r="112" spans="1:23" ht="13.5" thickBot="1" x14ac:dyDescent="0.25">
      <c r="A112" s="298"/>
      <c r="B112" s="215">
        <v>1.5</v>
      </c>
      <c r="C112" s="206">
        <f t="shared" si="16"/>
        <v>17.5</v>
      </c>
      <c r="D112" s="206">
        <f t="shared" si="16"/>
        <v>17.5</v>
      </c>
      <c r="E112" s="206">
        <f t="shared" si="16"/>
        <v>17.5</v>
      </c>
      <c r="F112" s="206">
        <f t="shared" si="16"/>
        <v>16.982203775160915</v>
      </c>
      <c r="G112" s="206">
        <f t="shared" si="16"/>
        <v>16.489738783001648</v>
      </c>
      <c r="H112" s="207">
        <f t="shared" si="16"/>
        <v>15.960029814013822</v>
      </c>
      <c r="I112" s="206">
        <f t="shared" si="16"/>
        <v>15.40950079117388</v>
      </c>
      <c r="J112" s="206">
        <f t="shared" si="16"/>
        <v>14.850735476579004</v>
      </c>
      <c r="K112" s="206">
        <f t="shared" si="16"/>
        <v>14.29289746966726</v>
      </c>
      <c r="L112" s="208">
        <f t="shared" si="16"/>
        <v>13.742368446827317</v>
      </c>
      <c r="M112" s="206">
        <f t="shared" si="17"/>
        <v>13.249903454668052</v>
      </c>
      <c r="N112" s="206">
        <f t="shared" si="17"/>
        <v>12.720194485680222</v>
      </c>
      <c r="O112" s="206">
        <f t="shared" si="17"/>
        <v>12.358925906637257</v>
      </c>
      <c r="P112" s="206">
        <f t="shared" si="17"/>
        <v>12.206909439668845</v>
      </c>
      <c r="Q112" s="206">
        <f t="shared" si="17"/>
        <v>11.677200470681015</v>
      </c>
      <c r="R112" s="207">
        <f t="shared" si="17"/>
        <v>11.053062141333662</v>
      </c>
      <c r="S112" s="206">
        <f t="shared" si="17"/>
        <v>10.502533118493721</v>
      </c>
      <c r="T112" s="206"/>
      <c r="U112" s="206"/>
      <c r="V112" s="206"/>
      <c r="W112" s="208"/>
    </row>
    <row r="113" spans="1:23" ht="13.5" thickBot="1" x14ac:dyDescent="0.25">
      <c r="A113" s="298"/>
      <c r="B113" s="215">
        <v>2</v>
      </c>
      <c r="C113" s="206">
        <f t="shared" si="16"/>
        <v>16.427829343332803</v>
      </c>
      <c r="D113" s="206">
        <f t="shared" si="16"/>
        <v>16.427829343332803</v>
      </c>
      <c r="E113" s="206">
        <f t="shared" si="16"/>
        <v>16.188079645254028</v>
      </c>
      <c r="F113" s="206">
        <f t="shared" si="16"/>
        <v>15.637550622414086</v>
      </c>
      <c r="G113" s="206">
        <f t="shared" si="16"/>
        <v>15.145085630254821</v>
      </c>
      <c r="H113" s="207">
        <f t="shared" si="16"/>
        <v>14.615376661266991</v>
      </c>
      <c r="I113" s="206">
        <f t="shared" si="16"/>
        <v>14.06484763842705</v>
      </c>
      <c r="J113" s="206">
        <f t="shared" si="16"/>
        <v>13.506082323832175</v>
      </c>
      <c r="K113" s="206">
        <f t="shared" si="16"/>
        <v>12.94824431692043</v>
      </c>
      <c r="L113" s="208">
        <f t="shared" si="16"/>
        <v>12.39771529408049</v>
      </c>
      <c r="M113" s="206">
        <f t="shared" si="17"/>
        <v>11.905250301921223</v>
      </c>
      <c r="N113" s="206">
        <f t="shared" si="17"/>
        <v>11.375541332933395</v>
      </c>
      <c r="O113" s="206">
        <f t="shared" si="17"/>
        <v>11.014272753890427</v>
      </c>
      <c r="P113" s="206">
        <f t="shared" si="17"/>
        <v>10.862256286922015</v>
      </c>
      <c r="Q113" s="206">
        <f t="shared" si="17"/>
        <v>10.332547317934187</v>
      </c>
      <c r="R113" s="207">
        <f t="shared" si="17"/>
        <v>9.7084089885868323</v>
      </c>
      <c r="S113" s="206">
        <f t="shared" si="17"/>
        <v>9.1578799657468917</v>
      </c>
      <c r="T113" s="206"/>
      <c r="U113" s="206"/>
      <c r="V113" s="206"/>
      <c r="W113" s="208"/>
    </row>
    <row r="114" spans="1:23" ht="13.5" thickBot="1" x14ac:dyDescent="0.25">
      <c r="A114" s="298"/>
      <c r="B114" s="215">
        <v>2.5</v>
      </c>
      <c r="C114" s="206">
        <f t="shared" si="16"/>
        <v>15.384835328333597</v>
      </c>
      <c r="D114" s="206">
        <f t="shared" si="16"/>
        <v>15.384835328333597</v>
      </c>
      <c r="E114" s="206">
        <f t="shared" si="16"/>
        <v>15.145085630254821</v>
      </c>
      <c r="F114" s="206">
        <f t="shared" si="16"/>
        <v>14.59455660741488</v>
      </c>
      <c r="G114" s="206">
        <f t="shared" si="16"/>
        <v>14.102091615255613</v>
      </c>
      <c r="H114" s="207">
        <f t="shared" si="16"/>
        <v>13.572382646267785</v>
      </c>
      <c r="I114" s="206">
        <f t="shared" si="16"/>
        <v>13.021853623427843</v>
      </c>
      <c r="J114" s="206">
        <f t="shared" si="16"/>
        <v>12.463088308832969</v>
      </c>
      <c r="K114" s="206">
        <f t="shared" si="16"/>
        <v>11.905250301921223</v>
      </c>
      <c r="L114" s="208">
        <f t="shared" si="16"/>
        <v>11.354721279081282</v>
      </c>
      <c r="M114" s="206">
        <f t="shared" si="17"/>
        <v>10.862256286922015</v>
      </c>
      <c r="N114" s="206">
        <f t="shared" si="17"/>
        <v>10.332547317934187</v>
      </c>
      <c r="O114" s="206">
        <f t="shared" si="17"/>
        <v>9.9712787388912236</v>
      </c>
      <c r="P114" s="206">
        <f t="shared" si="17"/>
        <v>9.819262271922808</v>
      </c>
      <c r="Q114" s="206">
        <f t="shared" si="17"/>
        <v>9.2895533029349799</v>
      </c>
      <c r="R114" s="207">
        <f t="shared" si="17"/>
        <v>8.6654149735876249</v>
      </c>
      <c r="S114" s="206">
        <f t="shared" si="17"/>
        <v>8.1148859507476843</v>
      </c>
      <c r="T114" s="206"/>
      <c r="U114" s="206"/>
      <c r="V114" s="206"/>
      <c r="W114" s="208"/>
    </row>
    <row r="115" spans="1:23" ht="13.5" thickBot="1" x14ac:dyDescent="0.25">
      <c r="A115" s="299"/>
      <c r="B115" s="215">
        <v>3</v>
      </c>
      <c r="C115" s="206">
        <f t="shared" si="16"/>
        <v>14.532647167746033</v>
      </c>
      <c r="D115" s="206">
        <f t="shared" si="16"/>
        <v>14.532647167746033</v>
      </c>
      <c r="E115" s="206">
        <f t="shared" si="16"/>
        <v>14.29289746966726</v>
      </c>
      <c r="F115" s="206">
        <f t="shared" si="16"/>
        <v>13.742368446827317</v>
      </c>
      <c r="G115" s="206">
        <f t="shared" si="16"/>
        <v>13.249903454668052</v>
      </c>
      <c r="H115" s="207">
        <f t="shared" si="16"/>
        <v>12.720194485680222</v>
      </c>
      <c r="I115" s="206">
        <f t="shared" si="16"/>
        <v>12.16966546284028</v>
      </c>
      <c r="J115" s="206">
        <f t="shared" si="16"/>
        <v>11.610900148245406</v>
      </c>
      <c r="K115" s="206">
        <f t="shared" si="16"/>
        <v>11.053062141333662</v>
      </c>
      <c r="L115" s="208">
        <f t="shared" si="16"/>
        <v>10.502533118493721</v>
      </c>
      <c r="M115" s="206">
        <f t="shared" si="17"/>
        <v>10.010068126334454</v>
      </c>
      <c r="N115" s="206">
        <f t="shared" si="17"/>
        <v>9.4803591573466246</v>
      </c>
      <c r="O115" s="206">
        <f t="shared" si="17"/>
        <v>9.1190905783036591</v>
      </c>
      <c r="P115" s="206">
        <f t="shared" si="17"/>
        <v>8.967074111335247</v>
      </c>
      <c r="Q115" s="206">
        <f t="shared" si="17"/>
        <v>8.4373651423474172</v>
      </c>
      <c r="R115" s="207">
        <f t="shared" si="17"/>
        <v>7.8132268130000631</v>
      </c>
      <c r="S115" s="206">
        <f t="shared" si="17"/>
        <v>7.2626977901601224</v>
      </c>
      <c r="T115" s="206"/>
      <c r="U115" s="206"/>
      <c r="V115" s="206"/>
      <c r="W115" s="208"/>
    </row>
    <row r="116" spans="1:23" ht="13.5" thickBot="1" x14ac:dyDescent="0.25">
      <c r="A116" s="303"/>
      <c r="B116" s="303"/>
      <c r="C116" s="303"/>
      <c r="D116" s="303"/>
      <c r="E116" s="303"/>
      <c r="F116" s="303"/>
      <c r="G116" s="303"/>
      <c r="H116" s="303"/>
      <c r="I116" s="303"/>
      <c r="J116" s="303"/>
      <c r="K116" s="303"/>
      <c r="L116" s="303"/>
      <c r="M116" s="303"/>
      <c r="N116" s="303"/>
      <c r="O116" s="303"/>
      <c r="P116" s="303"/>
      <c r="Q116" s="303"/>
      <c r="R116" s="303"/>
      <c r="S116" s="303"/>
      <c r="T116" s="303"/>
      <c r="U116" s="303"/>
      <c r="V116" s="303"/>
      <c r="W116" s="303"/>
    </row>
    <row r="117" spans="1:23" ht="13.5" thickBot="1" x14ac:dyDescent="0.25">
      <c r="A117" s="286" t="s">
        <v>846</v>
      </c>
      <c r="B117" s="287"/>
      <c r="C117" s="287"/>
      <c r="D117" s="287"/>
      <c r="E117" s="287"/>
      <c r="F117" s="287"/>
      <c r="G117" s="287"/>
      <c r="H117" s="287"/>
      <c r="I117" s="287"/>
      <c r="J117" s="287"/>
      <c r="K117" s="287"/>
      <c r="L117" s="287"/>
      <c r="M117" s="287"/>
      <c r="N117" s="287"/>
      <c r="O117" s="287"/>
      <c r="P117" s="287"/>
      <c r="Q117" s="287"/>
      <c r="R117" s="287"/>
      <c r="S117" s="287"/>
      <c r="T117" s="287"/>
      <c r="U117" s="287"/>
      <c r="V117" s="287"/>
      <c r="W117" s="288"/>
    </row>
    <row r="118" spans="1:23" ht="13.5" thickBot="1" x14ac:dyDescent="0.25">
      <c r="A118" s="303"/>
      <c r="B118" s="303"/>
      <c r="C118" s="303"/>
      <c r="D118" s="303"/>
      <c r="E118" s="303"/>
      <c r="F118" s="303"/>
      <c r="G118" s="303"/>
      <c r="H118" s="303"/>
      <c r="I118" s="303"/>
      <c r="J118" s="303"/>
      <c r="K118" s="303"/>
      <c r="L118" s="303"/>
      <c r="M118" s="303"/>
      <c r="N118" s="303"/>
      <c r="O118" s="303"/>
      <c r="P118" s="303"/>
      <c r="Q118" s="303"/>
      <c r="R118" s="303"/>
      <c r="S118" s="303"/>
      <c r="T118" s="303"/>
      <c r="U118" s="303"/>
      <c r="V118" s="303"/>
      <c r="W118" s="303"/>
    </row>
    <row r="119" spans="1:23" ht="13.5" thickBot="1" x14ac:dyDescent="0.25">
      <c r="A119" s="286" t="s">
        <v>768</v>
      </c>
      <c r="B119" s="287"/>
      <c r="C119" s="287"/>
      <c r="D119" s="287"/>
      <c r="E119" s="287"/>
      <c r="F119" s="287"/>
      <c r="G119" s="287"/>
      <c r="H119" s="287"/>
      <c r="I119" s="287"/>
      <c r="J119" s="287"/>
      <c r="K119" s="287"/>
      <c r="L119" s="287"/>
      <c r="M119" s="287"/>
      <c r="N119" s="287"/>
      <c r="O119" s="287"/>
      <c r="P119" s="287"/>
      <c r="Q119" s="287"/>
      <c r="R119" s="287"/>
      <c r="S119" s="287"/>
      <c r="T119" s="287"/>
      <c r="U119" s="287"/>
      <c r="V119" s="287"/>
      <c r="W119" s="288"/>
    </row>
    <row r="120" spans="1:23" ht="13.5" thickBot="1" x14ac:dyDescent="0.25">
      <c r="A120" s="201" t="s">
        <v>835</v>
      </c>
      <c r="B120" s="220" t="s">
        <v>807</v>
      </c>
      <c r="C120" s="217" t="s">
        <v>811</v>
      </c>
      <c r="D120" s="218" t="s">
        <v>812</v>
      </c>
      <c r="E120" s="218" t="s">
        <v>813</v>
      </c>
      <c r="F120" s="218" t="s">
        <v>814</v>
      </c>
      <c r="G120" s="219" t="s">
        <v>502</v>
      </c>
      <c r="H120" s="217" t="s">
        <v>815</v>
      </c>
      <c r="I120" s="218" t="s">
        <v>816</v>
      </c>
      <c r="J120" s="218" t="s">
        <v>817</v>
      </c>
      <c r="K120" s="218" t="s">
        <v>818</v>
      </c>
      <c r="L120" s="219" t="s">
        <v>819</v>
      </c>
      <c r="M120" s="217" t="s">
        <v>820</v>
      </c>
      <c r="N120" s="218" t="s">
        <v>821</v>
      </c>
      <c r="O120" s="218" t="s">
        <v>828</v>
      </c>
      <c r="P120" s="218" t="s">
        <v>822</v>
      </c>
      <c r="Q120" s="219" t="s">
        <v>823</v>
      </c>
      <c r="R120" s="218" t="s">
        <v>824</v>
      </c>
      <c r="S120" s="218" t="s">
        <v>825</v>
      </c>
      <c r="T120" s="218"/>
      <c r="U120" s="218"/>
      <c r="V120" s="218"/>
      <c r="W120" s="219"/>
    </row>
    <row r="121" spans="1:23" ht="13.5" thickBot="1" x14ac:dyDescent="0.25">
      <c r="A121" s="297" t="s">
        <v>836</v>
      </c>
      <c r="B121" s="214">
        <v>1</v>
      </c>
      <c r="C121" s="207"/>
      <c r="D121" s="206"/>
      <c r="E121" s="210">
        <v>732</v>
      </c>
      <c r="F121" s="210">
        <v>784</v>
      </c>
      <c r="G121" s="211">
        <v>823</v>
      </c>
      <c r="H121" s="209">
        <v>858</v>
      </c>
      <c r="I121" s="210">
        <v>888</v>
      </c>
      <c r="J121" s="210">
        <v>912</v>
      </c>
      <c r="K121" s="210">
        <v>932</v>
      </c>
      <c r="L121" s="211">
        <v>949</v>
      </c>
      <c r="M121" s="209">
        <v>961</v>
      </c>
      <c r="N121" s="210">
        <v>973</v>
      </c>
      <c r="O121" s="210">
        <v>979</v>
      </c>
      <c r="P121" s="210">
        <v>982</v>
      </c>
      <c r="Q121" s="211">
        <v>990</v>
      </c>
      <c r="R121" s="210">
        <v>998</v>
      </c>
      <c r="S121" s="210">
        <v>1000</v>
      </c>
      <c r="T121" s="206"/>
      <c r="U121" s="206"/>
      <c r="V121" s="206"/>
      <c r="W121" s="208"/>
    </row>
    <row r="122" spans="1:23" ht="13.5" thickBot="1" x14ac:dyDescent="0.25">
      <c r="A122" s="298"/>
      <c r="B122" s="214">
        <v>1.5</v>
      </c>
      <c r="C122" s="207"/>
      <c r="D122" s="206"/>
      <c r="E122" s="210">
        <v>710</v>
      </c>
      <c r="F122" s="210">
        <v>764</v>
      </c>
      <c r="G122" s="211">
        <v>804</v>
      </c>
      <c r="H122" s="209">
        <v>840</v>
      </c>
      <c r="I122" s="210">
        <v>871</v>
      </c>
      <c r="J122" s="210">
        <v>897</v>
      </c>
      <c r="K122" s="210">
        <v>918</v>
      </c>
      <c r="L122" s="211">
        <v>935</v>
      </c>
      <c r="M122" s="209">
        <v>949</v>
      </c>
      <c r="N122" s="210">
        <v>961</v>
      </c>
      <c r="O122" s="210">
        <v>968</v>
      </c>
      <c r="P122" s="210">
        <v>970</v>
      </c>
      <c r="Q122" s="211">
        <v>979</v>
      </c>
      <c r="R122" s="210">
        <v>988</v>
      </c>
      <c r="S122" s="210">
        <v>994</v>
      </c>
      <c r="T122" s="206"/>
      <c r="U122" s="206"/>
      <c r="V122" s="206"/>
      <c r="W122" s="208"/>
    </row>
    <row r="123" spans="1:23" ht="13.5" thickBot="1" x14ac:dyDescent="0.25">
      <c r="A123" s="298"/>
      <c r="B123" s="214">
        <v>2</v>
      </c>
      <c r="C123" s="207"/>
      <c r="D123" s="206"/>
      <c r="E123" s="210">
        <v>688</v>
      </c>
      <c r="F123" s="210">
        <v>744</v>
      </c>
      <c r="G123" s="211">
        <v>785</v>
      </c>
      <c r="H123" s="209">
        <v>823</v>
      </c>
      <c r="I123" s="210">
        <v>855</v>
      </c>
      <c r="J123" s="210">
        <v>881</v>
      </c>
      <c r="K123" s="210">
        <v>904</v>
      </c>
      <c r="L123" s="211">
        <v>922</v>
      </c>
      <c r="M123" s="209">
        <v>936</v>
      </c>
      <c r="N123" s="210">
        <v>948</v>
      </c>
      <c r="O123" s="210">
        <v>956</v>
      </c>
      <c r="P123" s="210">
        <v>959</v>
      </c>
      <c r="Q123" s="211">
        <v>968</v>
      </c>
      <c r="R123" s="210">
        <v>977</v>
      </c>
      <c r="S123" s="210">
        <v>984</v>
      </c>
      <c r="T123" s="206"/>
      <c r="U123" s="206"/>
      <c r="V123" s="206"/>
      <c r="W123" s="208"/>
    </row>
    <row r="124" spans="1:23" ht="13.5" thickBot="1" x14ac:dyDescent="0.25">
      <c r="A124" s="298"/>
      <c r="B124" s="214">
        <v>2.5</v>
      </c>
      <c r="C124" s="207"/>
      <c r="D124" s="206"/>
      <c r="E124" s="210">
        <v>663</v>
      </c>
      <c r="F124" s="210">
        <v>722</v>
      </c>
      <c r="G124" s="211">
        <v>766</v>
      </c>
      <c r="H124" s="209">
        <v>805</v>
      </c>
      <c r="I124" s="210">
        <v>838</v>
      </c>
      <c r="J124" s="210">
        <v>866</v>
      </c>
      <c r="K124" s="210">
        <v>889</v>
      </c>
      <c r="L124" s="211">
        <v>908</v>
      </c>
      <c r="M124" s="209">
        <v>922</v>
      </c>
      <c r="N124" s="210">
        <v>935</v>
      </c>
      <c r="O124" s="210">
        <v>943</v>
      </c>
      <c r="P124" s="210">
        <v>946</v>
      </c>
      <c r="Q124" s="211">
        <v>955</v>
      </c>
      <c r="R124" s="210">
        <v>964</v>
      </c>
      <c r="S124" s="210">
        <v>971</v>
      </c>
      <c r="T124" s="206"/>
      <c r="U124" s="206"/>
      <c r="V124" s="206"/>
      <c r="W124" s="208"/>
    </row>
    <row r="125" spans="1:23" ht="13.5" thickBot="1" x14ac:dyDescent="0.25">
      <c r="A125" s="299"/>
      <c r="B125" s="214">
        <v>3</v>
      </c>
      <c r="C125" s="207"/>
      <c r="D125" s="206"/>
      <c r="E125" s="210">
        <v>638</v>
      </c>
      <c r="F125" s="210">
        <v>701</v>
      </c>
      <c r="G125" s="211">
        <v>746</v>
      </c>
      <c r="H125" s="209">
        <v>787</v>
      </c>
      <c r="I125" s="210">
        <v>822</v>
      </c>
      <c r="J125" s="210">
        <v>851</v>
      </c>
      <c r="K125" s="210">
        <v>875</v>
      </c>
      <c r="L125" s="211">
        <v>895</v>
      </c>
      <c r="M125" s="209">
        <v>909</v>
      </c>
      <c r="N125" s="210">
        <v>922</v>
      </c>
      <c r="O125" s="210">
        <v>930</v>
      </c>
      <c r="P125" s="210">
        <v>933</v>
      </c>
      <c r="Q125" s="211">
        <v>942</v>
      </c>
      <c r="R125" s="210">
        <v>952</v>
      </c>
      <c r="S125" s="210">
        <v>958</v>
      </c>
      <c r="T125" s="206"/>
      <c r="U125" s="206"/>
      <c r="V125" s="206"/>
      <c r="W125" s="208"/>
    </row>
    <row r="126" spans="1:23" ht="13.5" thickBot="1" x14ac:dyDescent="0.25">
      <c r="A126" s="297" t="s">
        <v>837</v>
      </c>
      <c r="B126" s="214">
        <v>1</v>
      </c>
      <c r="C126" s="207"/>
      <c r="D126" s="206"/>
      <c r="E126" s="206"/>
      <c r="F126" s="206"/>
      <c r="G126" s="211">
        <v>739</v>
      </c>
      <c r="H126" s="209">
        <v>789</v>
      </c>
      <c r="I126" s="210">
        <v>831</v>
      </c>
      <c r="J126" s="210">
        <v>866</v>
      </c>
      <c r="K126" s="210">
        <v>894</v>
      </c>
      <c r="L126" s="211">
        <v>918</v>
      </c>
      <c r="M126" s="209">
        <v>935</v>
      </c>
      <c r="N126" s="210">
        <v>950</v>
      </c>
      <c r="O126" s="210">
        <v>960</v>
      </c>
      <c r="P126" s="210">
        <v>963</v>
      </c>
      <c r="Q126" s="211">
        <v>974</v>
      </c>
      <c r="R126" s="210">
        <v>985</v>
      </c>
      <c r="S126" s="210">
        <v>993</v>
      </c>
      <c r="T126" s="206"/>
      <c r="U126" s="206"/>
      <c r="V126" s="206"/>
      <c r="W126" s="208"/>
    </row>
    <row r="127" spans="1:23" ht="13.5" thickBot="1" x14ac:dyDescent="0.25">
      <c r="A127" s="298"/>
      <c r="B127" s="214">
        <v>1.5</v>
      </c>
      <c r="C127" s="207"/>
      <c r="D127" s="206"/>
      <c r="E127" s="206"/>
      <c r="F127" s="206"/>
      <c r="G127" s="211">
        <v>718</v>
      </c>
      <c r="H127" s="209">
        <v>769</v>
      </c>
      <c r="I127" s="210">
        <v>812</v>
      </c>
      <c r="J127" s="210">
        <v>849</v>
      </c>
      <c r="K127" s="210">
        <v>878</v>
      </c>
      <c r="L127" s="211">
        <v>902</v>
      </c>
      <c r="M127" s="209">
        <v>921</v>
      </c>
      <c r="N127" s="210">
        <v>937</v>
      </c>
      <c r="O127" s="210">
        <v>947</v>
      </c>
      <c r="P127" s="210">
        <v>950</v>
      </c>
      <c r="Q127" s="211">
        <v>962</v>
      </c>
      <c r="R127" s="210">
        <v>974</v>
      </c>
      <c r="S127" s="210">
        <v>982</v>
      </c>
      <c r="T127" s="206"/>
      <c r="U127" s="206"/>
      <c r="V127" s="206"/>
      <c r="W127" s="208"/>
    </row>
    <row r="128" spans="1:23" ht="13.5" thickBot="1" x14ac:dyDescent="0.25">
      <c r="A128" s="298"/>
      <c r="B128" s="214">
        <v>2</v>
      </c>
      <c r="C128" s="207"/>
      <c r="D128" s="206"/>
      <c r="E128" s="206"/>
      <c r="F128" s="206"/>
      <c r="G128" s="211">
        <v>696</v>
      </c>
      <c r="H128" s="209">
        <v>749</v>
      </c>
      <c r="I128" s="210">
        <v>794</v>
      </c>
      <c r="J128" s="210">
        <v>831</v>
      </c>
      <c r="K128" s="210">
        <v>862</v>
      </c>
      <c r="L128" s="211">
        <v>887</v>
      </c>
      <c r="M128" s="209">
        <v>906</v>
      </c>
      <c r="N128" s="210">
        <v>923</v>
      </c>
      <c r="O128" s="210">
        <v>934</v>
      </c>
      <c r="P128" s="210">
        <v>938</v>
      </c>
      <c r="Q128" s="211">
        <v>950</v>
      </c>
      <c r="R128" s="210">
        <v>962</v>
      </c>
      <c r="S128" s="210">
        <v>971</v>
      </c>
      <c r="T128" s="206"/>
      <c r="U128" s="206"/>
      <c r="V128" s="206"/>
      <c r="W128" s="208"/>
    </row>
    <row r="129" spans="1:23" ht="13.5" thickBot="1" x14ac:dyDescent="0.25">
      <c r="A129" s="298"/>
      <c r="B129" s="214">
        <v>2.5</v>
      </c>
      <c r="C129" s="207"/>
      <c r="D129" s="206"/>
      <c r="E129" s="206"/>
      <c r="F129" s="206"/>
      <c r="G129" s="211">
        <v>672</v>
      </c>
      <c r="H129" s="209">
        <v>727</v>
      </c>
      <c r="I129" s="210">
        <v>775</v>
      </c>
      <c r="J129" s="210">
        <v>814</v>
      </c>
      <c r="K129" s="210">
        <v>846</v>
      </c>
      <c r="L129" s="211">
        <v>872</v>
      </c>
      <c r="M129" s="209">
        <v>892</v>
      </c>
      <c r="N129" s="210">
        <v>910</v>
      </c>
      <c r="O129" s="210">
        <v>920</v>
      </c>
      <c r="P129" s="210">
        <v>924</v>
      </c>
      <c r="Q129" s="211">
        <v>937</v>
      </c>
      <c r="R129" s="210">
        <v>949</v>
      </c>
      <c r="S129" s="210">
        <v>958</v>
      </c>
      <c r="T129" s="206"/>
      <c r="U129" s="206"/>
      <c r="V129" s="206"/>
      <c r="W129" s="208"/>
    </row>
    <row r="130" spans="1:23" ht="13.5" thickBot="1" x14ac:dyDescent="0.25">
      <c r="A130" s="299"/>
      <c r="B130" s="214">
        <v>3</v>
      </c>
      <c r="C130" s="207"/>
      <c r="D130" s="206"/>
      <c r="E130" s="206"/>
      <c r="F130" s="206"/>
      <c r="G130" s="211">
        <v>647</v>
      </c>
      <c r="H130" s="209">
        <v>706</v>
      </c>
      <c r="I130" s="210">
        <v>756</v>
      </c>
      <c r="J130" s="210">
        <v>797</v>
      </c>
      <c r="K130" s="210">
        <v>830</v>
      </c>
      <c r="L130" s="211">
        <v>858</v>
      </c>
      <c r="M130" s="209">
        <v>878</v>
      </c>
      <c r="N130" s="210">
        <v>896</v>
      </c>
      <c r="O130" s="210">
        <v>907</v>
      </c>
      <c r="P130" s="210">
        <v>911</v>
      </c>
      <c r="Q130" s="211">
        <v>924</v>
      </c>
      <c r="R130" s="210">
        <v>936</v>
      </c>
      <c r="S130" s="210">
        <v>946</v>
      </c>
      <c r="T130" s="206"/>
      <c r="U130" s="206"/>
      <c r="V130" s="206"/>
      <c r="W130" s="208"/>
    </row>
    <row r="131" spans="1:23" ht="13.5" thickBot="1" x14ac:dyDescent="0.25">
      <c r="A131" s="297" t="s">
        <v>839</v>
      </c>
      <c r="B131" s="214">
        <v>1</v>
      </c>
      <c r="C131" s="207"/>
      <c r="D131" s="206"/>
      <c r="E131" s="210">
        <v>808</v>
      </c>
      <c r="F131" s="210">
        <v>846</v>
      </c>
      <c r="G131" s="211">
        <v>874</v>
      </c>
      <c r="H131" s="209">
        <v>899</v>
      </c>
      <c r="I131" s="210">
        <v>920</v>
      </c>
      <c r="J131" s="210">
        <v>938</v>
      </c>
      <c r="K131" s="210">
        <v>952</v>
      </c>
      <c r="L131" s="211">
        <v>964</v>
      </c>
      <c r="M131" s="209">
        <v>973</v>
      </c>
      <c r="N131" s="210">
        <v>981</v>
      </c>
      <c r="O131" s="210">
        <v>986</v>
      </c>
      <c r="P131" s="210">
        <v>988</v>
      </c>
      <c r="Q131" s="211">
        <v>994</v>
      </c>
      <c r="R131" s="210">
        <v>999</v>
      </c>
      <c r="S131" s="210">
        <v>1000</v>
      </c>
      <c r="T131" s="206"/>
      <c r="U131" s="206"/>
      <c r="V131" s="206"/>
      <c r="W131" s="208"/>
    </row>
    <row r="132" spans="1:23" ht="13.5" thickBot="1" x14ac:dyDescent="0.25">
      <c r="A132" s="298"/>
      <c r="B132" s="214">
        <v>1.5</v>
      </c>
      <c r="C132" s="207"/>
      <c r="D132" s="206"/>
      <c r="E132" s="210">
        <v>787</v>
      </c>
      <c r="F132" s="210">
        <v>827</v>
      </c>
      <c r="G132" s="211">
        <v>857</v>
      </c>
      <c r="H132" s="209">
        <v>884</v>
      </c>
      <c r="I132" s="210">
        <v>906</v>
      </c>
      <c r="J132" s="210">
        <v>925</v>
      </c>
      <c r="K132" s="210">
        <v>941</v>
      </c>
      <c r="L132" s="211">
        <v>954</v>
      </c>
      <c r="M132" s="209">
        <v>963</v>
      </c>
      <c r="N132" s="210">
        <v>972</v>
      </c>
      <c r="O132" s="210">
        <v>977</v>
      </c>
      <c r="P132" s="210">
        <v>979</v>
      </c>
      <c r="Q132" s="211">
        <v>986</v>
      </c>
      <c r="R132" s="210">
        <v>992</v>
      </c>
      <c r="S132" s="210">
        <v>996</v>
      </c>
      <c r="T132" s="206"/>
      <c r="U132" s="206"/>
      <c r="V132" s="206"/>
      <c r="W132" s="208"/>
    </row>
    <row r="133" spans="1:23" ht="13.5" thickBot="1" x14ac:dyDescent="0.25">
      <c r="A133" s="298"/>
      <c r="B133" s="214">
        <v>2</v>
      </c>
      <c r="C133" s="207"/>
      <c r="D133" s="206"/>
      <c r="E133" s="210">
        <v>766</v>
      </c>
      <c r="F133" s="210">
        <v>809</v>
      </c>
      <c r="G133" s="211">
        <v>841</v>
      </c>
      <c r="H133" s="209">
        <v>869</v>
      </c>
      <c r="I133" s="210">
        <v>893</v>
      </c>
      <c r="J133" s="210">
        <v>913</v>
      </c>
      <c r="K133" s="210">
        <v>930</v>
      </c>
      <c r="L133" s="211">
        <v>944</v>
      </c>
      <c r="M133" s="209">
        <v>954</v>
      </c>
      <c r="N133" s="210">
        <v>963</v>
      </c>
      <c r="O133" s="210">
        <v>969</v>
      </c>
      <c r="P133" s="210">
        <v>971</v>
      </c>
      <c r="Q133" s="211">
        <v>978</v>
      </c>
      <c r="R133" s="210">
        <v>984</v>
      </c>
      <c r="S133" s="210">
        <v>989</v>
      </c>
      <c r="T133" s="206"/>
      <c r="U133" s="206"/>
      <c r="V133" s="206"/>
      <c r="W133" s="208"/>
    </row>
    <row r="134" spans="1:23" ht="13.5" thickBot="1" x14ac:dyDescent="0.25">
      <c r="A134" s="298"/>
      <c r="B134" s="214">
        <v>2.5</v>
      </c>
      <c r="C134" s="207"/>
      <c r="D134" s="206"/>
      <c r="E134" s="210">
        <v>752</v>
      </c>
      <c r="F134" s="210">
        <v>795</v>
      </c>
      <c r="G134" s="211">
        <v>827</v>
      </c>
      <c r="H134" s="209">
        <v>855</v>
      </c>
      <c r="I134" s="210">
        <v>880</v>
      </c>
      <c r="J134" s="210">
        <v>900</v>
      </c>
      <c r="K134" s="210">
        <v>917</v>
      </c>
      <c r="L134" s="211">
        <v>931</v>
      </c>
      <c r="M134" s="209">
        <v>941</v>
      </c>
      <c r="N134" s="210">
        <v>951</v>
      </c>
      <c r="O134" s="210">
        <v>956</v>
      </c>
      <c r="P134" s="210">
        <v>959</v>
      </c>
      <c r="Q134" s="211">
        <v>965</v>
      </c>
      <c r="R134" s="210">
        <v>972</v>
      </c>
      <c r="S134" s="210">
        <v>977</v>
      </c>
      <c r="T134" s="206"/>
      <c r="U134" s="206"/>
      <c r="V134" s="206"/>
      <c r="W134" s="208"/>
    </row>
    <row r="135" spans="1:23" ht="13.5" thickBot="1" x14ac:dyDescent="0.25">
      <c r="A135" s="299"/>
      <c r="B135" s="214">
        <v>3</v>
      </c>
      <c r="C135" s="207"/>
      <c r="D135" s="206"/>
      <c r="E135" s="210">
        <v>737</v>
      </c>
      <c r="F135" s="210">
        <v>781</v>
      </c>
      <c r="G135" s="211">
        <v>813</v>
      </c>
      <c r="H135" s="209">
        <v>842</v>
      </c>
      <c r="I135" s="210">
        <v>867</v>
      </c>
      <c r="J135" s="210">
        <v>888</v>
      </c>
      <c r="K135" s="210">
        <v>905</v>
      </c>
      <c r="L135" s="211">
        <v>919</v>
      </c>
      <c r="M135" s="209">
        <v>929</v>
      </c>
      <c r="N135" s="210">
        <v>939</v>
      </c>
      <c r="O135" s="210">
        <v>944</v>
      </c>
      <c r="P135" s="210">
        <v>946</v>
      </c>
      <c r="Q135" s="211">
        <v>953</v>
      </c>
      <c r="R135" s="210">
        <v>960</v>
      </c>
      <c r="S135" s="210">
        <v>965</v>
      </c>
      <c r="T135" s="206"/>
      <c r="U135" s="206"/>
      <c r="V135" s="206"/>
      <c r="W135" s="208"/>
    </row>
    <row r="136" spans="1:23" ht="13.5" thickBot="1" x14ac:dyDescent="0.25">
      <c r="A136" s="297" t="s">
        <v>838</v>
      </c>
      <c r="B136" s="214">
        <v>1</v>
      </c>
      <c r="C136" s="207"/>
      <c r="D136" s="206"/>
      <c r="E136" s="206"/>
      <c r="F136" s="206"/>
      <c r="G136" s="211">
        <v>814</v>
      </c>
      <c r="H136" s="209">
        <v>849</v>
      </c>
      <c r="I136" s="210">
        <v>879</v>
      </c>
      <c r="J136" s="210">
        <v>904</v>
      </c>
      <c r="K136" s="210">
        <v>925</v>
      </c>
      <c r="L136" s="211">
        <v>941</v>
      </c>
      <c r="M136" s="209">
        <v>954</v>
      </c>
      <c r="N136" s="210">
        <v>965</v>
      </c>
      <c r="O136" s="210">
        <v>972</v>
      </c>
      <c r="P136" s="210">
        <v>974</v>
      </c>
      <c r="Q136" s="211">
        <v>982</v>
      </c>
      <c r="R136" s="210">
        <v>990</v>
      </c>
      <c r="S136" s="210">
        <v>996</v>
      </c>
      <c r="T136" s="206"/>
      <c r="U136" s="206"/>
      <c r="V136" s="206"/>
      <c r="W136" s="208"/>
    </row>
    <row r="137" spans="1:23" ht="13.5" thickBot="1" x14ac:dyDescent="0.25">
      <c r="A137" s="298"/>
      <c r="B137" s="214">
        <v>1.5</v>
      </c>
      <c r="C137" s="207"/>
      <c r="D137" s="206"/>
      <c r="E137" s="206"/>
      <c r="F137" s="206"/>
      <c r="G137" s="211">
        <v>793</v>
      </c>
      <c r="H137" s="209">
        <v>831</v>
      </c>
      <c r="I137" s="210">
        <v>863</v>
      </c>
      <c r="J137" s="210">
        <v>890</v>
      </c>
      <c r="K137" s="210">
        <v>912</v>
      </c>
      <c r="L137" s="211">
        <v>930</v>
      </c>
      <c r="M137" s="209">
        <v>943</v>
      </c>
      <c r="N137" s="210">
        <v>955</v>
      </c>
      <c r="O137" s="210">
        <v>962</v>
      </c>
      <c r="P137" s="210">
        <v>965</v>
      </c>
      <c r="Q137" s="211">
        <v>973</v>
      </c>
      <c r="R137" s="210">
        <v>982</v>
      </c>
      <c r="S137" s="210">
        <v>988</v>
      </c>
      <c r="T137" s="206"/>
      <c r="U137" s="206"/>
      <c r="V137" s="206"/>
      <c r="W137" s="208"/>
    </row>
    <row r="138" spans="1:23" ht="13.5" thickBot="1" x14ac:dyDescent="0.25">
      <c r="A138" s="298"/>
      <c r="B138" s="214">
        <v>2</v>
      </c>
      <c r="C138" s="207"/>
      <c r="D138" s="206"/>
      <c r="E138" s="206"/>
      <c r="F138" s="206"/>
      <c r="G138" s="211">
        <v>773</v>
      </c>
      <c r="H138" s="209">
        <v>813</v>
      </c>
      <c r="I138" s="210">
        <v>847</v>
      </c>
      <c r="J138" s="210">
        <v>875</v>
      </c>
      <c r="K138" s="210">
        <v>899</v>
      </c>
      <c r="L138" s="211">
        <v>918</v>
      </c>
      <c r="M138" s="209">
        <v>932</v>
      </c>
      <c r="N138" s="210">
        <v>945</v>
      </c>
      <c r="O138" s="210">
        <v>952</v>
      </c>
      <c r="P138" s="210">
        <v>955</v>
      </c>
      <c r="Q138" s="211">
        <v>964</v>
      </c>
      <c r="R138" s="210">
        <v>973</v>
      </c>
      <c r="S138" s="210">
        <v>980</v>
      </c>
      <c r="T138" s="206"/>
      <c r="U138" s="206"/>
      <c r="V138" s="206"/>
      <c r="W138" s="208"/>
    </row>
    <row r="139" spans="1:23" ht="13.5" thickBot="1" x14ac:dyDescent="0.25">
      <c r="A139" s="298"/>
      <c r="B139" s="214">
        <v>2.5</v>
      </c>
      <c r="C139" s="207"/>
      <c r="D139" s="206"/>
      <c r="E139" s="206"/>
      <c r="F139" s="206"/>
      <c r="G139" s="211">
        <v>758</v>
      </c>
      <c r="H139" s="209">
        <v>798</v>
      </c>
      <c r="I139" s="210">
        <v>833</v>
      </c>
      <c r="J139" s="210">
        <v>862</v>
      </c>
      <c r="K139" s="210">
        <v>886</v>
      </c>
      <c r="L139" s="211">
        <v>905</v>
      </c>
      <c r="M139" s="209">
        <v>919</v>
      </c>
      <c r="N139" s="210">
        <v>932</v>
      </c>
      <c r="O139" s="210">
        <v>940</v>
      </c>
      <c r="P139" s="210">
        <v>943</v>
      </c>
      <c r="Q139" s="211">
        <v>952</v>
      </c>
      <c r="R139" s="210">
        <v>961</v>
      </c>
      <c r="S139" s="210">
        <v>968</v>
      </c>
      <c r="T139" s="206"/>
      <c r="U139" s="206"/>
      <c r="V139" s="206"/>
      <c r="W139" s="208"/>
    </row>
    <row r="140" spans="1:23" ht="13.5" thickBot="1" x14ac:dyDescent="0.25">
      <c r="A140" s="299"/>
      <c r="B140" s="214">
        <v>3</v>
      </c>
      <c r="C140" s="207"/>
      <c r="D140" s="206"/>
      <c r="E140" s="206"/>
      <c r="F140" s="206"/>
      <c r="G140" s="211">
        <v>743</v>
      </c>
      <c r="H140" s="209">
        <v>784</v>
      </c>
      <c r="I140" s="210">
        <v>819</v>
      </c>
      <c r="J140" s="210">
        <v>849</v>
      </c>
      <c r="K140" s="210">
        <v>873</v>
      </c>
      <c r="L140" s="211">
        <v>892</v>
      </c>
      <c r="M140" s="209">
        <v>907</v>
      </c>
      <c r="N140" s="210">
        <v>920</v>
      </c>
      <c r="O140" s="210">
        <v>927</v>
      </c>
      <c r="P140" s="210">
        <v>930</v>
      </c>
      <c r="Q140" s="211">
        <v>940</v>
      </c>
      <c r="R140" s="210">
        <v>949</v>
      </c>
      <c r="S140" s="210">
        <v>955</v>
      </c>
      <c r="T140" s="206"/>
      <c r="U140" s="206"/>
      <c r="V140" s="206"/>
      <c r="W140" s="208"/>
    </row>
    <row r="141" spans="1:23" ht="13.5" thickBot="1" x14ac:dyDescent="0.25">
      <c r="A141" s="303"/>
      <c r="B141" s="303"/>
      <c r="C141" s="303"/>
      <c r="D141" s="303"/>
      <c r="E141" s="303"/>
      <c r="F141" s="303"/>
      <c r="G141" s="303"/>
      <c r="H141" s="303"/>
      <c r="I141" s="303"/>
      <c r="J141" s="303"/>
      <c r="K141" s="303"/>
      <c r="L141" s="303"/>
      <c r="M141" s="303"/>
      <c r="N141" s="303"/>
      <c r="O141" s="303"/>
      <c r="P141" s="303"/>
      <c r="Q141" s="303"/>
      <c r="R141" s="303"/>
      <c r="S141" s="303"/>
      <c r="T141" s="303"/>
      <c r="U141" s="303"/>
      <c r="V141" s="303"/>
      <c r="W141" s="303"/>
    </row>
    <row r="142" spans="1:23" ht="13.5" thickBot="1" x14ac:dyDescent="0.25">
      <c r="A142" s="286" t="s">
        <v>845</v>
      </c>
      <c r="B142" s="287"/>
      <c r="C142" s="287"/>
      <c r="D142" s="287"/>
      <c r="E142" s="287"/>
      <c r="F142" s="287"/>
      <c r="G142" s="287"/>
      <c r="H142" s="287"/>
      <c r="I142" s="287"/>
      <c r="J142" s="287"/>
      <c r="K142" s="287"/>
      <c r="L142" s="287"/>
      <c r="M142" s="287"/>
      <c r="N142" s="287"/>
      <c r="O142" s="287"/>
      <c r="P142" s="287"/>
      <c r="Q142" s="287"/>
      <c r="R142" s="287"/>
      <c r="S142" s="287"/>
      <c r="T142" s="287"/>
      <c r="U142" s="287"/>
      <c r="V142" s="287"/>
      <c r="W142" s="288"/>
    </row>
    <row r="143" spans="1:23" ht="13.5" thickBot="1" x14ac:dyDescent="0.25">
      <c r="A143" s="201" t="s">
        <v>840</v>
      </c>
      <c r="B143" s="199" t="s">
        <v>807</v>
      </c>
      <c r="C143" s="218" t="s">
        <v>841</v>
      </c>
      <c r="D143" s="218" t="s">
        <v>843</v>
      </c>
      <c r="E143" s="218" t="s">
        <v>844</v>
      </c>
      <c r="F143" s="218" t="s">
        <v>842</v>
      </c>
      <c r="G143" s="219"/>
      <c r="H143" s="217"/>
      <c r="I143" s="218"/>
      <c r="J143" s="218"/>
      <c r="K143" s="218"/>
      <c r="L143" s="219"/>
      <c r="M143" s="217"/>
      <c r="N143" s="218"/>
      <c r="O143" s="218"/>
      <c r="P143" s="218"/>
      <c r="Q143" s="219"/>
      <c r="R143" s="218"/>
      <c r="S143" s="218"/>
      <c r="T143" s="218"/>
      <c r="U143" s="218"/>
      <c r="V143" s="218"/>
      <c r="W143" s="219"/>
    </row>
    <row r="144" spans="1:23" ht="13.5" thickBot="1" x14ac:dyDescent="0.25">
      <c r="A144" s="297"/>
      <c r="B144" s="215">
        <v>1</v>
      </c>
      <c r="C144" s="210">
        <v>900</v>
      </c>
      <c r="D144" s="210">
        <v>898</v>
      </c>
      <c r="E144" s="210">
        <v>898</v>
      </c>
      <c r="F144" s="210">
        <v>929</v>
      </c>
      <c r="G144" s="211"/>
      <c r="H144" s="209"/>
      <c r="I144" s="210"/>
      <c r="J144" s="210"/>
      <c r="K144" s="210"/>
      <c r="L144" s="211"/>
      <c r="M144" s="209"/>
      <c r="N144" s="210"/>
      <c r="O144" s="210"/>
      <c r="P144" s="210"/>
      <c r="Q144" s="211"/>
      <c r="R144" s="210"/>
      <c r="S144" s="210"/>
      <c r="T144" s="206"/>
      <c r="U144" s="206"/>
      <c r="V144" s="206"/>
      <c r="W144" s="208"/>
    </row>
    <row r="145" spans="1:46" ht="13.5" thickBot="1" x14ac:dyDescent="0.25">
      <c r="A145" s="298"/>
      <c r="B145" s="215">
        <v>1.5</v>
      </c>
      <c r="C145" s="210">
        <v>900</v>
      </c>
      <c r="D145" s="210">
        <v>911</v>
      </c>
      <c r="E145" s="210">
        <v>911</v>
      </c>
      <c r="F145" s="210">
        <v>945</v>
      </c>
      <c r="G145" s="211"/>
      <c r="H145" s="209"/>
      <c r="I145" s="210"/>
      <c r="J145" s="210"/>
      <c r="K145" s="210"/>
      <c r="L145" s="211"/>
      <c r="M145" s="209"/>
      <c r="N145" s="210"/>
      <c r="O145" s="210"/>
      <c r="P145" s="210"/>
      <c r="Q145" s="211"/>
      <c r="R145" s="210"/>
      <c r="S145" s="210"/>
      <c r="T145" s="206"/>
      <c r="U145" s="206"/>
      <c r="V145" s="206"/>
      <c r="W145" s="208"/>
    </row>
    <row r="146" spans="1:46" ht="13.5" thickBot="1" x14ac:dyDescent="0.25">
      <c r="A146" s="298"/>
      <c r="B146" s="215">
        <v>2</v>
      </c>
      <c r="C146" s="210">
        <v>900</v>
      </c>
      <c r="D146" s="210">
        <v>921</v>
      </c>
      <c r="E146" s="210">
        <v>921</v>
      </c>
      <c r="F146" s="210">
        <v>958</v>
      </c>
      <c r="G146" s="211"/>
      <c r="H146" s="209"/>
      <c r="I146" s="210"/>
      <c r="J146" s="210"/>
      <c r="K146" s="210"/>
      <c r="L146" s="211"/>
      <c r="M146" s="209"/>
      <c r="N146" s="210"/>
      <c r="O146" s="210"/>
      <c r="P146" s="210"/>
      <c r="Q146" s="211"/>
      <c r="R146" s="210"/>
      <c r="S146" s="210"/>
      <c r="T146" s="206"/>
      <c r="U146" s="206"/>
      <c r="V146" s="206"/>
      <c r="W146" s="208"/>
    </row>
    <row r="147" spans="1:46" ht="13.5" thickBot="1" x14ac:dyDescent="0.25">
      <c r="A147" s="298"/>
      <c r="B147" s="215">
        <v>2.5</v>
      </c>
      <c r="C147" s="210">
        <v>900</v>
      </c>
      <c r="D147" s="210">
        <v>929</v>
      </c>
      <c r="E147" s="210">
        <v>929</v>
      </c>
      <c r="F147" s="210">
        <v>967</v>
      </c>
      <c r="G147" s="211"/>
      <c r="H147" s="209"/>
      <c r="I147" s="210"/>
      <c r="J147" s="210"/>
      <c r="K147" s="210"/>
      <c r="L147" s="211"/>
      <c r="M147" s="209"/>
      <c r="N147" s="210"/>
      <c r="O147" s="210"/>
      <c r="P147" s="210"/>
      <c r="Q147" s="211"/>
      <c r="R147" s="210"/>
      <c r="S147" s="210"/>
      <c r="T147" s="206"/>
      <c r="U147" s="206"/>
      <c r="V147" s="206"/>
      <c r="W147" s="208"/>
    </row>
    <row r="148" spans="1:46" ht="13.5" thickBot="1" x14ac:dyDescent="0.25">
      <c r="A148" s="299"/>
      <c r="B148" s="215">
        <v>3</v>
      </c>
      <c r="C148" s="210">
        <v>900</v>
      </c>
      <c r="D148" s="210">
        <v>934</v>
      </c>
      <c r="E148" s="210">
        <v>934</v>
      </c>
      <c r="F148" s="210">
        <v>976</v>
      </c>
      <c r="G148" s="211"/>
      <c r="H148" s="209"/>
      <c r="I148" s="210"/>
      <c r="J148" s="210"/>
      <c r="K148" s="210"/>
      <c r="L148" s="211"/>
      <c r="M148" s="209"/>
      <c r="N148" s="210"/>
      <c r="O148" s="210"/>
      <c r="P148" s="210"/>
      <c r="Q148" s="211"/>
      <c r="R148" s="210"/>
      <c r="S148" s="210"/>
      <c r="T148" s="206"/>
      <c r="U148" s="206"/>
      <c r="V148" s="206"/>
      <c r="W148" s="208"/>
      <c r="X148" s="221"/>
      <c r="Y148" s="222"/>
      <c r="Z148" s="223"/>
      <c r="AA148" s="223"/>
      <c r="AB148" s="223"/>
      <c r="AC148" s="223"/>
      <c r="AD148" s="223"/>
      <c r="AE148" s="223"/>
      <c r="AF148" s="223"/>
      <c r="AG148" s="223"/>
      <c r="AH148" s="223"/>
      <c r="AI148" s="223"/>
      <c r="AJ148" s="223"/>
      <c r="AK148" s="223"/>
      <c r="AL148" s="223"/>
      <c r="AM148" s="223"/>
      <c r="AN148" s="223"/>
      <c r="AO148" s="223"/>
      <c r="AP148" s="223"/>
      <c r="AQ148" s="212"/>
      <c r="AR148" s="212"/>
      <c r="AS148" s="212"/>
      <c r="AT148" s="212"/>
    </row>
    <row r="149" spans="1:46" x14ac:dyDescent="0.2">
      <c r="X149" s="221"/>
      <c r="Y149" s="222"/>
      <c r="Z149" s="223"/>
      <c r="AA149" s="223"/>
      <c r="AB149" s="223"/>
      <c r="AC149" s="223"/>
      <c r="AD149" s="223"/>
      <c r="AE149" s="223"/>
      <c r="AF149" s="223"/>
      <c r="AG149" s="223"/>
      <c r="AH149" s="223"/>
      <c r="AI149" s="223"/>
      <c r="AJ149" s="223"/>
      <c r="AK149" s="223"/>
      <c r="AL149" s="223"/>
      <c r="AM149" s="223"/>
      <c r="AN149" s="223"/>
      <c r="AO149" s="223"/>
      <c r="AP149" s="223"/>
      <c r="AQ149" s="212"/>
      <c r="AR149" s="212"/>
      <c r="AS149" s="212"/>
      <c r="AT149" s="212"/>
    </row>
    <row r="152" spans="1:46" x14ac:dyDescent="0.2">
      <c r="AE152">
        <f>0.4/0.219</f>
        <v>1.8264840182648403</v>
      </c>
    </row>
  </sheetData>
  <mergeCells count="28">
    <mergeCell ref="A116:W116"/>
    <mergeCell ref="A111:A115"/>
    <mergeCell ref="A142:W142"/>
    <mergeCell ref="A144:A148"/>
    <mergeCell ref="A141:W141"/>
    <mergeCell ref="A117:W117"/>
    <mergeCell ref="A118:W118"/>
    <mergeCell ref="A119:W119"/>
    <mergeCell ref="A121:A125"/>
    <mergeCell ref="A126:A130"/>
    <mergeCell ref="A136:A140"/>
    <mergeCell ref="A131:A135"/>
    <mergeCell ref="A1:W1"/>
    <mergeCell ref="A3:A10"/>
    <mergeCell ref="A11:W11"/>
    <mergeCell ref="A101:A105"/>
    <mergeCell ref="A106:A110"/>
    <mergeCell ref="A94:W94"/>
    <mergeCell ref="A96:A100"/>
    <mergeCell ref="A14:W14"/>
    <mergeCell ref="A15:W15"/>
    <mergeCell ref="A17:A21"/>
    <mergeCell ref="A12:W12"/>
    <mergeCell ref="A13:W13"/>
    <mergeCell ref="A30:A36"/>
    <mergeCell ref="A28:W28"/>
    <mergeCell ref="A22:A26"/>
    <mergeCell ref="A27:W27"/>
  </mergeCells>
  <conditionalFormatting sqref="C96:S115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21:C130 C136:C140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31:C135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21:S140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48:AP149 G144:S148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148:AC149 C144:F148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30:W36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scale="60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Z43"/>
  <sheetViews>
    <sheetView zoomScale="85" zoomScaleNormal="85" workbookViewId="0">
      <pane ySplit="1" topLeftCell="A2" activePane="bottomLeft" state="frozen"/>
      <selection activeCell="C1" sqref="C1"/>
      <selection pane="bottomLeft" activeCell="J43" sqref="J43"/>
    </sheetView>
  </sheetViews>
  <sheetFormatPr defaultRowHeight="12.75" x14ac:dyDescent="0.2"/>
  <cols>
    <col min="1" max="1" width="3.5703125" customWidth="1"/>
    <col min="2" max="2" width="4.140625" style="38" customWidth="1"/>
    <col min="3" max="3" width="17.85546875" style="38" bestFit="1" customWidth="1"/>
    <col min="4" max="4" width="7.5703125" style="38" customWidth="1"/>
    <col min="5" max="5" width="6.85546875" style="38" bestFit="1" customWidth="1"/>
    <col min="6" max="6" width="6.140625" style="38" bestFit="1" customWidth="1"/>
    <col min="7" max="7" width="6.42578125" bestFit="1" customWidth="1"/>
    <col min="8" max="8" width="7.85546875" style="4" bestFit="1" customWidth="1"/>
    <col min="9" max="9" width="7.42578125" style="4" bestFit="1" customWidth="1"/>
    <col min="10" max="10" width="11.140625" bestFit="1" customWidth="1"/>
    <col min="11" max="11" width="4" bestFit="1" customWidth="1"/>
    <col min="12" max="12" width="6.5703125" bestFit="1" customWidth="1"/>
    <col min="13" max="13" width="15.7109375" bestFit="1" customWidth="1"/>
    <col min="14" max="14" width="10.5703125" style="38" bestFit="1" customWidth="1"/>
    <col min="15" max="15" width="7.140625" style="38" bestFit="1" customWidth="1"/>
    <col min="16" max="16" width="16" style="38" bestFit="1" customWidth="1"/>
    <col min="17" max="17" width="21" style="38" customWidth="1"/>
    <col min="18" max="18" width="5.7109375" style="38" bestFit="1" customWidth="1"/>
    <col min="19" max="19" width="42.28515625" style="38" customWidth="1"/>
    <col min="20" max="20" width="10.28515625" style="38" bestFit="1" customWidth="1"/>
    <col min="21" max="21" width="14.140625" style="38" bestFit="1" customWidth="1"/>
    <col min="22" max="22" width="34" style="38" customWidth="1"/>
    <col min="23" max="23" width="4" style="38" customWidth="1"/>
    <col min="24" max="24" width="18.5703125" customWidth="1"/>
    <col min="25" max="25" width="18.140625" customWidth="1"/>
  </cols>
  <sheetData>
    <row r="1" spans="1:26" s="1" customFormat="1" ht="13.5" thickBot="1" x14ac:dyDescent="0.25">
      <c r="A1" s="91"/>
      <c r="B1" s="62" t="s">
        <v>4</v>
      </c>
      <c r="C1" s="36" t="s">
        <v>5</v>
      </c>
      <c r="D1" s="61" t="s">
        <v>635</v>
      </c>
      <c r="E1" s="36" t="s">
        <v>8</v>
      </c>
      <c r="F1" s="36" t="s">
        <v>6</v>
      </c>
      <c r="G1" s="36" t="s">
        <v>9</v>
      </c>
      <c r="H1" s="63" t="s">
        <v>10</v>
      </c>
      <c r="I1" s="63" t="s">
        <v>11</v>
      </c>
      <c r="J1" s="36" t="s">
        <v>12</v>
      </c>
      <c r="K1" s="61" t="s">
        <v>7</v>
      </c>
      <c r="L1" s="36" t="s">
        <v>13</v>
      </c>
      <c r="M1" s="36" t="s">
        <v>16</v>
      </c>
      <c r="N1" s="36" t="s">
        <v>36</v>
      </c>
      <c r="O1" s="64">
        <v>8100</v>
      </c>
      <c r="P1" s="62"/>
      <c r="Q1" s="36"/>
      <c r="R1" s="61"/>
      <c r="S1" s="36"/>
      <c r="T1" s="36"/>
      <c r="U1" s="36"/>
      <c r="V1" s="36"/>
      <c r="W1" s="64"/>
    </row>
    <row r="2" spans="1:26" s="91" customFormat="1" ht="24" thickBot="1" x14ac:dyDescent="0.25">
      <c r="A2" s="324" t="s">
        <v>590</v>
      </c>
      <c r="B2" s="325"/>
      <c r="C2" s="325"/>
      <c r="D2" s="325"/>
      <c r="E2" s="325"/>
      <c r="F2" s="325"/>
      <c r="G2" s="325"/>
      <c r="H2" s="325"/>
      <c r="I2" s="325"/>
      <c r="J2" s="325"/>
      <c r="K2" s="325"/>
      <c r="L2" s="325"/>
      <c r="M2" s="325"/>
      <c r="N2" s="325"/>
      <c r="O2" s="325"/>
      <c r="P2" s="326"/>
      <c r="Q2" s="326"/>
      <c r="R2" s="326"/>
      <c r="S2" s="326"/>
      <c r="T2" s="326"/>
      <c r="U2" s="326"/>
      <c r="V2" s="326"/>
      <c r="W2" s="327"/>
      <c r="Z2" s="7" t="s">
        <v>479</v>
      </c>
    </row>
    <row r="3" spans="1:26" s="91" customFormat="1" ht="30" customHeight="1" thickBot="1" x14ac:dyDescent="0.25">
      <c r="A3" s="328" t="s">
        <v>533</v>
      </c>
      <c r="B3" s="329"/>
      <c r="C3" s="329"/>
      <c r="D3" s="329"/>
      <c r="E3" s="329"/>
      <c r="F3" s="329"/>
      <c r="G3" s="329"/>
      <c r="H3" s="329"/>
      <c r="I3" s="329"/>
      <c r="J3" s="329"/>
      <c r="K3" s="329"/>
      <c r="L3" s="329"/>
      <c r="M3" s="329"/>
      <c r="N3" s="329"/>
      <c r="O3" s="329"/>
      <c r="P3" s="329"/>
      <c r="Q3" s="329"/>
      <c r="R3" s="329"/>
      <c r="S3" s="329"/>
      <c r="T3" s="329"/>
      <c r="U3" s="329"/>
      <c r="V3" s="329"/>
      <c r="W3" s="330"/>
      <c r="Z3" s="7" t="s">
        <v>479</v>
      </c>
    </row>
    <row r="4" spans="1:26" s="91" customFormat="1" ht="18.75" thickBot="1" x14ac:dyDescent="0.3">
      <c r="A4" s="310" t="s">
        <v>246</v>
      </c>
      <c r="B4" s="311"/>
      <c r="C4" s="311"/>
      <c r="D4" s="311"/>
      <c r="E4" s="311"/>
      <c r="F4" s="311"/>
      <c r="G4" s="311"/>
      <c r="H4" s="311"/>
      <c r="I4" s="311"/>
      <c r="J4" s="311"/>
      <c r="K4" s="311"/>
      <c r="L4" s="311"/>
      <c r="M4" s="311"/>
      <c r="N4" s="311"/>
      <c r="O4" s="311"/>
      <c r="P4" s="311"/>
      <c r="Q4" s="311"/>
      <c r="R4" s="311"/>
      <c r="S4" s="311"/>
      <c r="T4" s="311"/>
      <c r="U4" s="311"/>
      <c r="V4" s="311"/>
      <c r="W4" s="312"/>
      <c r="Z4" s="7"/>
    </row>
    <row r="5" spans="1:26" s="91" customFormat="1" ht="15" customHeight="1" thickBot="1" x14ac:dyDescent="0.25">
      <c r="A5" s="107"/>
      <c r="B5" s="73">
        <v>107</v>
      </c>
      <c r="C5" s="73" t="s">
        <v>513</v>
      </c>
      <c r="D5" s="74" t="s">
        <v>560</v>
      </c>
      <c r="E5" s="74" t="s">
        <v>514</v>
      </c>
      <c r="F5" s="74">
        <v>446</v>
      </c>
      <c r="G5" s="74">
        <v>30373</v>
      </c>
      <c r="H5" s="75">
        <v>42735</v>
      </c>
      <c r="I5" s="75">
        <v>15659</v>
      </c>
      <c r="J5" s="75" t="s">
        <v>515</v>
      </c>
      <c r="K5" s="75" t="s">
        <v>7</v>
      </c>
      <c r="L5" s="75" t="s">
        <v>516</v>
      </c>
      <c r="M5" s="75" t="s">
        <v>517</v>
      </c>
      <c r="N5" s="76" t="s">
        <v>518</v>
      </c>
      <c r="O5" s="42" t="s">
        <v>246</v>
      </c>
      <c r="P5" s="307" t="s">
        <v>607</v>
      </c>
      <c r="Q5" s="308"/>
      <c r="R5" s="308"/>
      <c r="S5" s="308"/>
      <c r="T5" s="308"/>
      <c r="U5" s="308"/>
      <c r="V5" s="308"/>
      <c r="W5" s="309"/>
    </row>
    <row r="6" spans="1:26" s="91" customFormat="1" ht="15" customHeight="1" thickBot="1" x14ac:dyDescent="0.25">
      <c r="A6" s="107"/>
      <c r="B6" s="73">
        <v>103</v>
      </c>
      <c r="C6" s="73" t="s">
        <v>480</v>
      </c>
      <c r="D6" s="74" t="s">
        <v>560</v>
      </c>
      <c r="E6" s="74" t="s">
        <v>481</v>
      </c>
      <c r="F6" s="74">
        <v>638</v>
      </c>
      <c r="G6" s="74">
        <v>30537</v>
      </c>
      <c r="H6" s="75">
        <v>47873</v>
      </c>
      <c r="I6" s="75">
        <v>23348</v>
      </c>
      <c r="J6" s="75" t="s">
        <v>482</v>
      </c>
      <c r="K6" s="75" t="s">
        <v>7</v>
      </c>
      <c r="L6" s="75" t="s">
        <v>483</v>
      </c>
      <c r="M6" s="75" t="s">
        <v>484</v>
      </c>
      <c r="N6" s="76" t="s">
        <v>485</v>
      </c>
      <c r="O6" s="42" t="s">
        <v>246</v>
      </c>
      <c r="P6" s="307" t="s">
        <v>610</v>
      </c>
      <c r="Q6" s="308"/>
      <c r="R6" s="308"/>
      <c r="S6" s="308"/>
      <c r="T6" s="308"/>
      <c r="U6" s="308"/>
      <c r="V6" s="308"/>
      <c r="W6" s="309"/>
    </row>
    <row r="7" spans="1:26" s="91" customFormat="1" ht="15" customHeight="1" thickBot="1" x14ac:dyDescent="0.25">
      <c r="A7" s="107"/>
      <c r="B7" s="48">
        <v>72</v>
      </c>
      <c r="C7" s="48" t="s">
        <v>289</v>
      </c>
      <c r="D7" s="49" t="s">
        <v>560</v>
      </c>
      <c r="E7" s="49" t="s">
        <v>290</v>
      </c>
      <c r="F7" s="49">
        <v>3914</v>
      </c>
      <c r="G7" s="49">
        <v>33222</v>
      </c>
      <c r="H7" s="50">
        <v>12942</v>
      </c>
      <c r="I7" s="50">
        <v>5028</v>
      </c>
      <c r="J7" s="50" t="s">
        <v>291</v>
      </c>
      <c r="K7" s="50" t="s">
        <v>7</v>
      </c>
      <c r="L7" s="50" t="s">
        <v>292</v>
      </c>
      <c r="M7" s="50" t="s">
        <v>247</v>
      </c>
      <c r="N7" s="50" t="s">
        <v>247</v>
      </c>
      <c r="O7" s="92" t="s">
        <v>246</v>
      </c>
      <c r="P7" s="307" t="s">
        <v>611</v>
      </c>
      <c r="Q7" s="308"/>
      <c r="R7" s="308"/>
      <c r="S7" s="308"/>
      <c r="T7" s="308"/>
      <c r="U7" s="308"/>
      <c r="V7" s="308"/>
      <c r="W7" s="309"/>
    </row>
    <row r="8" spans="1:26" s="91" customFormat="1" ht="15" customHeight="1" thickBot="1" x14ac:dyDescent="0.25">
      <c r="A8" s="107"/>
      <c r="B8" s="73">
        <v>91</v>
      </c>
      <c r="C8" s="73" t="s">
        <v>402</v>
      </c>
      <c r="D8" s="74" t="s">
        <v>560</v>
      </c>
      <c r="E8" s="74" t="s">
        <v>403</v>
      </c>
      <c r="F8" s="74">
        <v>1056</v>
      </c>
      <c r="G8" s="74">
        <v>32732</v>
      </c>
      <c r="H8" s="75">
        <v>47373</v>
      </c>
      <c r="I8" s="75">
        <v>23819</v>
      </c>
      <c r="J8" s="75" t="s">
        <v>404</v>
      </c>
      <c r="K8" s="75" t="s">
        <v>258</v>
      </c>
      <c r="L8" s="75" t="s">
        <v>405</v>
      </c>
      <c r="M8" s="75" t="s">
        <v>406</v>
      </c>
      <c r="N8" s="76" t="s">
        <v>407</v>
      </c>
      <c r="O8" s="42" t="s">
        <v>246</v>
      </c>
      <c r="P8" s="307" t="s">
        <v>609</v>
      </c>
      <c r="Q8" s="308"/>
      <c r="R8" s="308"/>
      <c r="S8" s="308"/>
      <c r="T8" s="308"/>
      <c r="U8" s="308"/>
      <c r="V8" s="308"/>
      <c r="W8" s="309"/>
    </row>
    <row r="9" spans="1:26" s="91" customFormat="1" ht="15" customHeight="1" thickBot="1" x14ac:dyDescent="0.25">
      <c r="A9" s="107"/>
      <c r="B9" s="48">
        <v>29</v>
      </c>
      <c r="C9" s="48" t="s">
        <v>143</v>
      </c>
      <c r="D9" s="49" t="s">
        <v>560</v>
      </c>
      <c r="E9" s="49" t="s">
        <v>145</v>
      </c>
      <c r="F9" s="49">
        <v>4337</v>
      </c>
      <c r="G9" s="49">
        <v>39434</v>
      </c>
      <c r="H9" s="50">
        <v>2948</v>
      </c>
      <c r="I9" s="50">
        <v>1794</v>
      </c>
      <c r="J9" s="50" t="s">
        <v>147</v>
      </c>
      <c r="K9" s="50" t="s">
        <v>258</v>
      </c>
      <c r="L9" s="50" t="s">
        <v>613</v>
      </c>
      <c r="M9" s="50" t="s">
        <v>144</v>
      </c>
      <c r="N9" s="50" t="s">
        <v>146</v>
      </c>
      <c r="O9" s="56" t="s">
        <v>246</v>
      </c>
      <c r="P9" s="307" t="s">
        <v>612</v>
      </c>
      <c r="Q9" s="308"/>
      <c r="R9" s="308"/>
      <c r="S9" s="308"/>
      <c r="T9" s="308"/>
      <c r="U9" s="308"/>
      <c r="V9" s="308"/>
      <c r="W9" s="309"/>
    </row>
    <row r="10" spans="1:26" s="91" customFormat="1" ht="18.75" thickBot="1" x14ac:dyDescent="0.3">
      <c r="A10" s="310" t="s">
        <v>587</v>
      </c>
      <c r="B10" s="311"/>
      <c r="C10" s="311"/>
      <c r="D10" s="311"/>
      <c r="E10" s="311"/>
      <c r="F10" s="311"/>
      <c r="G10" s="311"/>
      <c r="H10" s="311"/>
      <c r="I10" s="311"/>
      <c r="J10" s="311"/>
      <c r="K10" s="311"/>
      <c r="L10" s="311"/>
      <c r="M10" s="311"/>
      <c r="N10" s="311"/>
      <c r="O10" s="311"/>
      <c r="P10" s="311"/>
      <c r="Q10" s="311"/>
      <c r="R10" s="311"/>
      <c r="S10" s="311"/>
      <c r="T10" s="311"/>
      <c r="U10" s="311"/>
      <c r="V10" s="311"/>
      <c r="W10" s="312"/>
    </row>
    <row r="11" spans="1:26" s="91" customFormat="1" ht="16.5" thickBot="1" x14ac:dyDescent="0.3">
      <c r="A11" s="100"/>
      <c r="B11" s="316" t="s">
        <v>586</v>
      </c>
      <c r="C11" s="316"/>
      <c r="D11" s="316"/>
      <c r="E11" s="316"/>
      <c r="F11" s="316"/>
      <c r="G11" s="316"/>
      <c r="H11" s="316"/>
      <c r="I11" s="316"/>
      <c r="J11" s="316"/>
      <c r="K11" s="316"/>
      <c r="L11" s="316"/>
      <c r="M11" s="316"/>
      <c r="N11" s="316"/>
      <c r="O11" s="316"/>
      <c r="P11" s="316"/>
      <c r="Q11" s="316"/>
      <c r="R11" s="316"/>
      <c r="S11" s="316"/>
      <c r="T11" s="316"/>
      <c r="U11" s="316"/>
      <c r="V11" s="316"/>
      <c r="W11" s="317"/>
    </row>
    <row r="12" spans="1:26" s="91" customFormat="1" ht="15" customHeight="1" thickBot="1" x14ac:dyDescent="0.25">
      <c r="A12" s="107"/>
      <c r="B12" s="85">
        <v>85</v>
      </c>
      <c r="C12" s="74" t="s">
        <v>370</v>
      </c>
      <c r="D12" s="74" t="s">
        <v>560</v>
      </c>
      <c r="E12" s="74" t="s">
        <v>371</v>
      </c>
      <c r="F12" s="74">
        <v>376</v>
      </c>
      <c r="G12" s="74">
        <v>28950</v>
      </c>
      <c r="H12" s="75">
        <v>56429</v>
      </c>
      <c r="I12" s="75">
        <v>18055</v>
      </c>
      <c r="J12" s="75" t="s">
        <v>372</v>
      </c>
      <c r="K12" s="75" t="s">
        <v>7</v>
      </c>
      <c r="L12" s="75" t="s">
        <v>374</v>
      </c>
      <c r="M12" s="75" t="s">
        <v>282</v>
      </c>
      <c r="N12" s="75" t="s">
        <v>373</v>
      </c>
      <c r="O12" s="42" t="s">
        <v>246</v>
      </c>
      <c r="P12" s="307" t="s">
        <v>588</v>
      </c>
      <c r="Q12" s="308"/>
      <c r="R12" s="308"/>
      <c r="S12" s="308"/>
      <c r="T12" s="308"/>
      <c r="U12" s="308"/>
      <c r="V12" s="308"/>
      <c r="W12" s="309"/>
    </row>
    <row r="13" spans="1:26" s="91" customFormat="1" ht="15" customHeight="1" thickBot="1" x14ac:dyDescent="0.25">
      <c r="A13" s="107"/>
      <c r="B13" s="85">
        <v>70</v>
      </c>
      <c r="C13" s="73" t="s">
        <v>278</v>
      </c>
      <c r="D13" s="74" t="s">
        <v>560</v>
      </c>
      <c r="E13" s="74" t="s">
        <v>279</v>
      </c>
      <c r="F13" s="74">
        <v>413</v>
      </c>
      <c r="G13" s="74">
        <v>28956</v>
      </c>
      <c r="H13" s="75">
        <v>50307</v>
      </c>
      <c r="I13" s="75">
        <v>18445</v>
      </c>
      <c r="J13" s="75" t="s">
        <v>280</v>
      </c>
      <c r="K13" s="75" t="s">
        <v>7</v>
      </c>
      <c r="L13" s="75" t="s">
        <v>281</v>
      </c>
      <c r="M13" s="75" t="s">
        <v>282</v>
      </c>
      <c r="N13" s="75" t="s">
        <v>283</v>
      </c>
      <c r="O13" s="42" t="s">
        <v>246</v>
      </c>
      <c r="P13" s="307" t="s">
        <v>588</v>
      </c>
      <c r="Q13" s="308"/>
      <c r="R13" s="308"/>
      <c r="S13" s="308"/>
      <c r="T13" s="308"/>
      <c r="U13" s="308"/>
      <c r="V13" s="308"/>
      <c r="W13" s="309"/>
    </row>
    <row r="14" spans="1:26" s="91" customFormat="1" ht="15" customHeight="1" thickBot="1" x14ac:dyDescent="0.25">
      <c r="A14" s="107"/>
      <c r="B14" s="65">
        <v>15</v>
      </c>
      <c r="C14" s="110" t="s">
        <v>187</v>
      </c>
      <c r="D14" s="66" t="s">
        <v>560</v>
      </c>
      <c r="E14" s="66" t="s">
        <v>188</v>
      </c>
      <c r="F14" s="67">
        <v>2490</v>
      </c>
      <c r="G14" s="67">
        <v>32827</v>
      </c>
      <c r="H14" s="68">
        <v>18891</v>
      </c>
      <c r="I14" s="68">
        <v>6425</v>
      </c>
      <c r="J14" s="69" t="s">
        <v>189</v>
      </c>
      <c r="K14" s="69" t="s">
        <v>258</v>
      </c>
      <c r="L14" s="69" t="s">
        <v>614</v>
      </c>
      <c r="M14" s="69" t="s">
        <v>190</v>
      </c>
      <c r="N14" s="69" t="s">
        <v>191</v>
      </c>
      <c r="O14" s="56" t="s">
        <v>246</v>
      </c>
      <c r="P14" s="333" t="s">
        <v>588</v>
      </c>
      <c r="Q14" s="331"/>
      <c r="R14" s="331"/>
      <c r="S14" s="331"/>
      <c r="T14" s="331"/>
      <c r="U14" s="331"/>
      <c r="V14" s="331"/>
      <c r="W14" s="332"/>
    </row>
    <row r="15" spans="1:26" s="91" customFormat="1" ht="18.75" thickBot="1" x14ac:dyDescent="0.3">
      <c r="A15" s="310" t="s">
        <v>599</v>
      </c>
      <c r="B15" s="311"/>
      <c r="C15" s="311"/>
      <c r="D15" s="311"/>
      <c r="E15" s="311"/>
      <c r="F15" s="311"/>
      <c r="G15" s="311"/>
      <c r="H15" s="311"/>
      <c r="I15" s="311"/>
      <c r="J15" s="311"/>
      <c r="K15" s="311"/>
      <c r="L15" s="311"/>
      <c r="M15" s="311"/>
      <c r="N15" s="311"/>
      <c r="O15" s="311"/>
      <c r="P15" s="311"/>
      <c r="Q15" s="311"/>
      <c r="R15" s="311"/>
      <c r="S15" s="311"/>
      <c r="T15" s="311"/>
      <c r="U15" s="311"/>
      <c r="V15" s="311"/>
      <c r="W15" s="312"/>
    </row>
    <row r="16" spans="1:26" s="91" customFormat="1" ht="15.75" thickBot="1" x14ac:dyDescent="0.25">
      <c r="A16" s="101"/>
      <c r="B16" s="57">
        <v>71</v>
      </c>
      <c r="C16" s="57" t="s">
        <v>284</v>
      </c>
      <c r="D16" s="58" t="s">
        <v>560</v>
      </c>
      <c r="E16" s="58" t="s">
        <v>285</v>
      </c>
      <c r="F16" s="58">
        <v>467</v>
      </c>
      <c r="G16" s="58">
        <v>28827</v>
      </c>
      <c r="H16" s="59">
        <v>50363</v>
      </c>
      <c r="I16" s="59">
        <v>31251</v>
      </c>
      <c r="J16" s="59" t="s">
        <v>286</v>
      </c>
      <c r="K16" s="59" t="s">
        <v>258</v>
      </c>
      <c r="L16" s="59" t="s">
        <v>287</v>
      </c>
      <c r="M16" s="59" t="s">
        <v>282</v>
      </c>
      <c r="N16" s="96" t="s">
        <v>288</v>
      </c>
      <c r="O16" s="42" t="s">
        <v>592</v>
      </c>
      <c r="P16" s="307" t="s">
        <v>598</v>
      </c>
      <c r="Q16" s="308"/>
      <c r="R16" s="308"/>
      <c r="S16" s="308"/>
      <c r="T16" s="308"/>
      <c r="U16" s="308"/>
      <c r="V16" s="308"/>
      <c r="W16" s="309"/>
    </row>
    <row r="17" spans="1:26" s="91" customFormat="1" ht="15" customHeight="1" thickBot="1" x14ac:dyDescent="0.25">
      <c r="A17" s="112"/>
      <c r="B17" s="113">
        <v>31</v>
      </c>
      <c r="C17" s="81" t="s">
        <v>135</v>
      </c>
      <c r="D17" s="81" t="s">
        <v>560</v>
      </c>
      <c r="E17" s="81" t="s">
        <v>594</v>
      </c>
      <c r="F17" s="81">
        <v>1431</v>
      </c>
      <c r="G17" s="81">
        <v>32758</v>
      </c>
      <c r="H17" s="79">
        <v>35110</v>
      </c>
      <c r="I17" s="79">
        <v>16322</v>
      </c>
      <c r="J17" s="79" t="s">
        <v>595</v>
      </c>
      <c r="K17" s="79" t="s">
        <v>258</v>
      </c>
      <c r="L17" s="79" t="s">
        <v>596</v>
      </c>
      <c r="M17" s="79" t="s">
        <v>136</v>
      </c>
      <c r="N17" s="114" t="s">
        <v>137</v>
      </c>
      <c r="O17" s="42" t="s">
        <v>592</v>
      </c>
      <c r="P17" s="307" t="s">
        <v>593</v>
      </c>
      <c r="Q17" s="308"/>
      <c r="R17" s="308"/>
      <c r="S17" s="308"/>
      <c r="T17" s="308"/>
      <c r="U17" s="308"/>
      <c r="V17" s="308"/>
      <c r="W17" s="309"/>
    </row>
    <row r="18" spans="1:26" s="91" customFormat="1" ht="15" customHeight="1" thickBot="1" x14ac:dyDescent="0.25">
      <c r="A18" s="102"/>
      <c r="B18" s="85">
        <v>67</v>
      </c>
      <c r="C18" s="74" t="s">
        <v>254</v>
      </c>
      <c r="D18" s="74" t="s">
        <v>560</v>
      </c>
      <c r="E18" s="74" t="s">
        <v>255</v>
      </c>
      <c r="F18" s="74">
        <v>2363</v>
      </c>
      <c r="G18" s="74">
        <v>36632</v>
      </c>
      <c r="H18" s="75">
        <v>12148</v>
      </c>
      <c r="I18" s="75">
        <v>7240</v>
      </c>
      <c r="J18" s="75" t="s">
        <v>256</v>
      </c>
      <c r="K18" s="75" t="s">
        <v>7</v>
      </c>
      <c r="L18" s="75" t="s">
        <v>257</v>
      </c>
      <c r="M18" s="75" t="s">
        <v>190</v>
      </c>
      <c r="N18" s="86">
        <v>2347</v>
      </c>
      <c r="O18" s="106" t="s">
        <v>597</v>
      </c>
      <c r="P18" s="331" t="s">
        <v>546</v>
      </c>
      <c r="Q18" s="331"/>
      <c r="R18" s="331"/>
      <c r="S18" s="331"/>
      <c r="T18" s="331"/>
      <c r="U18" s="331"/>
      <c r="V18" s="331"/>
      <c r="W18" s="332"/>
    </row>
    <row r="19" spans="1:26" s="7" customFormat="1" ht="18.75" thickBot="1" x14ac:dyDescent="0.3">
      <c r="A19" s="321" t="s">
        <v>579</v>
      </c>
      <c r="B19" s="322"/>
      <c r="C19" s="322"/>
      <c r="D19" s="322"/>
      <c r="E19" s="322"/>
      <c r="F19" s="322"/>
      <c r="G19" s="322"/>
      <c r="H19" s="322"/>
      <c r="I19" s="322"/>
      <c r="J19" s="322"/>
      <c r="K19" s="322"/>
      <c r="L19" s="322"/>
      <c r="M19" s="322"/>
      <c r="N19" s="322"/>
      <c r="O19" s="322"/>
      <c r="P19" s="322"/>
      <c r="Q19" s="322"/>
      <c r="R19" s="322"/>
      <c r="S19" s="322"/>
      <c r="T19" s="322"/>
      <c r="U19" s="322"/>
      <c r="V19" s="322"/>
      <c r="W19" s="323"/>
    </row>
    <row r="20" spans="1:26" s="91" customFormat="1" ht="15" customHeight="1" thickBot="1" x14ac:dyDescent="0.25">
      <c r="A20" s="107"/>
      <c r="B20" s="111">
        <v>52</v>
      </c>
      <c r="C20" s="88" t="s">
        <v>58</v>
      </c>
      <c r="D20" s="88" t="s">
        <v>560</v>
      </c>
      <c r="E20" s="88" t="s">
        <v>59</v>
      </c>
      <c r="F20" s="88">
        <v>919</v>
      </c>
      <c r="G20" s="88">
        <v>30243</v>
      </c>
      <c r="H20" s="89">
        <v>40002</v>
      </c>
      <c r="I20" s="89">
        <v>24683</v>
      </c>
      <c r="J20" s="89" t="s">
        <v>62</v>
      </c>
      <c r="K20" s="89" t="s">
        <v>258</v>
      </c>
      <c r="L20" s="89" t="s">
        <v>589</v>
      </c>
      <c r="M20" s="89" t="s">
        <v>60</v>
      </c>
      <c r="N20" s="97" t="s">
        <v>61</v>
      </c>
      <c r="O20" s="56">
        <v>37.5</v>
      </c>
      <c r="P20" s="307" t="s">
        <v>608</v>
      </c>
      <c r="Q20" s="308"/>
      <c r="R20" s="308"/>
      <c r="S20" s="308"/>
      <c r="T20" s="308"/>
      <c r="U20" s="308"/>
      <c r="V20" s="308"/>
      <c r="W20" s="309"/>
    </row>
    <row r="21" spans="1:26" s="91" customFormat="1" ht="30" customHeight="1" thickBot="1" x14ac:dyDescent="0.25">
      <c r="A21" s="328" t="s">
        <v>675</v>
      </c>
      <c r="B21" s="329"/>
      <c r="C21" s="329"/>
      <c r="D21" s="329"/>
      <c r="E21" s="329"/>
      <c r="F21" s="329"/>
      <c r="G21" s="329"/>
      <c r="H21" s="329"/>
      <c r="I21" s="329"/>
      <c r="J21" s="329"/>
      <c r="K21" s="329"/>
      <c r="L21" s="329"/>
      <c r="M21" s="329"/>
      <c r="N21" s="329"/>
      <c r="O21" s="329"/>
      <c r="P21" s="329"/>
      <c r="Q21" s="329"/>
      <c r="R21" s="329"/>
      <c r="S21" s="329"/>
      <c r="T21" s="329"/>
      <c r="U21" s="329"/>
      <c r="V21" s="329"/>
      <c r="W21" s="330"/>
    </row>
    <row r="22" spans="1:26" s="91" customFormat="1" ht="18.75" thickBot="1" x14ac:dyDescent="0.3">
      <c r="A22" s="310" t="s">
        <v>620</v>
      </c>
      <c r="B22" s="311"/>
      <c r="C22" s="311"/>
      <c r="D22" s="311"/>
      <c r="E22" s="311"/>
      <c r="F22" s="311"/>
      <c r="G22" s="311"/>
      <c r="H22" s="311"/>
      <c r="I22" s="311"/>
      <c r="J22" s="311"/>
      <c r="K22" s="311"/>
      <c r="L22" s="311"/>
      <c r="M22" s="311"/>
      <c r="N22" s="311"/>
      <c r="O22" s="311"/>
      <c r="P22" s="311"/>
      <c r="Q22" s="311"/>
      <c r="R22" s="311"/>
      <c r="S22" s="311"/>
      <c r="T22" s="311"/>
      <c r="U22" s="311"/>
      <c r="V22" s="311"/>
      <c r="W22" s="312"/>
    </row>
    <row r="23" spans="1:26" s="91" customFormat="1" ht="16.5" thickBot="1" x14ac:dyDescent="0.3">
      <c r="A23" s="100"/>
      <c r="B23" s="316" t="s">
        <v>571</v>
      </c>
      <c r="C23" s="316"/>
      <c r="D23" s="316"/>
      <c r="E23" s="316"/>
      <c r="F23" s="316"/>
      <c r="G23" s="316"/>
      <c r="H23" s="316"/>
      <c r="I23" s="316"/>
      <c r="J23" s="316"/>
      <c r="K23" s="316"/>
      <c r="L23" s="316"/>
      <c r="M23" s="316"/>
      <c r="N23" s="316"/>
      <c r="O23" s="316"/>
      <c r="P23" s="316"/>
      <c r="Q23" s="316"/>
      <c r="R23" s="316"/>
      <c r="S23" s="316"/>
      <c r="T23" s="316"/>
      <c r="U23" s="316"/>
      <c r="V23" s="316"/>
      <c r="W23" s="317"/>
    </row>
    <row r="24" spans="1:26" s="91" customFormat="1" ht="15" customHeight="1" thickBot="1" x14ac:dyDescent="0.25">
      <c r="A24" s="107"/>
      <c r="B24" s="115">
        <v>111</v>
      </c>
      <c r="C24" s="39" t="s">
        <v>600</v>
      </c>
      <c r="D24" s="58" t="s">
        <v>15</v>
      </c>
      <c r="E24" s="58" t="s">
        <v>601</v>
      </c>
      <c r="F24" s="40">
        <v>2550</v>
      </c>
      <c r="G24" s="40">
        <v>26294</v>
      </c>
      <c r="H24" s="41">
        <v>57923</v>
      </c>
      <c r="I24" s="41">
        <v>39424</v>
      </c>
      <c r="J24" s="59" t="s">
        <v>602</v>
      </c>
      <c r="K24" s="59" t="s">
        <v>258</v>
      </c>
      <c r="L24" s="59" t="s">
        <v>603</v>
      </c>
      <c r="M24" s="41" t="s">
        <v>201</v>
      </c>
      <c r="N24" s="108" t="s">
        <v>604</v>
      </c>
      <c r="O24" s="116"/>
      <c r="P24" s="304" t="s">
        <v>676</v>
      </c>
      <c r="Q24" s="305"/>
      <c r="R24" s="305"/>
      <c r="S24" s="305"/>
      <c r="T24" s="305"/>
      <c r="U24" s="305"/>
      <c r="V24" s="305"/>
      <c r="W24" s="306"/>
    </row>
    <row r="25" spans="1:26" s="91" customFormat="1" ht="15" customHeight="1" thickBot="1" x14ac:dyDescent="0.25">
      <c r="A25" s="107"/>
      <c r="B25" s="115">
        <v>48</v>
      </c>
      <c r="C25" s="39" t="s">
        <v>77</v>
      </c>
      <c r="D25" s="58" t="s">
        <v>310</v>
      </c>
      <c r="E25" s="58" t="s">
        <v>574</v>
      </c>
      <c r="F25" s="40">
        <v>2292</v>
      </c>
      <c r="G25" s="40">
        <v>26570</v>
      </c>
      <c r="H25" s="41">
        <v>68099</v>
      </c>
      <c r="I25" s="41">
        <v>64028</v>
      </c>
      <c r="J25" s="59" t="s">
        <v>576</v>
      </c>
      <c r="K25" s="59" t="s">
        <v>7</v>
      </c>
      <c r="L25" s="59" t="s">
        <v>575</v>
      </c>
      <c r="M25" s="41" t="s">
        <v>25</v>
      </c>
      <c r="N25" s="108" t="s">
        <v>78</v>
      </c>
      <c r="O25" s="72" t="s">
        <v>573</v>
      </c>
      <c r="P25" s="318" t="s">
        <v>606</v>
      </c>
      <c r="Q25" s="319"/>
      <c r="R25" s="319"/>
      <c r="S25" s="319"/>
      <c r="T25" s="319"/>
      <c r="U25" s="319"/>
      <c r="V25" s="319"/>
      <c r="W25" s="320"/>
    </row>
    <row r="26" spans="1:26" s="91" customFormat="1" ht="18.75" thickBot="1" x14ac:dyDescent="0.3">
      <c r="A26" s="310" t="s">
        <v>621</v>
      </c>
      <c r="B26" s="314"/>
      <c r="C26" s="314"/>
      <c r="D26" s="314"/>
      <c r="E26" s="314"/>
      <c r="F26" s="314"/>
      <c r="G26" s="314"/>
      <c r="H26" s="314"/>
      <c r="I26" s="314"/>
      <c r="J26" s="314"/>
      <c r="K26" s="314"/>
      <c r="L26" s="314"/>
      <c r="M26" s="314"/>
      <c r="N26" s="314"/>
      <c r="O26" s="314"/>
      <c r="P26" s="314"/>
      <c r="Q26" s="314"/>
      <c r="R26" s="314"/>
      <c r="S26" s="314"/>
      <c r="T26" s="314"/>
      <c r="U26" s="314"/>
      <c r="V26" s="314"/>
      <c r="W26" s="315"/>
    </row>
    <row r="27" spans="1:26" s="91" customFormat="1" ht="16.5" thickBot="1" x14ac:dyDescent="0.3">
      <c r="A27" s="100"/>
      <c r="B27" s="316" t="s">
        <v>571</v>
      </c>
      <c r="C27" s="316"/>
      <c r="D27" s="316"/>
      <c r="E27" s="316"/>
      <c r="F27" s="316"/>
      <c r="G27" s="316"/>
      <c r="H27" s="316"/>
      <c r="I27" s="316"/>
      <c r="J27" s="316"/>
      <c r="K27" s="316"/>
      <c r="L27" s="316"/>
      <c r="M27" s="316"/>
      <c r="N27" s="316"/>
      <c r="O27" s="316"/>
      <c r="P27" s="316"/>
      <c r="Q27" s="316"/>
      <c r="R27" s="316"/>
      <c r="S27" s="316"/>
      <c r="T27" s="316"/>
      <c r="U27" s="316"/>
      <c r="V27" s="316"/>
      <c r="W27" s="317"/>
    </row>
    <row r="28" spans="1:26" s="91" customFormat="1" ht="15" customHeight="1" thickBot="1" x14ac:dyDescent="0.25">
      <c r="A28" s="102"/>
      <c r="B28" s="80">
        <v>12</v>
      </c>
      <c r="C28" s="73" t="s">
        <v>198</v>
      </c>
      <c r="D28" s="74" t="s">
        <v>15</v>
      </c>
      <c r="E28" s="74" t="s">
        <v>199</v>
      </c>
      <c r="F28" s="81">
        <v>2493</v>
      </c>
      <c r="G28" s="81">
        <v>27128</v>
      </c>
      <c r="H28" s="79">
        <v>47027</v>
      </c>
      <c r="I28" s="79">
        <v>26156</v>
      </c>
      <c r="J28" s="75" t="s">
        <v>200</v>
      </c>
      <c r="K28" s="79" t="s">
        <v>258</v>
      </c>
      <c r="L28" s="79" t="s">
        <v>570</v>
      </c>
      <c r="M28" s="75" t="s">
        <v>201</v>
      </c>
      <c r="N28" s="76" t="s">
        <v>202</v>
      </c>
      <c r="O28" s="42" t="s">
        <v>581</v>
      </c>
      <c r="P28" s="307" t="s">
        <v>577</v>
      </c>
      <c r="Q28" s="308"/>
      <c r="R28" s="308"/>
      <c r="S28" s="308"/>
      <c r="T28" s="308"/>
      <c r="U28" s="308"/>
      <c r="V28" s="308"/>
      <c r="W28" s="309"/>
    </row>
    <row r="29" spans="1:26" s="7" customFormat="1" ht="18.75" thickBot="1" x14ac:dyDescent="0.3">
      <c r="A29" s="313" t="s">
        <v>579</v>
      </c>
      <c r="B29" s="314"/>
      <c r="C29" s="314"/>
      <c r="D29" s="314"/>
      <c r="E29" s="314"/>
      <c r="F29" s="314"/>
      <c r="G29" s="314"/>
      <c r="H29" s="314"/>
      <c r="I29" s="314"/>
      <c r="J29" s="314"/>
      <c r="K29" s="314"/>
      <c r="L29" s="314"/>
      <c r="M29" s="314"/>
      <c r="N29" s="314"/>
      <c r="O29" s="314"/>
      <c r="P29" s="314"/>
      <c r="Q29" s="314"/>
      <c r="R29" s="314"/>
      <c r="S29" s="314"/>
      <c r="T29" s="314"/>
      <c r="U29" s="314"/>
      <c r="V29" s="314"/>
      <c r="W29" s="315"/>
    </row>
    <row r="30" spans="1:26" s="91" customFormat="1" ht="15" customHeight="1" thickBot="1" x14ac:dyDescent="0.25">
      <c r="A30" s="107"/>
      <c r="B30" s="80">
        <v>47</v>
      </c>
      <c r="C30" s="80" t="s">
        <v>80</v>
      </c>
      <c r="D30" s="81" t="s">
        <v>310</v>
      </c>
      <c r="E30" s="81" t="s">
        <v>566</v>
      </c>
      <c r="F30" s="81">
        <v>2105</v>
      </c>
      <c r="G30" s="81">
        <v>25251</v>
      </c>
      <c r="H30" s="79">
        <v>69145</v>
      </c>
      <c r="I30" s="79">
        <v>59222</v>
      </c>
      <c r="J30" s="79" t="s">
        <v>567</v>
      </c>
      <c r="K30" s="79" t="s">
        <v>7</v>
      </c>
      <c r="L30" s="79" t="s">
        <v>568</v>
      </c>
      <c r="M30" s="79" t="s">
        <v>25</v>
      </c>
      <c r="N30" s="82" t="s">
        <v>81</v>
      </c>
      <c r="O30" s="106" t="s">
        <v>569</v>
      </c>
      <c r="P30" s="307" t="s">
        <v>677</v>
      </c>
      <c r="Q30" s="308"/>
      <c r="R30" s="308"/>
      <c r="S30" s="308"/>
      <c r="T30" s="308"/>
      <c r="U30" s="308"/>
      <c r="V30" s="308"/>
      <c r="W30" s="309"/>
    </row>
    <row r="31" spans="1:26" s="91" customFormat="1" ht="15" customHeight="1" thickBot="1" x14ac:dyDescent="0.25">
      <c r="A31" s="105"/>
      <c r="B31" s="87">
        <v>5</v>
      </c>
      <c r="C31" s="48" t="s">
        <v>224</v>
      </c>
      <c r="D31" s="49" t="s">
        <v>310</v>
      </c>
      <c r="E31" s="49" t="s">
        <v>225</v>
      </c>
      <c r="F31" s="88">
        <v>2590</v>
      </c>
      <c r="G31" s="88">
        <v>27319</v>
      </c>
      <c r="H31" s="89">
        <v>48118</v>
      </c>
      <c r="I31" s="89">
        <v>25108</v>
      </c>
      <c r="J31" s="50" t="s">
        <v>226</v>
      </c>
      <c r="K31" s="50" t="s">
        <v>7</v>
      </c>
      <c r="L31" s="50" t="s">
        <v>578</v>
      </c>
      <c r="M31" s="50" t="s">
        <v>25</v>
      </c>
      <c r="N31" s="51" t="s">
        <v>227</v>
      </c>
      <c r="O31" s="42">
        <v>66</v>
      </c>
      <c r="P31" s="307" t="s">
        <v>674</v>
      </c>
      <c r="Q31" s="308"/>
      <c r="R31" s="308"/>
      <c r="S31" s="308"/>
      <c r="T31" s="308"/>
      <c r="U31" s="308"/>
      <c r="V31" s="308"/>
      <c r="W31" s="309"/>
      <c r="Z31" s="7"/>
    </row>
    <row r="32" spans="1:26" s="7" customFormat="1" ht="18.75" thickBot="1" x14ac:dyDescent="0.3">
      <c r="A32" s="313" t="s">
        <v>580</v>
      </c>
      <c r="B32" s="314"/>
      <c r="C32" s="314"/>
      <c r="D32" s="314"/>
      <c r="E32" s="314"/>
      <c r="F32" s="314"/>
      <c r="G32" s="314"/>
      <c r="H32" s="314"/>
      <c r="I32" s="314"/>
      <c r="J32" s="314"/>
      <c r="K32" s="314"/>
      <c r="L32" s="314"/>
      <c r="M32" s="314"/>
      <c r="N32" s="314"/>
      <c r="O32" s="314"/>
      <c r="P32" s="314"/>
      <c r="Q32" s="314"/>
      <c r="R32" s="314"/>
      <c r="S32" s="314"/>
      <c r="T32" s="314"/>
      <c r="U32" s="314"/>
      <c r="V32" s="314"/>
      <c r="W32" s="315"/>
    </row>
    <row r="33" spans="1:26" s="91" customFormat="1" ht="15" customHeight="1" thickBot="1" x14ac:dyDescent="0.25">
      <c r="A33" s="117"/>
      <c r="B33" s="80">
        <v>59</v>
      </c>
      <c r="C33" s="80" t="s">
        <v>24</v>
      </c>
      <c r="D33" s="74" t="s">
        <v>310</v>
      </c>
      <c r="E33" s="74" t="s">
        <v>563</v>
      </c>
      <c r="F33" s="81">
        <v>1942</v>
      </c>
      <c r="G33" s="81">
        <v>24888</v>
      </c>
      <c r="H33" s="79">
        <v>65726</v>
      </c>
      <c r="I33" s="79">
        <v>76830</v>
      </c>
      <c r="J33" s="75" t="s">
        <v>564</v>
      </c>
      <c r="K33" s="75" t="s">
        <v>7</v>
      </c>
      <c r="L33" s="75" t="s">
        <v>565</v>
      </c>
      <c r="M33" s="79" t="s">
        <v>25</v>
      </c>
      <c r="N33" s="79" t="s">
        <v>26</v>
      </c>
      <c r="O33" s="42" t="s">
        <v>581</v>
      </c>
      <c r="P33" s="307" t="s">
        <v>572</v>
      </c>
      <c r="Q33" s="308"/>
      <c r="R33" s="308"/>
      <c r="S33" s="308"/>
      <c r="T33" s="308"/>
      <c r="U33" s="308"/>
      <c r="V33" s="308"/>
      <c r="W33" s="309"/>
      <c r="Z33" s="7"/>
    </row>
    <row r="34" spans="1:26" s="91" customFormat="1" ht="15" customHeight="1" thickBot="1" x14ac:dyDescent="0.25">
      <c r="A34" s="109"/>
      <c r="B34" s="65">
        <v>13</v>
      </c>
      <c r="C34" s="110" t="s">
        <v>196</v>
      </c>
      <c r="D34" s="67" t="s">
        <v>310</v>
      </c>
      <c r="E34" s="66" t="s">
        <v>583</v>
      </c>
      <c r="F34" s="67">
        <v>2283</v>
      </c>
      <c r="G34" s="67">
        <v>26567</v>
      </c>
      <c r="H34" s="68">
        <v>68209</v>
      </c>
      <c r="I34" s="68">
        <v>61508</v>
      </c>
      <c r="J34" s="69" t="s">
        <v>584</v>
      </c>
      <c r="K34" s="68" t="s">
        <v>7</v>
      </c>
      <c r="L34" s="68" t="s">
        <v>585</v>
      </c>
      <c r="M34" s="69" t="s">
        <v>25</v>
      </c>
      <c r="N34" s="69" t="s">
        <v>197</v>
      </c>
      <c r="O34" s="42" t="s">
        <v>581</v>
      </c>
      <c r="P34" s="307" t="s">
        <v>582</v>
      </c>
      <c r="Q34" s="308"/>
      <c r="R34" s="308"/>
      <c r="S34" s="308"/>
      <c r="T34" s="308"/>
      <c r="U34" s="308"/>
      <c r="V34" s="308"/>
      <c r="W34" s="309"/>
      <c r="Z34" s="7"/>
    </row>
    <row r="37" spans="1:26" x14ac:dyDescent="0.2">
      <c r="Q37" s="38" t="s">
        <v>765</v>
      </c>
    </row>
    <row r="38" spans="1:26" x14ac:dyDescent="0.2">
      <c r="P38" s="38" t="s">
        <v>246</v>
      </c>
      <c r="Q38" s="38" t="s">
        <v>766</v>
      </c>
    </row>
    <row r="39" spans="1:26" x14ac:dyDescent="0.2">
      <c r="P39" s="91" t="s">
        <v>241</v>
      </c>
      <c r="Q39" s="91" t="s">
        <v>767</v>
      </c>
    </row>
    <row r="40" spans="1:26" x14ac:dyDescent="0.2">
      <c r="P40" s="91" t="s">
        <v>768</v>
      </c>
      <c r="Q40" s="91" t="s">
        <v>770</v>
      </c>
    </row>
    <row r="41" spans="1:26" x14ac:dyDescent="0.2">
      <c r="P41" s="91" t="s">
        <v>244</v>
      </c>
      <c r="Q41" s="91" t="s">
        <v>771</v>
      </c>
    </row>
    <row r="42" spans="1:26" x14ac:dyDescent="0.2">
      <c r="P42" s="91" t="s">
        <v>769</v>
      </c>
      <c r="Q42" s="91" t="s">
        <v>772</v>
      </c>
    </row>
    <row r="43" spans="1:26" x14ac:dyDescent="0.2">
      <c r="P43" s="91"/>
    </row>
  </sheetData>
  <mergeCells count="33">
    <mergeCell ref="P33:W33"/>
    <mergeCell ref="P34:W34"/>
    <mergeCell ref="P30:W30"/>
    <mergeCell ref="A26:W26"/>
    <mergeCell ref="B27:W27"/>
    <mergeCell ref="P31:W31"/>
    <mergeCell ref="A32:W32"/>
    <mergeCell ref="A2:W2"/>
    <mergeCell ref="A3:W3"/>
    <mergeCell ref="A21:W21"/>
    <mergeCell ref="P17:W17"/>
    <mergeCell ref="B11:W11"/>
    <mergeCell ref="A10:W10"/>
    <mergeCell ref="P16:W16"/>
    <mergeCell ref="P18:W18"/>
    <mergeCell ref="P5:W5"/>
    <mergeCell ref="P6:W6"/>
    <mergeCell ref="P8:W8"/>
    <mergeCell ref="P9:W9"/>
    <mergeCell ref="P14:W14"/>
    <mergeCell ref="P13:W13"/>
    <mergeCell ref="P12:W12"/>
    <mergeCell ref="P24:W24"/>
    <mergeCell ref="P7:W7"/>
    <mergeCell ref="A4:W4"/>
    <mergeCell ref="A29:W29"/>
    <mergeCell ref="P28:W28"/>
    <mergeCell ref="A22:W22"/>
    <mergeCell ref="B23:W23"/>
    <mergeCell ref="P25:W25"/>
    <mergeCell ref="A19:W19"/>
    <mergeCell ref="P20:W20"/>
    <mergeCell ref="A15:W15"/>
  </mergeCells>
  <printOptions gridLines="1"/>
  <pageMargins left="0.1" right="0.1" top="0.1" bottom="0.1" header="0.3" footer="0.3"/>
  <pageSetup scale="4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Z83"/>
  <sheetViews>
    <sheetView zoomScale="85" zoomScaleNormal="85" workbookViewId="0">
      <pane ySplit="1" topLeftCell="A44" activePane="bottomLeft" state="frozen"/>
      <selection activeCell="C1" sqref="C1"/>
      <selection pane="bottomLeft" activeCell="A19" sqref="A19:W19"/>
    </sheetView>
  </sheetViews>
  <sheetFormatPr defaultRowHeight="12.75" x14ac:dyDescent="0.2"/>
  <cols>
    <col min="1" max="1" width="3.5703125" customWidth="1"/>
    <col min="2" max="2" width="4.140625" style="91" customWidth="1"/>
    <col min="3" max="3" width="17.85546875" style="91" bestFit="1" customWidth="1"/>
    <col min="4" max="4" width="7.5703125" style="91" customWidth="1"/>
    <col min="5" max="5" width="6.85546875" style="91" bestFit="1" customWidth="1"/>
    <col min="6" max="6" width="6.140625" style="91" bestFit="1" customWidth="1"/>
    <col min="7" max="7" width="6.42578125" bestFit="1" customWidth="1"/>
    <col min="8" max="8" width="7.85546875" style="4" bestFit="1" customWidth="1"/>
    <col min="9" max="9" width="7.42578125" style="4" bestFit="1" customWidth="1"/>
    <col min="10" max="10" width="11.140625" bestFit="1" customWidth="1"/>
    <col min="11" max="11" width="4" bestFit="1" customWidth="1"/>
    <col min="12" max="12" width="6.5703125" bestFit="1" customWidth="1"/>
    <col min="13" max="13" width="15.7109375" bestFit="1" customWidth="1"/>
    <col min="14" max="14" width="10.5703125" style="91" bestFit="1" customWidth="1"/>
    <col min="15" max="15" width="7.140625" style="91" bestFit="1" customWidth="1"/>
    <col min="16" max="16" width="16" style="91" bestFit="1" customWidth="1"/>
    <col min="17" max="17" width="21" style="91" customWidth="1"/>
    <col min="18" max="18" width="5.7109375" style="91" bestFit="1" customWidth="1"/>
    <col min="19" max="19" width="42.28515625" style="91" customWidth="1"/>
    <col min="20" max="20" width="10.28515625" style="91" bestFit="1" customWidth="1"/>
    <col min="21" max="21" width="14.140625" style="91" bestFit="1" customWidth="1"/>
    <col min="22" max="22" width="34" style="91" customWidth="1"/>
    <col min="23" max="23" width="4" style="91" customWidth="1"/>
    <col min="24" max="24" width="18.5703125" customWidth="1"/>
    <col min="25" max="25" width="18.140625" customWidth="1"/>
  </cols>
  <sheetData>
    <row r="1" spans="1:26" s="91" customFormat="1" ht="13.5" thickBot="1" x14ac:dyDescent="0.25">
      <c r="B1" s="62" t="s">
        <v>4</v>
      </c>
      <c r="C1" s="36" t="s">
        <v>5</v>
      </c>
      <c r="D1" s="61" t="s">
        <v>635</v>
      </c>
      <c r="E1" s="36" t="s">
        <v>8</v>
      </c>
      <c r="F1" s="36" t="s">
        <v>6</v>
      </c>
      <c r="G1" s="36" t="s">
        <v>9</v>
      </c>
      <c r="H1" s="63" t="s">
        <v>10</v>
      </c>
      <c r="I1" s="63" t="s">
        <v>11</v>
      </c>
      <c r="J1" s="36" t="s">
        <v>12</v>
      </c>
      <c r="K1" s="61" t="s">
        <v>7</v>
      </c>
      <c r="L1" s="36" t="s">
        <v>13</v>
      </c>
      <c r="M1" s="36" t="s">
        <v>16</v>
      </c>
      <c r="N1" s="36" t="s">
        <v>36</v>
      </c>
      <c r="O1" s="64">
        <v>8100</v>
      </c>
      <c r="P1" s="62"/>
      <c r="Q1" s="36"/>
      <c r="R1" s="61"/>
      <c r="S1" s="36"/>
      <c r="T1" s="36"/>
      <c r="U1" s="36"/>
      <c r="V1" s="36"/>
      <c r="W1" s="64"/>
    </row>
    <row r="2" spans="1:26" s="91" customFormat="1" ht="24" thickBot="1" x14ac:dyDescent="0.25">
      <c r="A2" s="324" t="s">
        <v>591</v>
      </c>
      <c r="B2" s="325"/>
      <c r="C2" s="325"/>
      <c r="D2" s="325"/>
      <c r="E2" s="325"/>
      <c r="F2" s="325"/>
      <c r="G2" s="325"/>
      <c r="H2" s="325"/>
      <c r="I2" s="325"/>
      <c r="J2" s="325"/>
      <c r="K2" s="325"/>
      <c r="L2" s="325"/>
      <c r="M2" s="325"/>
      <c r="N2" s="325"/>
      <c r="O2" s="325"/>
      <c r="P2" s="325"/>
      <c r="Q2" s="325"/>
      <c r="R2" s="325"/>
      <c r="S2" s="325"/>
      <c r="T2" s="325"/>
      <c r="U2" s="325"/>
      <c r="V2" s="325"/>
      <c r="W2" s="356"/>
      <c r="Z2" s="7" t="s">
        <v>479</v>
      </c>
    </row>
    <row r="3" spans="1:26" s="91" customFormat="1" ht="30" customHeight="1" thickBot="1" x14ac:dyDescent="0.25">
      <c r="A3" s="328" t="s">
        <v>703</v>
      </c>
      <c r="B3" s="329"/>
      <c r="C3" s="329"/>
      <c r="D3" s="329"/>
      <c r="E3" s="329"/>
      <c r="F3" s="329"/>
      <c r="G3" s="329"/>
      <c r="H3" s="329"/>
      <c r="I3" s="329"/>
      <c r="J3" s="329"/>
      <c r="K3" s="329"/>
      <c r="L3" s="329"/>
      <c r="M3" s="329"/>
      <c r="N3" s="329"/>
      <c r="O3" s="329"/>
      <c r="P3" s="329"/>
      <c r="Q3" s="329"/>
      <c r="R3" s="329"/>
      <c r="S3" s="329"/>
      <c r="T3" s="329"/>
      <c r="U3" s="329"/>
      <c r="V3" s="329"/>
      <c r="W3" s="330"/>
      <c r="Z3" s="7" t="s">
        <v>479</v>
      </c>
    </row>
    <row r="4" spans="1:26" s="91" customFormat="1" ht="18.75" thickBot="1" x14ac:dyDescent="0.3">
      <c r="A4" s="310" t="s">
        <v>246</v>
      </c>
      <c r="B4" s="311"/>
      <c r="C4" s="311"/>
      <c r="D4" s="311"/>
      <c r="E4" s="311"/>
      <c r="F4" s="311"/>
      <c r="G4" s="311"/>
      <c r="H4" s="311"/>
      <c r="I4" s="311"/>
      <c r="J4" s="311"/>
      <c r="K4" s="311"/>
      <c r="L4" s="311"/>
      <c r="M4" s="311"/>
      <c r="N4" s="311"/>
      <c r="O4" s="311"/>
      <c r="P4" s="311"/>
      <c r="Q4" s="311"/>
      <c r="R4" s="311"/>
      <c r="S4" s="311"/>
      <c r="T4" s="311"/>
      <c r="U4" s="311"/>
      <c r="V4" s="311"/>
      <c r="W4" s="312"/>
      <c r="Z4" s="7"/>
    </row>
    <row r="5" spans="1:26" s="91" customFormat="1" ht="13.5" thickBot="1" x14ac:dyDescent="0.25">
      <c r="A5" s="107"/>
      <c r="B5" s="73">
        <v>83</v>
      </c>
      <c r="C5" s="73" t="s">
        <v>356</v>
      </c>
      <c r="D5" s="74" t="s">
        <v>527</v>
      </c>
      <c r="E5" s="74" t="s">
        <v>357</v>
      </c>
      <c r="F5" s="74">
        <v>1146</v>
      </c>
      <c r="G5" s="74">
        <v>25820</v>
      </c>
      <c r="H5" s="75">
        <v>79059</v>
      </c>
      <c r="I5" s="75">
        <v>10111</v>
      </c>
      <c r="J5" s="75" t="s">
        <v>358</v>
      </c>
      <c r="K5" s="75" t="s">
        <v>258</v>
      </c>
      <c r="L5" s="75" t="s">
        <v>359</v>
      </c>
      <c r="M5" s="75" t="s">
        <v>360</v>
      </c>
      <c r="N5" s="76" t="s">
        <v>361</v>
      </c>
      <c r="O5" s="42" t="s">
        <v>246</v>
      </c>
      <c r="P5" s="307" t="s">
        <v>619</v>
      </c>
      <c r="Q5" s="308"/>
      <c r="R5" s="308"/>
      <c r="S5" s="308"/>
      <c r="T5" s="308"/>
      <c r="U5" s="308"/>
      <c r="V5" s="308"/>
      <c r="W5" s="309"/>
      <c r="Z5" s="7"/>
    </row>
    <row r="6" spans="1:26" s="91" customFormat="1" ht="18.75" thickBot="1" x14ac:dyDescent="0.3">
      <c r="A6" s="310" t="s">
        <v>616</v>
      </c>
      <c r="B6" s="311"/>
      <c r="C6" s="311"/>
      <c r="D6" s="311"/>
      <c r="E6" s="311"/>
      <c r="F6" s="311"/>
      <c r="G6" s="311"/>
      <c r="H6" s="311"/>
      <c r="I6" s="311"/>
      <c r="J6" s="311"/>
      <c r="K6" s="311"/>
      <c r="L6" s="311"/>
      <c r="M6" s="311"/>
      <c r="N6" s="311"/>
      <c r="O6" s="311"/>
      <c r="P6" s="311"/>
      <c r="Q6" s="311"/>
      <c r="R6" s="311"/>
      <c r="S6" s="311"/>
      <c r="T6" s="311"/>
      <c r="U6" s="311"/>
      <c r="V6" s="311"/>
      <c r="W6" s="312"/>
    </row>
    <row r="7" spans="1:26" s="91" customFormat="1" ht="15" customHeight="1" thickBot="1" x14ac:dyDescent="0.25">
      <c r="A7" s="112"/>
      <c r="B7" s="73">
        <v>23</v>
      </c>
      <c r="C7" s="73" t="s">
        <v>163</v>
      </c>
      <c r="D7" s="74" t="s">
        <v>447</v>
      </c>
      <c r="E7" s="74" t="s">
        <v>164</v>
      </c>
      <c r="F7" s="81">
        <v>1145</v>
      </c>
      <c r="G7" s="81">
        <v>29030</v>
      </c>
      <c r="H7" s="79">
        <v>72303</v>
      </c>
      <c r="I7" s="79">
        <v>12987</v>
      </c>
      <c r="J7" s="75" t="s">
        <v>165</v>
      </c>
      <c r="K7" s="79" t="s">
        <v>258</v>
      </c>
      <c r="L7" s="79" t="s">
        <v>617</v>
      </c>
      <c r="M7" s="75" t="s">
        <v>166</v>
      </c>
      <c r="N7" s="76" t="s">
        <v>167</v>
      </c>
      <c r="O7" s="42">
        <v>20</v>
      </c>
      <c r="P7" s="307" t="s">
        <v>618</v>
      </c>
      <c r="Q7" s="308"/>
      <c r="R7" s="308"/>
      <c r="S7" s="308"/>
      <c r="T7" s="308"/>
      <c r="U7" s="308"/>
      <c r="V7" s="308"/>
      <c r="W7" s="309"/>
    </row>
    <row r="8" spans="1:26" s="91" customFormat="1" ht="18.75" thickBot="1" x14ac:dyDescent="0.3">
      <c r="A8" s="310" t="s">
        <v>704</v>
      </c>
      <c r="B8" s="311"/>
      <c r="C8" s="311"/>
      <c r="D8" s="311"/>
      <c r="E8" s="311"/>
      <c r="F8" s="311"/>
      <c r="G8" s="311"/>
      <c r="H8" s="311"/>
      <c r="I8" s="311"/>
      <c r="J8" s="311"/>
      <c r="K8" s="311"/>
      <c r="L8" s="311"/>
      <c r="M8" s="311"/>
      <c r="N8" s="311"/>
      <c r="O8" s="311"/>
      <c r="P8" s="311"/>
      <c r="Q8" s="311"/>
      <c r="R8" s="311"/>
      <c r="S8" s="311"/>
      <c r="T8" s="311"/>
      <c r="U8" s="311"/>
      <c r="V8" s="311"/>
      <c r="W8" s="312"/>
    </row>
    <row r="9" spans="1:26" s="91" customFormat="1" ht="15" customHeight="1" thickBot="1" x14ac:dyDescent="0.25">
      <c r="A9" s="112"/>
      <c r="B9" s="73">
        <v>104</v>
      </c>
      <c r="C9" s="73" t="s">
        <v>487</v>
      </c>
      <c r="D9" s="74" t="s">
        <v>558</v>
      </c>
      <c r="E9" s="74" t="s">
        <v>488</v>
      </c>
      <c r="F9" s="74">
        <v>872</v>
      </c>
      <c r="G9" s="74">
        <v>25238</v>
      </c>
      <c r="H9" s="75">
        <v>94299</v>
      </c>
      <c r="I9" s="75">
        <v>14081</v>
      </c>
      <c r="J9" s="75" t="s">
        <v>489</v>
      </c>
      <c r="K9" s="75" t="s">
        <v>7</v>
      </c>
      <c r="L9" s="75" t="s">
        <v>490</v>
      </c>
      <c r="M9" s="75" t="s">
        <v>491</v>
      </c>
      <c r="N9" s="76" t="s">
        <v>492</v>
      </c>
      <c r="O9" s="42" t="s">
        <v>497</v>
      </c>
      <c r="P9" s="307" t="s">
        <v>701</v>
      </c>
      <c r="Q9" s="308"/>
      <c r="R9" s="308"/>
      <c r="S9" s="308"/>
      <c r="T9" s="308"/>
      <c r="U9" s="308"/>
      <c r="V9" s="308"/>
      <c r="W9" s="309"/>
    </row>
    <row r="10" spans="1:26" s="91" customFormat="1" ht="18.75" thickBot="1" x14ac:dyDescent="0.3">
      <c r="A10" s="310" t="s">
        <v>702</v>
      </c>
      <c r="B10" s="311"/>
      <c r="C10" s="311"/>
      <c r="D10" s="311"/>
      <c r="E10" s="311"/>
      <c r="F10" s="311"/>
      <c r="G10" s="311"/>
      <c r="H10" s="311"/>
      <c r="I10" s="311"/>
      <c r="J10" s="311"/>
      <c r="K10" s="311"/>
      <c r="L10" s="311"/>
      <c r="M10" s="311"/>
      <c r="N10" s="311"/>
      <c r="O10" s="311"/>
      <c r="P10" s="311"/>
      <c r="Q10" s="311"/>
      <c r="R10" s="311"/>
      <c r="S10" s="311"/>
      <c r="T10" s="311"/>
      <c r="U10" s="311"/>
      <c r="V10" s="311"/>
      <c r="W10" s="312"/>
    </row>
    <row r="11" spans="1:26" s="91" customFormat="1" ht="15.75" thickBot="1" x14ac:dyDescent="0.25">
      <c r="A11" s="100"/>
      <c r="B11" s="316"/>
      <c r="C11" s="316"/>
      <c r="D11" s="316"/>
      <c r="E11" s="316"/>
      <c r="F11" s="316"/>
      <c r="G11" s="316"/>
      <c r="H11" s="316"/>
      <c r="I11" s="316"/>
      <c r="J11" s="316"/>
      <c r="K11" s="316"/>
      <c r="L11" s="316"/>
      <c r="M11" s="316"/>
      <c r="N11" s="316"/>
      <c r="O11" s="316"/>
      <c r="P11" s="316"/>
      <c r="Q11" s="316"/>
      <c r="R11" s="316"/>
      <c r="S11" s="316"/>
      <c r="T11" s="316"/>
      <c r="U11" s="316"/>
      <c r="V11" s="316"/>
      <c r="W11" s="317"/>
    </row>
    <row r="12" spans="1:26" s="91" customFormat="1" ht="15" customHeight="1" thickBot="1" x14ac:dyDescent="0.25">
      <c r="A12" s="112"/>
      <c r="B12" s="80">
        <v>34</v>
      </c>
      <c r="C12" s="80" t="s">
        <v>120</v>
      </c>
      <c r="D12" s="74" t="s">
        <v>527</v>
      </c>
      <c r="E12" s="81" t="s">
        <v>122</v>
      </c>
      <c r="F12" s="81">
        <v>715</v>
      </c>
      <c r="G12" s="81">
        <v>23818</v>
      </c>
      <c r="H12" s="79">
        <v>102308</v>
      </c>
      <c r="I12" s="79">
        <v>13263</v>
      </c>
      <c r="J12" s="79" t="s">
        <v>124</v>
      </c>
      <c r="K12" s="75" t="s">
        <v>7</v>
      </c>
      <c r="L12" s="75" t="s">
        <v>537</v>
      </c>
      <c r="M12" s="79" t="s">
        <v>121</v>
      </c>
      <c r="N12" s="82" t="s">
        <v>123</v>
      </c>
      <c r="O12" s="42" t="s">
        <v>531</v>
      </c>
      <c r="P12" s="307" t="s">
        <v>615</v>
      </c>
      <c r="Q12" s="308"/>
      <c r="R12" s="308"/>
      <c r="S12" s="308"/>
      <c r="T12" s="308"/>
      <c r="U12" s="308"/>
      <c r="V12" s="308"/>
      <c r="W12" s="309"/>
    </row>
    <row r="13" spans="1:26" s="91" customFormat="1" ht="15" customHeight="1" thickBot="1" x14ac:dyDescent="0.25">
      <c r="A13" s="112"/>
      <c r="B13" s="87">
        <v>2</v>
      </c>
      <c r="C13" s="48" t="s">
        <v>232</v>
      </c>
      <c r="D13" s="49" t="s">
        <v>447</v>
      </c>
      <c r="E13" s="49" t="s">
        <v>233</v>
      </c>
      <c r="F13" s="88">
        <v>771</v>
      </c>
      <c r="G13" s="88">
        <v>24631</v>
      </c>
      <c r="H13" s="89">
        <v>101261</v>
      </c>
      <c r="I13" s="89">
        <v>15294</v>
      </c>
      <c r="J13" s="50" t="s">
        <v>234</v>
      </c>
      <c r="K13" s="69" t="s">
        <v>258</v>
      </c>
      <c r="L13" s="50" t="s">
        <v>536</v>
      </c>
      <c r="M13" s="50" t="s">
        <v>235</v>
      </c>
      <c r="N13" s="51">
        <v>1352</v>
      </c>
      <c r="O13" s="56" t="s">
        <v>531</v>
      </c>
      <c r="P13" s="333" t="s">
        <v>538</v>
      </c>
      <c r="Q13" s="331"/>
      <c r="R13" s="331"/>
      <c r="S13" s="331"/>
      <c r="T13" s="331"/>
      <c r="U13" s="331"/>
      <c r="V13" s="331"/>
      <c r="W13" s="332"/>
    </row>
    <row r="14" spans="1:26" s="91" customFormat="1" ht="15" customHeight="1" thickBot="1" x14ac:dyDescent="0.25">
      <c r="A14" s="118"/>
      <c r="B14" s="80">
        <v>58</v>
      </c>
      <c r="C14" s="80" t="s">
        <v>31</v>
      </c>
      <c r="D14" s="74" t="s">
        <v>527</v>
      </c>
      <c r="E14" s="81" t="s">
        <v>29</v>
      </c>
      <c r="F14" s="81">
        <v>942</v>
      </c>
      <c r="G14" s="81">
        <v>27062</v>
      </c>
      <c r="H14" s="79">
        <v>94706</v>
      </c>
      <c r="I14" s="79">
        <v>15021</v>
      </c>
      <c r="J14" s="79" t="s">
        <v>30</v>
      </c>
      <c r="K14" s="75" t="s">
        <v>258</v>
      </c>
      <c r="L14" s="75" t="s">
        <v>529</v>
      </c>
      <c r="M14" s="79" t="s">
        <v>27</v>
      </c>
      <c r="N14" s="82" t="s">
        <v>28</v>
      </c>
      <c r="O14" s="42" t="s">
        <v>531</v>
      </c>
      <c r="P14" s="307" t="s">
        <v>534</v>
      </c>
      <c r="Q14" s="308"/>
      <c r="R14" s="308"/>
      <c r="S14" s="308"/>
      <c r="T14" s="308"/>
      <c r="U14" s="308"/>
      <c r="V14" s="308"/>
      <c r="W14" s="309"/>
    </row>
    <row r="15" spans="1:26" s="91" customFormat="1" ht="15" customHeight="1" thickBot="1" x14ac:dyDescent="0.25">
      <c r="A15" s="119"/>
      <c r="B15" s="65">
        <v>46</v>
      </c>
      <c r="C15" s="65" t="s">
        <v>82</v>
      </c>
      <c r="D15" s="66" t="s">
        <v>528</v>
      </c>
      <c r="E15" s="67" t="s">
        <v>29</v>
      </c>
      <c r="F15" s="67"/>
      <c r="G15" s="67">
        <v>27062</v>
      </c>
      <c r="H15" s="68">
        <v>90037</v>
      </c>
      <c r="I15" s="68">
        <v>14133</v>
      </c>
      <c r="J15" s="68" t="s">
        <v>30</v>
      </c>
      <c r="K15" s="69" t="s">
        <v>258</v>
      </c>
      <c r="L15" s="68"/>
      <c r="M15" s="68" t="s">
        <v>83</v>
      </c>
      <c r="N15" s="94" t="s">
        <v>84</v>
      </c>
      <c r="O15" s="42" t="s">
        <v>531</v>
      </c>
      <c r="P15" s="307" t="s">
        <v>532</v>
      </c>
      <c r="Q15" s="308"/>
      <c r="R15" s="308"/>
      <c r="S15" s="308"/>
      <c r="T15" s="308"/>
      <c r="U15" s="308"/>
      <c r="V15" s="308"/>
      <c r="W15" s="309"/>
    </row>
    <row r="16" spans="1:26" s="91" customFormat="1" ht="18.75" thickBot="1" x14ac:dyDescent="0.3">
      <c r="A16" s="310" t="s">
        <v>524</v>
      </c>
      <c r="B16" s="314"/>
      <c r="C16" s="314"/>
      <c r="D16" s="314"/>
      <c r="E16" s="314"/>
      <c r="F16" s="314"/>
      <c r="G16" s="314"/>
      <c r="H16" s="314"/>
      <c r="I16" s="314"/>
      <c r="J16" s="314"/>
      <c r="K16" s="314"/>
      <c r="L16" s="314"/>
      <c r="M16" s="314"/>
      <c r="N16" s="314"/>
      <c r="O16" s="314"/>
      <c r="P16" s="314"/>
      <c r="Q16" s="314"/>
      <c r="R16" s="314"/>
      <c r="S16" s="314"/>
      <c r="T16" s="314"/>
      <c r="U16" s="314"/>
      <c r="V16" s="314"/>
      <c r="W16" s="315"/>
    </row>
    <row r="17" spans="1:25" s="91" customFormat="1" ht="15.75" thickBot="1" x14ac:dyDescent="0.25">
      <c r="A17" s="100"/>
      <c r="B17" s="316"/>
      <c r="C17" s="316"/>
      <c r="D17" s="316"/>
      <c r="E17" s="316"/>
      <c r="F17" s="316"/>
      <c r="G17" s="316"/>
      <c r="H17" s="316"/>
      <c r="I17" s="316"/>
      <c r="J17" s="316"/>
      <c r="K17" s="316"/>
      <c r="L17" s="316"/>
      <c r="M17" s="316"/>
      <c r="N17" s="316"/>
      <c r="O17" s="316"/>
      <c r="P17" s="316"/>
      <c r="Q17" s="316"/>
      <c r="R17" s="316"/>
      <c r="S17" s="316"/>
      <c r="T17" s="316"/>
      <c r="U17" s="316"/>
      <c r="V17" s="316"/>
      <c r="W17" s="317"/>
    </row>
    <row r="18" spans="1:25" s="91" customFormat="1" ht="16.5" customHeight="1" thickBot="1" x14ac:dyDescent="0.25">
      <c r="A18" s="102"/>
      <c r="B18" s="73">
        <v>109</v>
      </c>
      <c r="C18" s="73" t="s">
        <v>525</v>
      </c>
      <c r="D18" s="74" t="s">
        <v>526</v>
      </c>
      <c r="E18" s="74" t="s">
        <v>29</v>
      </c>
      <c r="F18" s="74">
        <v>942</v>
      </c>
      <c r="G18" s="74">
        <v>27062</v>
      </c>
      <c r="H18" s="79">
        <v>112037</v>
      </c>
      <c r="I18" s="79">
        <v>18591</v>
      </c>
      <c r="J18" s="75" t="s">
        <v>539</v>
      </c>
      <c r="K18" s="75" t="s">
        <v>7</v>
      </c>
      <c r="L18" s="75" t="s">
        <v>529</v>
      </c>
      <c r="M18" s="75" t="s">
        <v>535</v>
      </c>
      <c r="N18" s="76" t="s">
        <v>530</v>
      </c>
      <c r="O18" s="42" t="s">
        <v>531</v>
      </c>
      <c r="P18" s="307" t="s">
        <v>532</v>
      </c>
      <c r="Q18" s="308"/>
      <c r="R18" s="308"/>
      <c r="S18" s="308"/>
      <c r="T18" s="308"/>
      <c r="U18" s="308"/>
      <c r="V18" s="308"/>
      <c r="W18" s="309"/>
    </row>
    <row r="19" spans="1:25" s="91" customFormat="1" ht="18.75" thickBot="1" x14ac:dyDescent="0.3">
      <c r="A19" s="313" t="s">
        <v>579</v>
      </c>
      <c r="B19" s="314"/>
      <c r="C19" s="314"/>
      <c r="D19" s="314"/>
      <c r="E19" s="314"/>
      <c r="F19" s="314"/>
      <c r="G19" s="314"/>
      <c r="H19" s="314"/>
      <c r="I19" s="314"/>
      <c r="J19" s="314"/>
      <c r="K19" s="314"/>
      <c r="L19" s="314"/>
      <c r="M19" s="314"/>
      <c r="N19" s="314"/>
      <c r="O19" s="314"/>
      <c r="P19" s="314"/>
      <c r="Q19" s="314"/>
      <c r="R19" s="314"/>
      <c r="S19" s="314"/>
      <c r="T19" s="314"/>
      <c r="U19" s="314"/>
      <c r="V19" s="314"/>
      <c r="W19" s="315"/>
    </row>
    <row r="20" spans="1:25" s="91" customFormat="1" ht="15" customHeight="1" thickBot="1" x14ac:dyDescent="0.25">
      <c r="A20" s="102"/>
      <c r="B20" s="80">
        <v>80</v>
      </c>
      <c r="C20" s="80" t="s">
        <v>349</v>
      </c>
      <c r="D20" s="74" t="s">
        <v>560</v>
      </c>
      <c r="E20" s="81" t="s">
        <v>350</v>
      </c>
      <c r="F20" s="81">
        <v>1203</v>
      </c>
      <c r="G20" s="81">
        <v>29730</v>
      </c>
      <c r="H20" s="79">
        <v>81046</v>
      </c>
      <c r="I20" s="79">
        <v>15690</v>
      </c>
      <c r="J20" s="164" t="s">
        <v>351</v>
      </c>
      <c r="K20" s="75" t="s">
        <v>258</v>
      </c>
      <c r="L20" s="75" t="s">
        <v>352</v>
      </c>
      <c r="M20" s="75" t="s">
        <v>353</v>
      </c>
      <c r="N20" s="90" t="s">
        <v>354</v>
      </c>
      <c r="O20" s="42" t="s">
        <v>246</v>
      </c>
      <c r="P20" s="307" t="s">
        <v>763</v>
      </c>
      <c r="Q20" s="308"/>
      <c r="R20" s="308"/>
      <c r="S20" s="308"/>
      <c r="T20" s="308"/>
      <c r="U20" s="308"/>
      <c r="V20" s="308"/>
      <c r="W20" s="309"/>
    </row>
    <row r="21" spans="1:25" s="91" customFormat="1" ht="15" customHeight="1" x14ac:dyDescent="0.2"/>
    <row r="22" spans="1:25" s="91" customFormat="1" ht="15" customHeight="1" thickBot="1" x14ac:dyDescent="0.25">
      <c r="A22" s="120"/>
      <c r="B22" s="8"/>
      <c r="C22" s="8"/>
      <c r="D22" s="8"/>
      <c r="E22" s="8"/>
      <c r="F22" s="8"/>
      <c r="G22" s="8"/>
      <c r="H22" s="6"/>
      <c r="I22" s="6"/>
      <c r="J22" s="6"/>
      <c r="K22" s="6"/>
      <c r="L22" s="6"/>
      <c r="M22" s="6"/>
      <c r="N22" s="24"/>
      <c r="O22" s="121"/>
      <c r="P22" s="122"/>
      <c r="Q22" s="122"/>
      <c r="R22" s="122"/>
      <c r="S22" s="122"/>
      <c r="T22" s="122"/>
      <c r="U22" s="122"/>
      <c r="V22" s="122"/>
      <c r="W22" s="122"/>
      <c r="X22" s="123"/>
      <c r="Y22" s="123"/>
    </row>
    <row r="23" spans="1:25" s="91" customFormat="1" ht="15" customHeight="1" thickBot="1" x14ac:dyDescent="0.25">
      <c r="B23" s="20">
        <v>1</v>
      </c>
      <c r="C23" s="26" t="s">
        <v>236</v>
      </c>
      <c r="D23" s="27" t="s">
        <v>526</v>
      </c>
      <c r="E23" s="27" t="s">
        <v>71</v>
      </c>
      <c r="F23" s="21"/>
      <c r="G23" s="21">
        <v>27154</v>
      </c>
      <c r="H23" s="22">
        <v>84271</v>
      </c>
      <c r="I23" s="22">
        <v>14366</v>
      </c>
      <c r="J23" s="28" t="s">
        <v>72</v>
      </c>
      <c r="K23" s="22"/>
      <c r="L23" s="22"/>
      <c r="M23" s="28" t="s">
        <v>237</v>
      </c>
      <c r="N23" s="28" t="s">
        <v>217</v>
      </c>
      <c r="O23" s="13" t="s">
        <v>277</v>
      </c>
      <c r="P23" s="15" t="s">
        <v>265</v>
      </c>
      <c r="Q23" s="13" t="s">
        <v>243</v>
      </c>
      <c r="R23" s="13"/>
      <c r="S23" s="15"/>
      <c r="T23" s="13"/>
      <c r="U23" s="29" t="s">
        <v>259</v>
      </c>
      <c r="V23" s="15" t="s">
        <v>238</v>
      </c>
      <c r="W23" s="13" t="s">
        <v>277</v>
      </c>
    </row>
    <row r="24" spans="1:25" s="7" customFormat="1" ht="15" customHeight="1" thickBot="1" x14ac:dyDescent="0.25">
      <c r="B24" s="73">
        <v>84</v>
      </c>
      <c r="C24" s="73" t="s">
        <v>364</v>
      </c>
      <c r="D24" s="74" t="s">
        <v>558</v>
      </c>
      <c r="E24" s="74" t="s">
        <v>365</v>
      </c>
      <c r="F24" s="74">
        <v>1178</v>
      </c>
      <c r="G24" s="74">
        <v>28853</v>
      </c>
      <c r="H24" s="75">
        <v>73952</v>
      </c>
      <c r="I24" s="75">
        <v>8862</v>
      </c>
      <c r="J24" s="75" t="s">
        <v>368</v>
      </c>
      <c r="K24" s="75" t="s">
        <v>258</v>
      </c>
      <c r="L24" s="75" t="s">
        <v>449</v>
      </c>
      <c r="M24" s="75" t="s">
        <v>366</v>
      </c>
      <c r="N24" s="76" t="s">
        <v>367</v>
      </c>
      <c r="O24" s="42" t="s">
        <v>246</v>
      </c>
      <c r="P24" s="43" t="s">
        <v>247</v>
      </c>
      <c r="Q24" s="43" t="s">
        <v>486</v>
      </c>
      <c r="R24" s="42" t="s">
        <v>369</v>
      </c>
      <c r="S24" s="307" t="s">
        <v>450</v>
      </c>
      <c r="T24" s="308"/>
      <c r="U24" s="308"/>
      <c r="V24" s="308"/>
      <c r="W24" s="309"/>
    </row>
    <row r="25" spans="1:25" s="91" customFormat="1" ht="15" customHeight="1" thickBot="1" x14ac:dyDescent="0.25">
      <c r="B25" s="65">
        <v>49</v>
      </c>
      <c r="C25" s="65" t="s">
        <v>73</v>
      </c>
      <c r="D25" s="67" t="s">
        <v>559</v>
      </c>
      <c r="E25" s="67" t="s">
        <v>74</v>
      </c>
      <c r="F25" s="67"/>
      <c r="G25" s="67">
        <v>29219</v>
      </c>
      <c r="H25" s="68">
        <v>45773</v>
      </c>
      <c r="I25" s="68">
        <v>7741</v>
      </c>
      <c r="J25" s="68" t="s">
        <v>76</v>
      </c>
      <c r="K25" s="75" t="s">
        <v>258</v>
      </c>
      <c r="L25" s="69" t="s">
        <v>494</v>
      </c>
      <c r="M25" s="68" t="s">
        <v>75</v>
      </c>
      <c r="N25" s="94" t="s">
        <v>79</v>
      </c>
      <c r="O25" s="56" t="s">
        <v>496</v>
      </c>
      <c r="P25" s="71" t="s">
        <v>247</v>
      </c>
      <c r="Q25" s="43" t="s">
        <v>493</v>
      </c>
      <c r="R25" s="42" t="s">
        <v>336</v>
      </c>
      <c r="S25" s="307" t="s">
        <v>495</v>
      </c>
      <c r="T25" s="308"/>
      <c r="U25" s="308"/>
      <c r="V25" s="308"/>
      <c r="W25" s="309"/>
    </row>
    <row r="26" spans="1:25" s="91" customFormat="1" ht="30" customHeight="1" thickBot="1" x14ac:dyDescent="0.25">
      <c r="A26" s="328" t="s">
        <v>669</v>
      </c>
      <c r="B26" s="329"/>
      <c r="C26" s="329"/>
      <c r="D26" s="329"/>
      <c r="E26" s="329"/>
      <c r="F26" s="329"/>
      <c r="G26" s="329"/>
      <c r="H26" s="329"/>
      <c r="I26" s="329"/>
      <c r="J26" s="329"/>
      <c r="K26" s="329"/>
      <c r="L26" s="329"/>
      <c r="M26" s="329"/>
      <c r="N26" s="329"/>
      <c r="O26" s="329"/>
      <c r="P26" s="329"/>
      <c r="Q26" s="329"/>
      <c r="R26" s="329"/>
      <c r="S26" s="329"/>
      <c r="T26" s="329"/>
      <c r="U26" s="329"/>
      <c r="V26" s="329"/>
      <c r="W26" s="330"/>
    </row>
    <row r="27" spans="1:25" s="91" customFormat="1" ht="18.75" thickBot="1" x14ac:dyDescent="0.3">
      <c r="A27" s="310" t="s">
        <v>246</v>
      </c>
      <c r="B27" s="314"/>
      <c r="C27" s="314"/>
      <c r="D27" s="314"/>
      <c r="E27" s="314"/>
      <c r="F27" s="314"/>
      <c r="G27" s="314"/>
      <c r="H27" s="314"/>
      <c r="I27" s="314"/>
      <c r="J27" s="314"/>
      <c r="K27" s="314"/>
      <c r="L27" s="314"/>
      <c r="M27" s="314"/>
      <c r="N27" s="314"/>
      <c r="O27" s="314"/>
      <c r="P27" s="314"/>
      <c r="Q27" s="314"/>
      <c r="R27" s="314"/>
      <c r="S27" s="314"/>
      <c r="T27" s="314"/>
      <c r="U27" s="314"/>
      <c r="V27" s="314"/>
      <c r="W27" s="315"/>
    </row>
    <row r="28" spans="1:25" s="7" customFormat="1" ht="15" customHeight="1" thickBot="1" x14ac:dyDescent="0.25">
      <c r="A28" s="159"/>
      <c r="B28" s="110">
        <v>92</v>
      </c>
      <c r="C28" s="110" t="s">
        <v>408</v>
      </c>
      <c r="D28" s="66" t="s">
        <v>15</v>
      </c>
      <c r="E28" s="66" t="s">
        <v>409</v>
      </c>
      <c r="F28" s="66">
        <v>959</v>
      </c>
      <c r="G28" s="66">
        <v>27090</v>
      </c>
      <c r="H28" s="69">
        <v>110524</v>
      </c>
      <c r="I28" s="69">
        <v>12640</v>
      </c>
      <c r="J28" s="69" t="s">
        <v>410</v>
      </c>
      <c r="K28" s="69" t="s">
        <v>258</v>
      </c>
      <c r="L28" s="69" t="s">
        <v>411</v>
      </c>
      <c r="M28" s="69" t="s">
        <v>131</v>
      </c>
      <c r="N28" s="70" t="s">
        <v>412</v>
      </c>
      <c r="O28" s="56" t="s">
        <v>246</v>
      </c>
      <c r="P28" s="333" t="s">
        <v>548</v>
      </c>
      <c r="Q28" s="331"/>
      <c r="R28" s="331"/>
      <c r="S28" s="331"/>
      <c r="T28" s="331"/>
      <c r="U28" s="331"/>
      <c r="V28" s="331"/>
      <c r="W28" s="332"/>
    </row>
    <row r="29" spans="1:25" s="91" customFormat="1" ht="15" customHeight="1" thickBot="1" x14ac:dyDescent="0.25">
      <c r="A29" s="160"/>
      <c r="B29" s="73">
        <v>100</v>
      </c>
      <c r="C29" s="73" t="s">
        <v>462</v>
      </c>
      <c r="D29" s="74" t="s">
        <v>15</v>
      </c>
      <c r="E29" s="74" t="s">
        <v>463</v>
      </c>
      <c r="F29" s="74">
        <v>1165</v>
      </c>
      <c r="G29" s="74">
        <v>29252</v>
      </c>
      <c r="H29" s="75">
        <v>75187</v>
      </c>
      <c r="I29" s="75">
        <v>13694</v>
      </c>
      <c r="J29" s="75" t="s">
        <v>468</v>
      </c>
      <c r="K29" s="75" t="s">
        <v>465</v>
      </c>
      <c r="L29" s="75" t="s">
        <v>464</v>
      </c>
      <c r="M29" s="75" t="s">
        <v>466</v>
      </c>
      <c r="N29" s="76" t="s">
        <v>467</v>
      </c>
      <c r="O29" s="42" t="s">
        <v>246</v>
      </c>
      <c r="P29" s="307" t="s">
        <v>549</v>
      </c>
      <c r="Q29" s="308"/>
      <c r="R29" s="308"/>
      <c r="S29" s="308"/>
      <c r="T29" s="308"/>
      <c r="U29" s="308"/>
      <c r="V29" s="308"/>
      <c r="W29" s="309"/>
    </row>
    <row r="30" spans="1:25" s="91" customFormat="1" ht="15" customHeight="1" thickBot="1" x14ac:dyDescent="0.25">
      <c r="A30" s="160"/>
      <c r="B30" s="80">
        <v>28</v>
      </c>
      <c r="C30" s="80" t="s">
        <v>148</v>
      </c>
      <c r="D30" s="74" t="s">
        <v>310</v>
      </c>
      <c r="E30" s="81" t="s">
        <v>151</v>
      </c>
      <c r="F30" s="81"/>
      <c r="G30" s="81">
        <v>24222</v>
      </c>
      <c r="H30" s="79">
        <v>101356</v>
      </c>
      <c r="I30" s="79">
        <v>12408</v>
      </c>
      <c r="J30" s="79" t="s">
        <v>152</v>
      </c>
      <c r="K30" s="79"/>
      <c r="L30" s="79"/>
      <c r="M30" s="79" t="s">
        <v>149</v>
      </c>
      <c r="N30" s="82" t="s">
        <v>150</v>
      </c>
      <c r="O30" s="42" t="s">
        <v>246</v>
      </c>
      <c r="P30" s="307" t="s">
        <v>764</v>
      </c>
      <c r="Q30" s="308"/>
      <c r="R30" s="308"/>
      <c r="S30" s="308"/>
      <c r="T30" s="308"/>
      <c r="U30" s="308"/>
      <c r="V30" s="308"/>
      <c r="W30" s="309"/>
    </row>
    <row r="31" spans="1:25" s="91" customFormat="1" ht="18.75" thickBot="1" x14ac:dyDescent="0.3">
      <c r="A31" s="313" t="s">
        <v>668</v>
      </c>
      <c r="B31" s="348"/>
      <c r="C31" s="348"/>
      <c r="D31" s="348"/>
      <c r="E31" s="348"/>
      <c r="F31" s="348"/>
      <c r="G31" s="348"/>
      <c r="H31" s="348"/>
      <c r="I31" s="348"/>
      <c r="J31" s="348"/>
      <c r="K31" s="348"/>
      <c r="L31" s="348"/>
      <c r="M31" s="348"/>
      <c r="N31" s="348"/>
      <c r="O31" s="348"/>
      <c r="P31" s="348"/>
      <c r="Q31" s="348"/>
      <c r="R31" s="348"/>
      <c r="S31" s="348"/>
      <c r="T31" s="348"/>
      <c r="U31" s="348"/>
      <c r="V31" s="348"/>
      <c r="W31" s="349"/>
    </row>
    <row r="32" spans="1:25" s="91" customFormat="1" ht="15" customHeight="1" x14ac:dyDescent="0.2">
      <c r="A32" s="100"/>
      <c r="B32" s="316" t="s">
        <v>550</v>
      </c>
      <c r="C32" s="316"/>
      <c r="D32" s="316"/>
      <c r="E32" s="316"/>
      <c r="F32" s="316"/>
      <c r="G32" s="316"/>
      <c r="H32" s="316"/>
      <c r="I32" s="316"/>
      <c r="J32" s="316"/>
      <c r="K32" s="316"/>
      <c r="L32" s="316"/>
      <c r="M32" s="316"/>
      <c r="N32" s="316"/>
      <c r="O32" s="316"/>
      <c r="P32" s="316"/>
      <c r="Q32" s="316"/>
      <c r="R32" s="316"/>
      <c r="S32" s="316"/>
      <c r="T32" s="316"/>
      <c r="U32" s="316"/>
      <c r="V32" s="316"/>
      <c r="W32" s="317"/>
    </row>
    <row r="33" spans="1:26" s="91" customFormat="1" ht="15" customHeight="1" thickBot="1" x14ac:dyDescent="0.3">
      <c r="A33" s="101"/>
      <c r="B33" s="350" t="s">
        <v>551</v>
      </c>
      <c r="C33" s="350"/>
      <c r="D33" s="350"/>
      <c r="E33" s="350"/>
      <c r="F33" s="350"/>
      <c r="G33" s="350"/>
      <c r="H33" s="350"/>
      <c r="I33" s="350"/>
      <c r="J33" s="350"/>
      <c r="K33" s="350"/>
      <c r="L33" s="350"/>
      <c r="M33" s="350"/>
      <c r="N33" s="350"/>
      <c r="O33" s="350"/>
      <c r="P33" s="350"/>
      <c r="Q33" s="350"/>
      <c r="R33" s="350"/>
      <c r="S33" s="350"/>
      <c r="T33" s="350"/>
      <c r="U33" s="350"/>
      <c r="V33" s="350"/>
      <c r="W33" s="351"/>
    </row>
    <row r="34" spans="1:26" s="91" customFormat="1" ht="15" customHeight="1" thickBot="1" x14ac:dyDescent="0.25">
      <c r="A34" s="102"/>
      <c r="B34" s="142"/>
      <c r="C34" s="143"/>
      <c r="D34" s="143"/>
      <c r="E34" s="143"/>
      <c r="F34" s="144"/>
      <c r="G34" s="144"/>
      <c r="H34" s="145"/>
      <c r="I34" s="145"/>
      <c r="J34" s="146"/>
      <c r="K34" s="146"/>
      <c r="L34" s="146"/>
      <c r="M34" s="146"/>
      <c r="N34" s="147"/>
      <c r="O34" s="148"/>
      <c r="P34" s="352"/>
      <c r="Q34" s="352"/>
      <c r="R34" s="352"/>
      <c r="S34" s="352"/>
      <c r="T34" s="352"/>
      <c r="U34" s="352"/>
      <c r="V34" s="352"/>
      <c r="W34" s="353"/>
    </row>
    <row r="35" spans="1:26" s="91" customFormat="1" ht="15" customHeight="1" thickBot="1" x14ac:dyDescent="0.3">
      <c r="A35" s="101"/>
      <c r="B35" s="350" t="s">
        <v>552</v>
      </c>
      <c r="C35" s="350"/>
      <c r="D35" s="350"/>
      <c r="E35" s="350"/>
      <c r="F35" s="350"/>
      <c r="G35" s="350"/>
      <c r="H35" s="350"/>
      <c r="I35" s="350"/>
      <c r="J35" s="350"/>
      <c r="K35" s="350"/>
      <c r="L35" s="350"/>
      <c r="M35" s="350"/>
      <c r="N35" s="350"/>
      <c r="O35" s="350"/>
      <c r="P35" s="350"/>
      <c r="Q35" s="350"/>
      <c r="R35" s="350"/>
      <c r="S35" s="350"/>
      <c r="T35" s="350"/>
      <c r="U35" s="350"/>
      <c r="V35" s="350"/>
      <c r="W35" s="351"/>
    </row>
    <row r="36" spans="1:26" s="91" customFormat="1" ht="15" customHeight="1" thickBot="1" x14ac:dyDescent="0.25">
      <c r="A36" s="98"/>
      <c r="B36" s="80">
        <v>110</v>
      </c>
      <c r="C36" s="74" t="s">
        <v>540</v>
      </c>
      <c r="D36" s="74" t="s">
        <v>310</v>
      </c>
      <c r="E36" s="74" t="s">
        <v>541</v>
      </c>
      <c r="F36" s="81">
        <v>805</v>
      </c>
      <c r="G36" s="81">
        <v>24801</v>
      </c>
      <c r="H36" s="79">
        <v>80694</v>
      </c>
      <c r="I36" s="79">
        <v>15740</v>
      </c>
      <c r="J36" s="75" t="s">
        <v>542</v>
      </c>
      <c r="K36" s="75" t="s">
        <v>258</v>
      </c>
      <c r="L36" s="75" t="s">
        <v>543</v>
      </c>
      <c r="M36" s="75" t="s">
        <v>149</v>
      </c>
      <c r="N36" s="76" t="s">
        <v>662</v>
      </c>
      <c r="O36" s="72" t="s">
        <v>555</v>
      </c>
      <c r="P36" s="308" t="s">
        <v>670</v>
      </c>
      <c r="Q36" s="308"/>
      <c r="R36" s="308"/>
      <c r="S36" s="308"/>
      <c r="T36" s="308"/>
      <c r="U36" s="308"/>
      <c r="V36" s="308"/>
      <c r="W36" s="309"/>
    </row>
    <row r="37" spans="1:26" s="91" customFormat="1" ht="15" customHeight="1" thickBot="1" x14ac:dyDescent="0.25">
      <c r="A37" s="98"/>
      <c r="B37" s="49">
        <v>98</v>
      </c>
      <c r="C37" s="49" t="s">
        <v>451</v>
      </c>
      <c r="D37" s="49" t="s">
        <v>310</v>
      </c>
      <c r="E37" s="49" t="s">
        <v>452</v>
      </c>
      <c r="F37" s="49">
        <v>1064</v>
      </c>
      <c r="G37" s="49">
        <v>25783</v>
      </c>
      <c r="H37" s="50">
        <v>108975</v>
      </c>
      <c r="I37" s="50">
        <v>18983</v>
      </c>
      <c r="J37" s="50" t="s">
        <v>453</v>
      </c>
      <c r="K37" s="50" t="s">
        <v>258</v>
      </c>
      <c r="L37" s="50" t="s">
        <v>454</v>
      </c>
      <c r="M37" s="50" t="s">
        <v>149</v>
      </c>
      <c r="N37" s="51" t="s">
        <v>455</v>
      </c>
      <c r="O37" s="72" t="s">
        <v>456</v>
      </c>
      <c r="P37" s="354" t="s">
        <v>545</v>
      </c>
      <c r="Q37" s="354"/>
      <c r="R37" s="354"/>
      <c r="S37" s="354"/>
      <c r="T37" s="354"/>
      <c r="U37" s="354"/>
      <c r="V37" s="354"/>
      <c r="W37" s="355"/>
    </row>
    <row r="38" spans="1:26" s="91" customFormat="1" ht="15" customHeight="1" thickBot="1" x14ac:dyDescent="0.25">
      <c r="A38" s="98"/>
      <c r="B38" s="73">
        <v>76</v>
      </c>
      <c r="C38" s="74" t="s">
        <v>308</v>
      </c>
      <c r="D38" s="74" t="s">
        <v>15</v>
      </c>
      <c r="E38" s="74" t="s">
        <v>309</v>
      </c>
      <c r="F38" s="74">
        <v>1105</v>
      </c>
      <c r="G38" s="74">
        <v>28026</v>
      </c>
      <c r="H38" s="75">
        <v>86277</v>
      </c>
      <c r="I38" s="75">
        <v>15653</v>
      </c>
      <c r="J38" s="75" t="s">
        <v>311</v>
      </c>
      <c r="K38" s="75" t="s">
        <v>258</v>
      </c>
      <c r="L38" s="75" t="s">
        <v>312</v>
      </c>
      <c r="M38" s="75"/>
      <c r="N38" s="76"/>
      <c r="O38" s="42" t="s">
        <v>456</v>
      </c>
      <c r="P38" s="308" t="s">
        <v>544</v>
      </c>
      <c r="Q38" s="308"/>
      <c r="R38" s="308"/>
      <c r="S38" s="308"/>
      <c r="T38" s="308"/>
      <c r="U38" s="308"/>
      <c r="V38" s="308"/>
      <c r="W38" s="309"/>
    </row>
    <row r="39" spans="1:26" s="91" customFormat="1" ht="15" customHeight="1" thickBot="1" x14ac:dyDescent="0.25">
      <c r="A39" s="99"/>
      <c r="B39" s="67">
        <v>57</v>
      </c>
      <c r="C39" s="67" t="s">
        <v>32</v>
      </c>
      <c r="D39" s="66" t="s">
        <v>310</v>
      </c>
      <c r="E39" s="67" t="s">
        <v>34</v>
      </c>
      <c r="F39" s="67">
        <v>1366</v>
      </c>
      <c r="G39" s="67">
        <v>34235</v>
      </c>
      <c r="H39" s="68">
        <v>46956</v>
      </c>
      <c r="I39" s="68">
        <v>9290</v>
      </c>
      <c r="J39" s="68" t="s">
        <v>37</v>
      </c>
      <c r="K39" s="68" t="s">
        <v>7</v>
      </c>
      <c r="L39" s="68" t="s">
        <v>547</v>
      </c>
      <c r="M39" s="68" t="s">
        <v>33</v>
      </c>
      <c r="N39" s="94" t="s">
        <v>35</v>
      </c>
      <c r="O39" s="56">
        <v>15</v>
      </c>
      <c r="P39" s="331" t="s">
        <v>546</v>
      </c>
      <c r="Q39" s="331"/>
      <c r="R39" s="331"/>
      <c r="S39" s="331"/>
      <c r="T39" s="331"/>
      <c r="U39" s="331"/>
      <c r="V39" s="331"/>
      <c r="W39" s="332"/>
    </row>
    <row r="40" spans="1:26" s="91" customFormat="1" ht="18.75" thickBot="1" x14ac:dyDescent="0.3">
      <c r="A40" s="310" t="s">
        <v>554</v>
      </c>
      <c r="B40" s="314"/>
      <c r="C40" s="314"/>
      <c r="D40" s="314"/>
      <c r="E40" s="314"/>
      <c r="F40" s="314"/>
      <c r="G40" s="314"/>
      <c r="H40" s="314"/>
      <c r="I40" s="314"/>
      <c r="J40" s="314"/>
      <c r="K40" s="314"/>
      <c r="L40" s="314"/>
      <c r="M40" s="314"/>
      <c r="N40" s="314"/>
      <c r="O40" s="314"/>
      <c r="P40" s="314"/>
      <c r="Q40" s="314"/>
      <c r="R40" s="314"/>
      <c r="S40" s="314"/>
      <c r="T40" s="314"/>
      <c r="U40" s="314"/>
      <c r="V40" s="314"/>
      <c r="W40" s="315"/>
    </row>
    <row r="41" spans="1:26" s="91" customFormat="1" ht="15" customHeight="1" x14ac:dyDescent="0.2">
      <c r="A41" s="100"/>
      <c r="B41" s="316" t="s">
        <v>556</v>
      </c>
      <c r="C41" s="316"/>
      <c r="D41" s="316"/>
      <c r="E41" s="316"/>
      <c r="F41" s="316"/>
      <c r="G41" s="316"/>
      <c r="H41" s="316"/>
      <c r="I41" s="316"/>
      <c r="J41" s="316"/>
      <c r="K41" s="316"/>
      <c r="L41" s="316"/>
      <c r="M41" s="316"/>
      <c r="N41" s="316"/>
      <c r="O41" s="316"/>
      <c r="P41" s="316"/>
      <c r="Q41" s="316"/>
      <c r="R41" s="316"/>
      <c r="S41" s="316"/>
      <c r="T41" s="316"/>
      <c r="U41" s="316"/>
      <c r="V41" s="316"/>
      <c r="W41" s="317"/>
    </row>
    <row r="42" spans="1:26" s="91" customFormat="1" ht="15" customHeight="1" x14ac:dyDescent="0.2">
      <c r="A42" s="101"/>
      <c r="B42" s="340" t="s">
        <v>557</v>
      </c>
      <c r="C42" s="340"/>
      <c r="D42" s="340"/>
      <c r="E42" s="340"/>
      <c r="F42" s="340"/>
      <c r="G42" s="340"/>
      <c r="H42" s="340"/>
      <c r="I42" s="340"/>
      <c r="J42" s="340"/>
      <c r="K42" s="340"/>
      <c r="L42" s="340"/>
      <c r="M42" s="340"/>
      <c r="N42" s="340"/>
      <c r="O42" s="340"/>
      <c r="P42" s="340"/>
      <c r="Q42" s="340"/>
      <c r="R42" s="340"/>
      <c r="S42" s="340"/>
      <c r="T42" s="340"/>
      <c r="U42" s="340"/>
      <c r="V42" s="340"/>
      <c r="W42" s="341"/>
    </row>
    <row r="43" spans="1:26" s="91" customFormat="1" ht="15" customHeight="1" thickBot="1" x14ac:dyDescent="0.3">
      <c r="A43" s="101"/>
      <c r="B43" s="340" t="s">
        <v>605</v>
      </c>
      <c r="C43" s="340"/>
      <c r="D43" s="340"/>
      <c r="E43" s="340"/>
      <c r="F43" s="340"/>
      <c r="G43" s="340"/>
      <c r="H43" s="340"/>
      <c r="I43" s="340"/>
      <c r="J43" s="340"/>
      <c r="K43" s="340"/>
      <c r="L43" s="340"/>
      <c r="M43" s="340"/>
      <c r="N43" s="340"/>
      <c r="O43" s="340"/>
      <c r="P43" s="340"/>
      <c r="Q43" s="340"/>
      <c r="R43" s="340"/>
      <c r="S43" s="340"/>
      <c r="T43" s="340"/>
      <c r="U43" s="340"/>
      <c r="V43" s="340"/>
      <c r="W43" s="341"/>
    </row>
    <row r="44" spans="1:26" s="7" customFormat="1" ht="15" customHeight="1" thickBot="1" x14ac:dyDescent="0.25">
      <c r="A44" s="103"/>
      <c r="B44" s="73">
        <v>66</v>
      </c>
      <c r="C44" s="73" t="s">
        <v>250</v>
      </c>
      <c r="D44" s="74" t="s">
        <v>15</v>
      </c>
      <c r="E44" s="74" t="s">
        <v>251</v>
      </c>
      <c r="F44" s="74">
        <v>793</v>
      </c>
      <c r="G44" s="74">
        <v>24619</v>
      </c>
      <c r="H44" s="75">
        <v>76648</v>
      </c>
      <c r="I44" s="75">
        <v>18627</v>
      </c>
      <c r="J44" s="75" t="s">
        <v>252</v>
      </c>
      <c r="K44" s="75" t="s">
        <v>258</v>
      </c>
      <c r="L44" s="75" t="s">
        <v>253</v>
      </c>
      <c r="M44" s="75" t="s">
        <v>247</v>
      </c>
      <c r="N44" s="76" t="s">
        <v>247</v>
      </c>
      <c r="O44" s="42" t="s">
        <v>555</v>
      </c>
      <c r="P44" s="308" t="s">
        <v>546</v>
      </c>
      <c r="Q44" s="308"/>
      <c r="R44" s="308"/>
      <c r="S44" s="308"/>
      <c r="T44" s="308"/>
      <c r="U44" s="308"/>
      <c r="V44" s="308"/>
      <c r="W44" s="309"/>
    </row>
    <row r="45" spans="1:26" s="91" customFormat="1" ht="18.75" thickBot="1" x14ac:dyDescent="0.3">
      <c r="A45" s="313" t="s">
        <v>579</v>
      </c>
      <c r="B45" s="342"/>
      <c r="C45" s="342"/>
      <c r="D45" s="342"/>
      <c r="E45" s="342"/>
      <c r="F45" s="342"/>
      <c r="G45" s="342"/>
      <c r="H45" s="342"/>
      <c r="I45" s="342"/>
      <c r="J45" s="342"/>
      <c r="K45" s="342"/>
      <c r="L45" s="342"/>
      <c r="M45" s="342"/>
      <c r="N45" s="342"/>
      <c r="O45" s="342"/>
      <c r="P45" s="342"/>
      <c r="Q45" s="342"/>
      <c r="R45" s="342"/>
      <c r="S45" s="342"/>
      <c r="T45" s="342"/>
      <c r="U45" s="342"/>
      <c r="V45" s="342"/>
      <c r="W45" s="343"/>
    </row>
    <row r="46" spans="1:26" s="91" customFormat="1" ht="15" customHeight="1" thickBot="1" x14ac:dyDescent="0.25">
      <c r="A46" s="112"/>
      <c r="B46" s="113">
        <v>3</v>
      </c>
      <c r="C46" s="73" t="s">
        <v>228</v>
      </c>
      <c r="D46" s="74" t="s">
        <v>310</v>
      </c>
      <c r="E46" s="74" t="s">
        <v>229</v>
      </c>
      <c r="F46" s="81">
        <v>755</v>
      </c>
      <c r="G46" s="81">
        <v>24064</v>
      </c>
      <c r="H46" s="79">
        <v>90108</v>
      </c>
      <c r="I46" s="79">
        <v>15368</v>
      </c>
      <c r="J46" s="75" t="s">
        <v>230</v>
      </c>
      <c r="K46" s="75" t="s">
        <v>258</v>
      </c>
      <c r="L46" s="75" t="s">
        <v>448</v>
      </c>
      <c r="M46" s="75" t="s">
        <v>149</v>
      </c>
      <c r="N46" s="76" t="s">
        <v>231</v>
      </c>
      <c r="O46" s="42">
        <v>20</v>
      </c>
      <c r="P46" s="307" t="s">
        <v>561</v>
      </c>
      <c r="Q46" s="308"/>
      <c r="R46" s="308"/>
      <c r="S46" s="308"/>
      <c r="T46" s="308"/>
      <c r="U46" s="308"/>
      <c r="V46" s="308"/>
      <c r="W46" s="309"/>
      <c r="Z46" s="7"/>
    </row>
    <row r="47" spans="1:26" s="91" customFormat="1" ht="15.75" customHeight="1" thickBot="1" x14ac:dyDescent="0.25">
      <c r="A47" s="112"/>
      <c r="B47" s="111">
        <v>32</v>
      </c>
      <c r="C47" s="87" t="s">
        <v>130</v>
      </c>
      <c r="D47" s="49" t="s">
        <v>15</v>
      </c>
      <c r="E47" s="88" t="s">
        <v>132</v>
      </c>
      <c r="F47" s="88"/>
      <c r="G47" s="88">
        <v>24223</v>
      </c>
      <c r="H47" s="89">
        <v>100412</v>
      </c>
      <c r="I47" s="89">
        <v>12414</v>
      </c>
      <c r="J47" s="50" t="s">
        <v>134</v>
      </c>
      <c r="K47" s="89"/>
      <c r="L47" s="89"/>
      <c r="M47" s="89" t="s">
        <v>131</v>
      </c>
      <c r="N47" s="97" t="s">
        <v>133</v>
      </c>
      <c r="O47" s="92">
        <v>20</v>
      </c>
      <c r="P47" s="333" t="s">
        <v>553</v>
      </c>
      <c r="Q47" s="331"/>
      <c r="R47" s="331"/>
      <c r="S47" s="331"/>
      <c r="T47" s="331"/>
      <c r="U47" s="331"/>
      <c r="V47" s="331"/>
      <c r="W47" s="332"/>
      <c r="Z47" s="7"/>
    </row>
    <row r="48" spans="1:26" s="91" customFormat="1" ht="15.75" customHeight="1" thickBot="1" x14ac:dyDescent="0.25">
      <c r="A48" s="112"/>
      <c r="B48" s="85">
        <v>101</v>
      </c>
      <c r="C48" s="73" t="s">
        <v>469</v>
      </c>
      <c r="D48" s="74" t="s">
        <v>15</v>
      </c>
      <c r="E48" s="74" t="s">
        <v>470</v>
      </c>
      <c r="F48" s="74">
        <v>1196</v>
      </c>
      <c r="G48" s="74">
        <v>28857</v>
      </c>
      <c r="H48" s="75">
        <v>80162</v>
      </c>
      <c r="I48" s="75">
        <v>9719</v>
      </c>
      <c r="J48" s="75" t="s">
        <v>471</v>
      </c>
      <c r="K48" s="75" t="s">
        <v>258</v>
      </c>
      <c r="L48" s="75" t="s">
        <v>472</v>
      </c>
      <c r="M48" s="75" t="s">
        <v>466</v>
      </c>
      <c r="N48" s="76" t="s">
        <v>473</v>
      </c>
      <c r="O48" s="42">
        <v>20</v>
      </c>
      <c r="P48" s="307" t="s">
        <v>562</v>
      </c>
      <c r="Q48" s="308"/>
      <c r="R48" s="308"/>
      <c r="S48" s="308"/>
      <c r="T48" s="308"/>
      <c r="U48" s="308"/>
      <c r="V48" s="308"/>
      <c r="W48" s="309"/>
      <c r="Y48" s="141"/>
      <c r="Z48" s="7"/>
    </row>
    <row r="49" spans="1:26" s="91" customFormat="1" ht="15.75" customHeight="1" thickBot="1" x14ac:dyDescent="0.25">
      <c r="A49" s="112"/>
      <c r="B49" s="85">
        <v>113</v>
      </c>
      <c r="C49" s="73" t="s">
        <v>656</v>
      </c>
      <c r="D49" s="74" t="s">
        <v>15</v>
      </c>
      <c r="E49" s="74" t="s">
        <v>655</v>
      </c>
      <c r="F49" s="74">
        <v>1352</v>
      </c>
      <c r="G49" s="74">
        <v>33749</v>
      </c>
      <c r="H49" s="75">
        <v>44767</v>
      </c>
      <c r="I49" s="75">
        <v>8148</v>
      </c>
      <c r="J49" s="75" t="s">
        <v>658</v>
      </c>
      <c r="K49" s="75" t="s">
        <v>657</v>
      </c>
      <c r="L49" s="75" t="s">
        <v>659</v>
      </c>
      <c r="M49" s="75" t="s">
        <v>660</v>
      </c>
      <c r="N49" s="76" t="s">
        <v>661</v>
      </c>
      <c r="O49" s="116">
        <v>20</v>
      </c>
      <c r="P49" s="304" t="s">
        <v>562</v>
      </c>
      <c r="Q49" s="305"/>
      <c r="R49" s="305"/>
      <c r="S49" s="305"/>
      <c r="T49" s="305"/>
      <c r="U49" s="305"/>
      <c r="V49" s="305"/>
      <c r="W49" s="306"/>
      <c r="Y49" s="141"/>
      <c r="Z49" s="7"/>
    </row>
    <row r="50" spans="1:26" s="7" customFormat="1" ht="18.75" thickBot="1" x14ac:dyDescent="0.3">
      <c r="A50" s="313" t="s">
        <v>580</v>
      </c>
      <c r="B50" s="314"/>
      <c r="C50" s="314"/>
      <c r="D50" s="314"/>
      <c r="E50" s="314"/>
      <c r="F50" s="314"/>
      <c r="G50" s="314"/>
      <c r="H50" s="314"/>
      <c r="I50" s="314"/>
      <c r="J50" s="314"/>
      <c r="K50" s="314"/>
      <c r="L50" s="314"/>
      <c r="M50" s="314"/>
      <c r="N50" s="314"/>
      <c r="O50" s="314"/>
      <c r="P50" s="314"/>
      <c r="Q50" s="314"/>
      <c r="R50" s="314"/>
      <c r="S50" s="314"/>
      <c r="T50" s="314"/>
      <c r="U50" s="314"/>
      <c r="V50" s="314"/>
      <c r="W50" s="315"/>
    </row>
    <row r="51" spans="1:26" s="7" customFormat="1" ht="15.75" customHeight="1" thickBot="1" x14ac:dyDescent="0.3">
      <c r="A51" s="166"/>
      <c r="B51" s="80">
        <v>116</v>
      </c>
      <c r="C51" s="73" t="s">
        <v>729</v>
      </c>
      <c r="D51" s="74" t="s">
        <v>310</v>
      </c>
      <c r="E51" s="74" t="s">
        <v>728</v>
      </c>
      <c r="F51" s="81">
        <v>979</v>
      </c>
      <c r="G51" s="81">
        <v>25645</v>
      </c>
      <c r="H51" s="79">
        <v>69836</v>
      </c>
      <c r="I51" s="79">
        <v>10278</v>
      </c>
      <c r="J51" s="75" t="s">
        <v>731</v>
      </c>
      <c r="K51" s="75" t="s">
        <v>258</v>
      </c>
      <c r="L51" s="75" t="s">
        <v>444</v>
      </c>
      <c r="M51" s="75" t="s">
        <v>149</v>
      </c>
      <c r="N51" s="90" t="s">
        <v>730</v>
      </c>
      <c r="O51" s="186" t="s">
        <v>246</v>
      </c>
      <c r="P51" s="307" t="s">
        <v>774</v>
      </c>
      <c r="Q51" s="308"/>
      <c r="R51" s="308"/>
      <c r="S51" s="308"/>
      <c r="T51" s="308"/>
      <c r="U51" s="308"/>
      <c r="V51" s="308"/>
      <c r="W51" s="309"/>
    </row>
    <row r="52" spans="1:26" s="91" customFormat="1" ht="15.75" customHeight="1" thickBot="1" x14ac:dyDescent="0.25">
      <c r="A52" s="104"/>
      <c r="B52" s="81">
        <v>97</v>
      </c>
      <c r="C52" s="73" t="s">
        <v>442</v>
      </c>
      <c r="D52" s="74" t="s">
        <v>310</v>
      </c>
      <c r="E52" s="74" t="s">
        <v>443</v>
      </c>
      <c r="F52" s="81">
        <v>946</v>
      </c>
      <c r="G52" s="81">
        <v>25777</v>
      </c>
      <c r="H52" s="79">
        <v>112603</v>
      </c>
      <c r="I52" s="79">
        <v>18807</v>
      </c>
      <c r="J52" s="75" t="s">
        <v>445</v>
      </c>
      <c r="K52" s="75" t="s">
        <v>258</v>
      </c>
      <c r="L52" s="75" t="s">
        <v>444</v>
      </c>
      <c r="M52" s="75" t="s">
        <v>149</v>
      </c>
      <c r="N52" s="76" t="s">
        <v>446</v>
      </c>
      <c r="O52" s="42" t="s">
        <v>447</v>
      </c>
      <c r="P52" s="307" t="s">
        <v>773</v>
      </c>
      <c r="Q52" s="308"/>
      <c r="R52" s="308"/>
      <c r="S52" s="308"/>
      <c r="T52" s="308"/>
      <c r="U52" s="308"/>
      <c r="V52" s="308"/>
      <c r="W52" s="309"/>
    </row>
    <row r="53" spans="1:26" s="91" customFormat="1" ht="30" customHeight="1" thickBot="1" x14ac:dyDescent="0.25">
      <c r="A53" s="344" t="s">
        <v>667</v>
      </c>
      <c r="B53" s="345"/>
      <c r="C53" s="345"/>
      <c r="D53" s="345"/>
      <c r="E53" s="345"/>
      <c r="F53" s="345"/>
      <c r="G53" s="345"/>
      <c r="H53" s="345"/>
      <c r="I53" s="345"/>
      <c r="J53" s="345"/>
      <c r="K53" s="345"/>
      <c r="L53" s="345"/>
      <c r="M53" s="345"/>
      <c r="N53" s="345"/>
      <c r="O53" s="345"/>
      <c r="P53" s="345"/>
      <c r="Q53" s="345"/>
      <c r="R53" s="345"/>
      <c r="S53" s="345"/>
      <c r="T53" s="345"/>
      <c r="U53" s="345"/>
      <c r="V53" s="345"/>
      <c r="W53" s="346"/>
    </row>
    <row r="54" spans="1:26" s="91" customFormat="1" ht="21" thickBot="1" x14ac:dyDescent="0.25">
      <c r="A54" s="154"/>
      <c r="B54" s="149"/>
      <c r="C54" s="150" t="s">
        <v>663</v>
      </c>
      <c r="D54" s="152"/>
      <c r="E54" s="150"/>
      <c r="F54" s="152"/>
      <c r="G54" s="152"/>
      <c r="H54" s="152"/>
      <c r="I54" s="152"/>
      <c r="J54" s="150" t="s">
        <v>666</v>
      </c>
      <c r="K54" s="152"/>
      <c r="L54" s="152"/>
      <c r="M54" s="150"/>
      <c r="N54" s="151"/>
      <c r="O54" s="151"/>
      <c r="P54" s="151"/>
      <c r="Q54" s="150" t="s">
        <v>664</v>
      </c>
      <c r="R54" s="155"/>
      <c r="S54" s="155"/>
      <c r="T54" s="150" t="s">
        <v>665</v>
      </c>
      <c r="U54" s="155"/>
      <c r="V54" s="155"/>
      <c r="W54" s="156"/>
    </row>
    <row r="55" spans="1:26" s="91" customFormat="1" ht="18.75" customHeight="1" thickBot="1" x14ac:dyDescent="0.3">
      <c r="A55" s="347" t="s">
        <v>246</v>
      </c>
      <c r="B55" s="322"/>
      <c r="C55" s="322"/>
      <c r="D55" s="322"/>
      <c r="E55" s="322"/>
      <c r="F55" s="322"/>
      <c r="G55" s="322"/>
      <c r="H55" s="322"/>
      <c r="I55" s="322"/>
      <c r="J55" s="322"/>
      <c r="K55" s="322"/>
      <c r="L55" s="322"/>
      <c r="M55" s="322"/>
      <c r="N55" s="322"/>
      <c r="O55" s="322"/>
      <c r="P55" s="322"/>
      <c r="Q55" s="322"/>
      <c r="R55" s="322"/>
      <c r="S55" s="322"/>
      <c r="T55" s="322"/>
      <c r="U55" s="322"/>
      <c r="V55" s="322"/>
      <c r="W55" s="323"/>
    </row>
    <row r="56" spans="1:26" s="7" customFormat="1" ht="15" customHeight="1" thickBot="1" x14ac:dyDescent="0.25">
      <c r="B56" s="110">
        <v>50</v>
      </c>
      <c r="C56" s="110" t="s">
        <v>70</v>
      </c>
      <c r="D56" s="66">
        <v>400</v>
      </c>
      <c r="E56" s="66" t="s">
        <v>71</v>
      </c>
      <c r="F56" s="66">
        <v>994</v>
      </c>
      <c r="G56" s="66">
        <v>27154</v>
      </c>
      <c r="H56" s="69">
        <v>52132</v>
      </c>
      <c r="I56" s="69">
        <v>8733</v>
      </c>
      <c r="J56" s="69" t="s">
        <v>72</v>
      </c>
      <c r="K56" s="69" t="s">
        <v>7</v>
      </c>
      <c r="L56" s="69" t="s">
        <v>630</v>
      </c>
      <c r="M56" s="69" t="s">
        <v>631</v>
      </c>
      <c r="N56" s="70" t="s">
        <v>632</v>
      </c>
      <c r="O56" s="56" t="s">
        <v>246</v>
      </c>
      <c r="P56" s="307" t="s">
        <v>645</v>
      </c>
      <c r="Q56" s="308"/>
      <c r="R56" s="308"/>
      <c r="S56" s="308"/>
      <c r="T56" s="308"/>
      <c r="U56" s="308"/>
      <c r="V56" s="308"/>
      <c r="W56" s="309"/>
    </row>
    <row r="57" spans="1:26" s="91" customFormat="1" ht="18.75" thickBot="1" x14ac:dyDescent="0.3">
      <c r="A57" s="310" t="s">
        <v>625</v>
      </c>
      <c r="B57" s="314"/>
      <c r="C57" s="314"/>
      <c r="D57" s="314"/>
      <c r="E57" s="314"/>
      <c r="F57" s="314"/>
      <c r="G57" s="314"/>
      <c r="H57" s="314"/>
      <c r="I57" s="314"/>
      <c r="J57" s="314"/>
      <c r="K57" s="314"/>
      <c r="L57" s="314"/>
      <c r="M57" s="314"/>
      <c r="N57" s="314"/>
      <c r="O57" s="314"/>
      <c r="P57" s="314"/>
      <c r="Q57" s="314"/>
      <c r="R57" s="314"/>
      <c r="S57" s="314"/>
      <c r="T57" s="314"/>
      <c r="U57" s="314"/>
      <c r="V57" s="314"/>
      <c r="W57" s="315"/>
    </row>
    <row r="58" spans="1:26" s="91" customFormat="1" ht="16.5" customHeight="1" thickBot="1" x14ac:dyDescent="0.25">
      <c r="A58" s="101"/>
      <c r="B58" s="340" t="s">
        <v>624</v>
      </c>
      <c r="C58" s="340"/>
      <c r="D58" s="340"/>
      <c r="E58" s="340"/>
      <c r="F58" s="340"/>
      <c r="G58" s="340"/>
      <c r="H58" s="340"/>
      <c r="I58" s="340"/>
      <c r="J58" s="340"/>
      <c r="K58" s="340"/>
      <c r="L58" s="340"/>
      <c r="M58" s="340"/>
      <c r="N58" s="340"/>
      <c r="O58" s="340"/>
      <c r="P58" s="340"/>
      <c r="Q58" s="340"/>
      <c r="R58" s="340"/>
      <c r="S58" s="340"/>
      <c r="T58" s="340"/>
      <c r="U58" s="340"/>
      <c r="V58" s="340"/>
      <c r="W58" s="341"/>
    </row>
    <row r="59" spans="1:26" s="91" customFormat="1" ht="13.5" thickBot="1" x14ac:dyDescent="0.25">
      <c r="A59" s="112"/>
      <c r="B59" s="80">
        <v>87</v>
      </c>
      <c r="C59" s="73" t="s">
        <v>381</v>
      </c>
      <c r="D59" s="74" t="s">
        <v>623</v>
      </c>
      <c r="E59" s="74" t="s">
        <v>382</v>
      </c>
      <c r="F59" s="81">
        <v>1427</v>
      </c>
      <c r="G59" s="81">
        <v>39238</v>
      </c>
      <c r="H59" s="79">
        <v>22175</v>
      </c>
      <c r="I59" s="79">
        <v>3585</v>
      </c>
      <c r="J59" s="75" t="s">
        <v>383</v>
      </c>
      <c r="K59" s="75" t="s">
        <v>258</v>
      </c>
      <c r="L59" s="75" t="s">
        <v>384</v>
      </c>
      <c r="M59" s="75" t="s">
        <v>386</v>
      </c>
      <c r="N59" s="76" t="s">
        <v>385</v>
      </c>
      <c r="O59" s="106" t="s">
        <v>622</v>
      </c>
      <c r="P59" s="307" t="s">
        <v>644</v>
      </c>
      <c r="Q59" s="308"/>
      <c r="R59" s="308"/>
      <c r="S59" s="308"/>
      <c r="T59" s="308"/>
      <c r="U59" s="308"/>
      <c r="V59" s="308"/>
      <c r="W59" s="309"/>
    </row>
    <row r="60" spans="1:26" s="7" customFormat="1" ht="13.5" thickBot="1" x14ac:dyDescent="0.25">
      <c r="A60" s="102"/>
      <c r="B60" s="80">
        <v>96</v>
      </c>
      <c r="C60" s="73" t="s">
        <v>436</v>
      </c>
      <c r="D60" s="74" t="s">
        <v>623</v>
      </c>
      <c r="E60" s="74" t="s">
        <v>437</v>
      </c>
      <c r="F60" s="81">
        <v>1493</v>
      </c>
      <c r="G60" s="81">
        <v>44444</v>
      </c>
      <c r="H60" s="79">
        <v>9121</v>
      </c>
      <c r="I60" s="79">
        <v>1643</v>
      </c>
      <c r="J60" s="75" t="s">
        <v>438</v>
      </c>
      <c r="K60" s="75" t="s">
        <v>258</v>
      </c>
      <c r="L60" s="75" t="s">
        <v>439</v>
      </c>
      <c r="M60" s="75" t="s">
        <v>440</v>
      </c>
      <c r="N60" s="76" t="s">
        <v>441</v>
      </c>
      <c r="O60" s="106" t="s">
        <v>626</v>
      </c>
      <c r="P60" s="307" t="s">
        <v>643</v>
      </c>
      <c r="Q60" s="308"/>
      <c r="R60" s="308"/>
      <c r="S60" s="308"/>
      <c r="T60" s="308"/>
      <c r="U60" s="308"/>
      <c r="V60" s="308"/>
      <c r="W60" s="309"/>
    </row>
    <row r="61" spans="1:26" s="91" customFormat="1" ht="18.75" thickBot="1" x14ac:dyDescent="0.3">
      <c r="A61" s="310" t="s">
        <v>691</v>
      </c>
      <c r="B61" s="314"/>
      <c r="C61" s="314"/>
      <c r="D61" s="314"/>
      <c r="E61" s="314"/>
      <c r="F61" s="314"/>
      <c r="G61" s="314"/>
      <c r="H61" s="314"/>
      <c r="I61" s="314"/>
      <c r="J61" s="314"/>
      <c r="K61" s="314"/>
      <c r="L61" s="314"/>
      <c r="M61" s="314"/>
      <c r="N61" s="314"/>
      <c r="O61" s="314"/>
      <c r="P61" s="314"/>
      <c r="Q61" s="314"/>
      <c r="R61" s="314"/>
      <c r="S61" s="314"/>
      <c r="T61" s="314"/>
      <c r="U61" s="314"/>
      <c r="V61" s="314"/>
      <c r="W61" s="315"/>
    </row>
    <row r="62" spans="1:26" s="91" customFormat="1" ht="16.5" customHeight="1" thickBot="1" x14ac:dyDescent="0.25">
      <c r="A62" s="101"/>
      <c r="B62" s="340" t="s">
        <v>673</v>
      </c>
      <c r="C62" s="340"/>
      <c r="D62" s="340"/>
      <c r="E62" s="340"/>
      <c r="F62" s="340"/>
      <c r="G62" s="340"/>
      <c r="H62" s="340"/>
      <c r="I62" s="340"/>
      <c r="J62" s="340"/>
      <c r="K62" s="340"/>
      <c r="L62" s="340"/>
      <c r="M62" s="340"/>
      <c r="N62" s="340"/>
      <c r="O62" s="340"/>
      <c r="P62" s="340"/>
      <c r="Q62" s="340"/>
      <c r="R62" s="340"/>
      <c r="S62" s="340"/>
      <c r="T62" s="340"/>
      <c r="U62" s="340"/>
      <c r="V62" s="340"/>
      <c r="W62" s="341"/>
    </row>
    <row r="63" spans="1:26" s="91" customFormat="1" ht="13.5" thickBot="1" x14ac:dyDescent="0.25">
      <c r="A63" s="112"/>
      <c r="B63" s="80">
        <v>41</v>
      </c>
      <c r="C63" s="80" t="s">
        <v>102</v>
      </c>
      <c r="D63" s="74" t="s">
        <v>628</v>
      </c>
      <c r="E63" s="81" t="s">
        <v>103</v>
      </c>
      <c r="F63" s="81">
        <v>1315</v>
      </c>
      <c r="G63" s="81">
        <v>32866</v>
      </c>
      <c r="H63" s="79">
        <v>55867</v>
      </c>
      <c r="I63" s="79">
        <v>7557</v>
      </c>
      <c r="J63" s="79" t="s">
        <v>106</v>
      </c>
      <c r="K63" s="75" t="s">
        <v>240</v>
      </c>
      <c r="L63" s="75" t="s">
        <v>634</v>
      </c>
      <c r="M63" s="79" t="s">
        <v>104</v>
      </c>
      <c r="N63" s="124" t="s">
        <v>105</v>
      </c>
      <c r="O63" s="106" t="s">
        <v>627</v>
      </c>
      <c r="P63" s="307" t="s">
        <v>642</v>
      </c>
      <c r="Q63" s="308"/>
      <c r="R63" s="308"/>
      <c r="S63" s="308"/>
      <c r="T63" s="308"/>
      <c r="U63" s="308"/>
      <c r="V63" s="308"/>
      <c r="W63" s="309"/>
    </row>
    <row r="64" spans="1:26" s="91" customFormat="1" ht="13.5" thickBot="1" x14ac:dyDescent="0.25">
      <c r="A64" s="112"/>
      <c r="B64" s="80">
        <v>10</v>
      </c>
      <c r="C64" s="73" t="s">
        <v>206</v>
      </c>
      <c r="D64" s="74" t="s">
        <v>628</v>
      </c>
      <c r="E64" s="74" t="s">
        <v>207</v>
      </c>
      <c r="F64" s="81">
        <v>1407</v>
      </c>
      <c r="G64" s="81">
        <v>35805</v>
      </c>
      <c r="H64" s="79">
        <v>25870</v>
      </c>
      <c r="I64" s="79">
        <v>5057</v>
      </c>
      <c r="J64" s="75" t="s">
        <v>208</v>
      </c>
      <c r="K64" s="79" t="s">
        <v>637</v>
      </c>
      <c r="L64" s="79" t="s">
        <v>636</v>
      </c>
      <c r="M64" s="75" t="s">
        <v>209</v>
      </c>
      <c r="N64" s="90" t="s">
        <v>210</v>
      </c>
      <c r="O64" s="42">
        <v>15</v>
      </c>
      <c r="P64" s="307" t="s">
        <v>641</v>
      </c>
      <c r="Q64" s="308"/>
      <c r="R64" s="308"/>
      <c r="S64" s="308"/>
      <c r="T64" s="308"/>
      <c r="U64" s="308"/>
      <c r="V64" s="308"/>
      <c r="W64" s="309"/>
    </row>
    <row r="65" spans="1:26" s="7" customFormat="1" ht="13.5" thickBot="1" x14ac:dyDescent="0.25">
      <c r="A65" s="102"/>
      <c r="B65" s="80">
        <v>117</v>
      </c>
      <c r="C65" s="168" t="s">
        <v>206</v>
      </c>
      <c r="D65" s="169" t="s">
        <v>628</v>
      </c>
      <c r="E65" s="169" t="s">
        <v>207</v>
      </c>
      <c r="F65" s="170">
        <v>1407</v>
      </c>
      <c r="G65" s="170">
        <v>35805</v>
      </c>
      <c r="H65" s="171">
        <v>25870</v>
      </c>
      <c r="I65" s="171">
        <v>5057</v>
      </c>
      <c r="J65" s="172" t="s">
        <v>208</v>
      </c>
      <c r="K65" s="171" t="s">
        <v>637</v>
      </c>
      <c r="L65" s="171" t="s">
        <v>636</v>
      </c>
      <c r="M65" s="172" t="s">
        <v>209</v>
      </c>
      <c r="N65" s="173" t="s">
        <v>210</v>
      </c>
      <c r="O65" s="116">
        <v>15</v>
      </c>
      <c r="P65" s="304" t="s">
        <v>641</v>
      </c>
      <c r="Q65" s="305"/>
      <c r="R65" s="305"/>
      <c r="S65" s="305"/>
      <c r="T65" s="305"/>
      <c r="U65" s="305"/>
      <c r="V65" s="305"/>
      <c r="W65" s="306"/>
    </row>
    <row r="66" spans="1:26" s="91" customFormat="1" ht="18.75" thickBot="1" x14ac:dyDescent="0.3">
      <c r="A66" s="313" t="s">
        <v>579</v>
      </c>
      <c r="B66" s="342"/>
      <c r="C66" s="342"/>
      <c r="D66" s="342"/>
      <c r="E66" s="342"/>
      <c r="F66" s="342"/>
      <c r="G66" s="342"/>
      <c r="H66" s="342"/>
      <c r="I66" s="342"/>
      <c r="J66" s="342"/>
      <c r="K66" s="342"/>
      <c r="L66" s="342"/>
      <c r="M66" s="342"/>
      <c r="N66" s="342"/>
      <c r="O66" s="342"/>
      <c r="P66" s="342"/>
      <c r="Q66" s="342"/>
      <c r="R66" s="342"/>
      <c r="S66" s="342"/>
      <c r="T66" s="342"/>
      <c r="U66" s="342"/>
      <c r="V66" s="342"/>
      <c r="W66" s="343"/>
    </row>
    <row r="67" spans="1:26" s="91" customFormat="1" ht="15" customHeight="1" thickBot="1" x14ac:dyDescent="0.25">
      <c r="A67" s="112"/>
      <c r="B67" s="126">
        <v>17</v>
      </c>
      <c r="C67" s="127" t="s">
        <v>177</v>
      </c>
      <c r="D67" s="128" t="s">
        <v>628</v>
      </c>
      <c r="E67" s="128" t="s">
        <v>178</v>
      </c>
      <c r="F67" s="129">
        <v>1342</v>
      </c>
      <c r="G67" s="129">
        <v>32899</v>
      </c>
      <c r="H67" s="130">
        <v>42890</v>
      </c>
      <c r="I67" s="130">
        <v>7747</v>
      </c>
      <c r="J67" s="131" t="s">
        <v>179</v>
      </c>
      <c r="K67" s="130" t="s">
        <v>647</v>
      </c>
      <c r="L67" s="130" t="s">
        <v>646</v>
      </c>
      <c r="M67" s="131" t="s">
        <v>180</v>
      </c>
      <c r="N67" s="132" t="s">
        <v>181</v>
      </c>
      <c r="O67" s="42">
        <v>20</v>
      </c>
      <c r="P67" s="307" t="s">
        <v>694</v>
      </c>
      <c r="Q67" s="308"/>
      <c r="R67" s="308"/>
      <c r="S67" s="308"/>
      <c r="T67" s="308"/>
      <c r="U67" s="308"/>
      <c r="V67" s="308"/>
      <c r="W67" s="309"/>
      <c r="Z67" s="7"/>
    </row>
    <row r="68" spans="1:26" s="91" customFormat="1" ht="15.75" customHeight="1" thickBot="1" x14ac:dyDescent="0.25">
      <c r="A68" s="112"/>
      <c r="B68" s="126">
        <v>9</v>
      </c>
      <c r="C68" s="127" t="s">
        <v>211</v>
      </c>
      <c r="D68" s="133" t="s">
        <v>628</v>
      </c>
      <c r="E68" s="128" t="s">
        <v>169</v>
      </c>
      <c r="F68" s="129">
        <v>1361</v>
      </c>
      <c r="G68" s="129">
        <v>33097</v>
      </c>
      <c r="H68" s="130">
        <v>34208</v>
      </c>
      <c r="I68" s="130">
        <v>4741</v>
      </c>
      <c r="J68" s="131" t="s">
        <v>170</v>
      </c>
      <c r="K68" s="130" t="s">
        <v>639</v>
      </c>
      <c r="L68" s="134" t="s">
        <v>638</v>
      </c>
      <c r="M68" s="131" t="s">
        <v>171</v>
      </c>
      <c r="N68" s="132" t="s">
        <v>172</v>
      </c>
      <c r="O68" s="42">
        <v>15</v>
      </c>
      <c r="P68" s="307" t="s">
        <v>695</v>
      </c>
      <c r="Q68" s="308"/>
      <c r="R68" s="308"/>
      <c r="S68" s="308"/>
      <c r="T68" s="308"/>
      <c r="U68" s="308"/>
      <c r="V68" s="308"/>
      <c r="W68" s="309"/>
      <c r="Z68" s="7"/>
    </row>
    <row r="69" spans="1:26" s="91" customFormat="1" ht="15" customHeight="1" thickBot="1" x14ac:dyDescent="0.25">
      <c r="A69" s="112"/>
      <c r="B69" s="126">
        <v>93</v>
      </c>
      <c r="C69" s="127" t="s">
        <v>413</v>
      </c>
      <c r="D69" s="129">
        <v>400</v>
      </c>
      <c r="E69" s="128" t="s">
        <v>414</v>
      </c>
      <c r="F69" s="129">
        <v>737</v>
      </c>
      <c r="G69" s="129">
        <v>24001</v>
      </c>
      <c r="H69" s="130">
        <v>135507</v>
      </c>
      <c r="I69" s="130">
        <v>16524</v>
      </c>
      <c r="J69" s="131" t="s">
        <v>415</v>
      </c>
      <c r="K69" s="131" t="s">
        <v>258</v>
      </c>
      <c r="L69" s="131" t="s">
        <v>416</v>
      </c>
      <c r="M69" s="131" t="s">
        <v>417</v>
      </c>
      <c r="N69" s="135" t="s">
        <v>418</v>
      </c>
      <c r="O69" s="42">
        <v>10</v>
      </c>
      <c r="P69" s="307" t="s">
        <v>696</v>
      </c>
      <c r="Q69" s="308"/>
      <c r="R69" s="308"/>
      <c r="S69" s="308"/>
      <c r="T69" s="308"/>
      <c r="U69" s="308"/>
      <c r="V69" s="308"/>
      <c r="W69" s="309"/>
      <c r="Z69" s="7"/>
    </row>
    <row r="70" spans="1:26" s="91" customFormat="1" ht="16.5" customHeight="1" thickBot="1" x14ac:dyDescent="0.25">
      <c r="A70" s="112"/>
      <c r="B70" s="126">
        <v>55</v>
      </c>
      <c r="C70" s="126" t="s">
        <v>44</v>
      </c>
      <c r="D70" s="129" t="s">
        <v>628</v>
      </c>
      <c r="E70" s="129" t="s">
        <v>47</v>
      </c>
      <c r="F70" s="129">
        <v>1341</v>
      </c>
      <c r="G70" s="129">
        <v>33696</v>
      </c>
      <c r="H70" s="130">
        <v>49698</v>
      </c>
      <c r="I70" s="130">
        <v>7952</v>
      </c>
      <c r="J70" s="130" t="s">
        <v>49</v>
      </c>
      <c r="K70" s="130" t="s">
        <v>258</v>
      </c>
      <c r="L70" s="130" t="s">
        <v>629</v>
      </c>
      <c r="M70" s="130" t="s">
        <v>46</v>
      </c>
      <c r="N70" s="136" t="s">
        <v>48</v>
      </c>
      <c r="O70" s="106" t="s">
        <v>627</v>
      </c>
      <c r="P70" s="307" t="s">
        <v>697</v>
      </c>
      <c r="Q70" s="308"/>
      <c r="R70" s="308"/>
      <c r="S70" s="308"/>
      <c r="T70" s="308"/>
      <c r="U70" s="308"/>
      <c r="V70" s="308"/>
      <c r="W70" s="309"/>
    </row>
    <row r="71" spans="1:26" s="91" customFormat="1" ht="15" customHeight="1" thickBot="1" x14ac:dyDescent="0.25">
      <c r="A71" s="112"/>
      <c r="B71" s="137">
        <v>20</v>
      </c>
      <c r="C71" s="138" t="s">
        <v>168</v>
      </c>
      <c r="D71" s="133" t="s">
        <v>628</v>
      </c>
      <c r="E71" s="133" t="s">
        <v>169</v>
      </c>
      <c r="F71" s="139">
        <v>1361</v>
      </c>
      <c r="G71" s="139">
        <v>33097</v>
      </c>
      <c r="H71" s="134">
        <v>36709</v>
      </c>
      <c r="I71" s="134">
        <v>5185</v>
      </c>
      <c r="J71" s="140" t="s">
        <v>170</v>
      </c>
      <c r="K71" s="134" t="s">
        <v>639</v>
      </c>
      <c r="L71" s="134" t="s">
        <v>638</v>
      </c>
      <c r="M71" s="140" t="s">
        <v>171</v>
      </c>
      <c r="N71" s="125" t="s">
        <v>172</v>
      </c>
      <c r="O71" s="42">
        <v>20</v>
      </c>
      <c r="P71" s="307" t="s">
        <v>698</v>
      </c>
      <c r="Q71" s="308"/>
      <c r="R71" s="308"/>
      <c r="S71" s="308"/>
      <c r="T71" s="308"/>
      <c r="U71" s="308"/>
      <c r="V71" s="308"/>
      <c r="W71" s="309"/>
      <c r="Z71" s="7"/>
    </row>
    <row r="72" spans="1:26" s="91" customFormat="1" ht="18.75" thickBot="1" x14ac:dyDescent="0.3">
      <c r="A72" s="313" t="s">
        <v>580</v>
      </c>
      <c r="B72" s="314"/>
      <c r="C72" s="314"/>
      <c r="D72" s="314"/>
      <c r="E72" s="314"/>
      <c r="F72" s="314"/>
      <c r="G72" s="314"/>
      <c r="H72" s="314"/>
      <c r="I72" s="314"/>
      <c r="J72" s="314"/>
      <c r="K72" s="314"/>
      <c r="L72" s="314"/>
      <c r="M72" s="314"/>
      <c r="N72" s="314"/>
      <c r="O72" s="314"/>
      <c r="P72" s="314"/>
      <c r="Q72" s="314"/>
      <c r="R72" s="314"/>
      <c r="S72" s="314"/>
      <c r="T72" s="314"/>
      <c r="U72" s="314"/>
      <c r="V72" s="314"/>
      <c r="W72" s="315"/>
    </row>
    <row r="73" spans="1:26" s="91" customFormat="1" ht="15" customHeight="1" thickBot="1" x14ac:dyDescent="0.25">
      <c r="A73" s="112"/>
      <c r="B73" s="137">
        <v>112</v>
      </c>
      <c r="C73" s="138" t="s">
        <v>648</v>
      </c>
      <c r="D73" s="133" t="s">
        <v>628</v>
      </c>
      <c r="E73" s="133" t="s">
        <v>651</v>
      </c>
      <c r="F73" s="139">
        <v>1359</v>
      </c>
      <c r="G73" s="139">
        <v>33733</v>
      </c>
      <c r="H73" s="134">
        <v>20323</v>
      </c>
      <c r="I73" s="134">
        <v>3422</v>
      </c>
      <c r="J73" s="140" t="s">
        <v>652</v>
      </c>
      <c r="K73" s="134" t="s">
        <v>653</v>
      </c>
      <c r="L73" s="134" t="s">
        <v>654</v>
      </c>
      <c r="M73" s="140" t="s">
        <v>650</v>
      </c>
      <c r="N73" s="125" t="s">
        <v>649</v>
      </c>
      <c r="O73" s="42" t="s">
        <v>555</v>
      </c>
      <c r="P73" s="307" t="s">
        <v>671</v>
      </c>
      <c r="Q73" s="308"/>
      <c r="R73" s="308"/>
      <c r="S73" s="308"/>
      <c r="T73" s="308"/>
      <c r="U73" s="308"/>
      <c r="V73" s="308"/>
      <c r="W73" s="309"/>
      <c r="Z73" s="7"/>
    </row>
    <row r="74" spans="1:26" s="7" customFormat="1" ht="13.5" thickBot="1" x14ac:dyDescent="0.25">
      <c r="A74" s="102"/>
      <c r="B74" s="65">
        <v>30</v>
      </c>
      <c r="C74" s="65" t="s">
        <v>138</v>
      </c>
      <c r="D74" s="67" t="s">
        <v>628</v>
      </c>
      <c r="E74" s="67" t="s">
        <v>140</v>
      </c>
      <c r="F74" s="67">
        <v>1380</v>
      </c>
      <c r="G74" s="67">
        <v>35171</v>
      </c>
      <c r="H74" s="68">
        <v>14373</v>
      </c>
      <c r="I74" s="68">
        <v>2230</v>
      </c>
      <c r="J74" s="68" t="s">
        <v>142</v>
      </c>
      <c r="K74" s="68" t="s">
        <v>258</v>
      </c>
      <c r="L74" s="68" t="s">
        <v>633</v>
      </c>
      <c r="M74" s="68" t="s">
        <v>139</v>
      </c>
      <c r="N74" s="94" t="s">
        <v>141</v>
      </c>
      <c r="O74" s="42" t="s">
        <v>555</v>
      </c>
      <c r="P74" s="307" t="s">
        <v>640</v>
      </c>
      <c r="Q74" s="308"/>
      <c r="R74" s="308"/>
      <c r="S74" s="308"/>
      <c r="T74" s="308"/>
      <c r="U74" s="308"/>
      <c r="V74" s="308"/>
      <c r="W74" s="309"/>
    </row>
    <row r="75" spans="1:26" s="91" customFormat="1" ht="21" thickBot="1" x14ac:dyDescent="0.25">
      <c r="A75" s="328" t="s">
        <v>41</v>
      </c>
      <c r="B75" s="329"/>
      <c r="C75" s="329"/>
      <c r="D75" s="329"/>
      <c r="E75" s="329"/>
      <c r="F75" s="329"/>
      <c r="G75" s="329"/>
      <c r="H75" s="329"/>
      <c r="I75" s="329"/>
      <c r="J75" s="329"/>
      <c r="K75" s="329"/>
      <c r="L75" s="329"/>
      <c r="M75" s="329"/>
      <c r="N75" s="329"/>
      <c r="O75" s="329"/>
      <c r="P75" s="329"/>
      <c r="Q75" s="329"/>
      <c r="R75" s="329"/>
      <c r="S75" s="329"/>
      <c r="T75" s="329"/>
      <c r="U75" s="329"/>
      <c r="V75" s="329"/>
      <c r="W75" s="330"/>
    </row>
    <row r="76" spans="1:26" s="91" customFormat="1" ht="18.75" thickBot="1" x14ac:dyDescent="0.3">
      <c r="A76" s="310" t="s">
        <v>616</v>
      </c>
      <c r="B76" s="314"/>
      <c r="C76" s="314"/>
      <c r="D76" s="314"/>
      <c r="E76" s="314"/>
      <c r="F76" s="314"/>
      <c r="G76" s="314"/>
      <c r="H76" s="314"/>
      <c r="I76" s="314"/>
      <c r="J76" s="314"/>
      <c r="K76" s="314"/>
      <c r="L76" s="314"/>
      <c r="M76" s="314"/>
      <c r="N76" s="314"/>
      <c r="O76" s="314"/>
      <c r="P76" s="314"/>
      <c r="Q76" s="314"/>
      <c r="R76" s="314"/>
      <c r="S76" s="314"/>
      <c r="T76" s="314"/>
      <c r="U76" s="314"/>
      <c r="V76" s="314"/>
      <c r="W76" s="315"/>
    </row>
    <row r="77" spans="1:26" s="91" customFormat="1" ht="16.5" customHeight="1" thickBot="1" x14ac:dyDescent="0.25">
      <c r="A77" s="101"/>
      <c r="B77" s="340" t="s">
        <v>689</v>
      </c>
      <c r="C77" s="340"/>
      <c r="D77" s="340"/>
      <c r="E77" s="340"/>
      <c r="F77" s="340"/>
      <c r="G77" s="340"/>
      <c r="H77" s="340"/>
      <c r="I77" s="340"/>
      <c r="J77" s="340"/>
      <c r="K77" s="340"/>
      <c r="L77" s="340"/>
      <c r="M77" s="340"/>
      <c r="N77" s="340"/>
      <c r="O77" s="340"/>
      <c r="P77" s="340"/>
      <c r="Q77" s="340"/>
      <c r="R77" s="340"/>
      <c r="S77" s="340"/>
      <c r="T77" s="340"/>
      <c r="U77" s="340"/>
      <c r="V77" s="340"/>
      <c r="W77" s="341"/>
    </row>
    <row r="78" spans="1:26" s="91" customFormat="1" ht="13.5" thickBot="1" x14ac:dyDescent="0.25">
      <c r="A78" s="102"/>
      <c r="B78" s="80">
        <v>86</v>
      </c>
      <c r="C78" s="73" t="s">
        <v>375</v>
      </c>
      <c r="D78" s="81" t="s">
        <v>41</v>
      </c>
      <c r="E78" s="74" t="s">
        <v>376</v>
      </c>
      <c r="F78" s="81">
        <v>1053</v>
      </c>
      <c r="G78" s="81">
        <v>27899</v>
      </c>
      <c r="H78" s="79">
        <v>98045</v>
      </c>
      <c r="I78" s="79">
        <v>18067</v>
      </c>
      <c r="J78" s="75" t="s">
        <v>377</v>
      </c>
      <c r="K78" s="75" t="s">
        <v>258</v>
      </c>
      <c r="L78" s="75" t="s">
        <v>378</v>
      </c>
      <c r="M78" s="75" t="s">
        <v>380</v>
      </c>
      <c r="N78" s="76" t="s">
        <v>379</v>
      </c>
      <c r="O78" s="42" t="s">
        <v>672</v>
      </c>
      <c r="P78" s="308" t="s">
        <v>711</v>
      </c>
      <c r="Q78" s="308"/>
      <c r="R78" s="308"/>
      <c r="S78" s="308"/>
      <c r="T78" s="308"/>
      <c r="U78" s="308"/>
      <c r="V78" s="308"/>
      <c r="W78" s="309"/>
    </row>
    <row r="79" spans="1:26" s="91" customFormat="1" ht="18.75" thickBot="1" x14ac:dyDescent="0.3">
      <c r="A79" s="310" t="s">
        <v>704</v>
      </c>
      <c r="B79" s="311"/>
      <c r="C79" s="311"/>
      <c r="D79" s="311"/>
      <c r="E79" s="311"/>
      <c r="F79" s="311"/>
      <c r="G79" s="311"/>
      <c r="H79" s="311"/>
      <c r="I79" s="311"/>
      <c r="J79" s="311"/>
      <c r="K79" s="311"/>
      <c r="L79" s="311"/>
      <c r="M79" s="311"/>
      <c r="N79" s="311"/>
      <c r="O79" s="311"/>
      <c r="P79" s="311"/>
      <c r="Q79" s="311"/>
      <c r="R79" s="311"/>
      <c r="S79" s="311"/>
      <c r="T79" s="311"/>
      <c r="U79" s="311"/>
      <c r="V79" s="311"/>
      <c r="W79" s="312"/>
    </row>
    <row r="80" spans="1:26" s="91" customFormat="1" ht="16.5" customHeight="1" thickBot="1" x14ac:dyDescent="0.25">
      <c r="A80" s="101"/>
      <c r="B80" s="334">
        <v>19</v>
      </c>
      <c r="C80" s="74" t="s">
        <v>192</v>
      </c>
      <c r="D80" s="81" t="s">
        <v>628</v>
      </c>
      <c r="E80" s="74" t="s">
        <v>193</v>
      </c>
      <c r="F80" s="81">
        <v>1008</v>
      </c>
      <c r="G80" s="81">
        <v>25867</v>
      </c>
      <c r="H80" s="79">
        <v>29825</v>
      </c>
      <c r="I80" s="79">
        <v>4522</v>
      </c>
      <c r="J80" s="75" t="s">
        <v>194</v>
      </c>
      <c r="K80" s="75" t="s">
        <v>7</v>
      </c>
      <c r="L80" s="75" t="s">
        <v>690</v>
      </c>
      <c r="M80" s="75" t="s">
        <v>52</v>
      </c>
      <c r="N80" s="76" t="s">
        <v>195</v>
      </c>
      <c r="O80" s="106" t="s">
        <v>622</v>
      </c>
      <c r="P80" s="336" t="s">
        <v>710</v>
      </c>
      <c r="Q80" s="336"/>
      <c r="R80" s="336"/>
      <c r="S80" s="336"/>
      <c r="T80" s="336"/>
      <c r="U80" s="336"/>
      <c r="V80" s="336"/>
      <c r="W80" s="337"/>
    </row>
    <row r="81" spans="1:23" s="91" customFormat="1" ht="13.5" customHeight="1" thickBot="1" x14ac:dyDescent="0.25">
      <c r="A81" s="102"/>
      <c r="B81" s="335"/>
      <c r="C81" s="338" t="s">
        <v>700</v>
      </c>
      <c r="D81" s="338"/>
      <c r="E81" s="338"/>
      <c r="F81" s="338"/>
      <c r="G81" s="338"/>
      <c r="H81" s="338"/>
      <c r="I81" s="338"/>
      <c r="J81" s="338"/>
      <c r="K81" s="338"/>
      <c r="L81" s="338"/>
      <c r="M81" s="338"/>
      <c r="N81" s="338"/>
      <c r="O81" s="338"/>
      <c r="P81" s="338"/>
      <c r="Q81" s="338"/>
      <c r="R81" s="338"/>
      <c r="S81" s="338"/>
      <c r="T81" s="338"/>
      <c r="U81" s="338"/>
      <c r="V81" s="338"/>
      <c r="W81" s="339"/>
    </row>
    <row r="82" spans="1:23" s="91" customFormat="1" ht="16.5" customHeight="1" thickBot="1" x14ac:dyDescent="0.25">
      <c r="A82" s="101"/>
      <c r="B82" s="334">
        <v>54</v>
      </c>
      <c r="C82" s="74" t="s">
        <v>50</v>
      </c>
      <c r="D82" s="81">
        <v>400</v>
      </c>
      <c r="E82" s="74" t="s">
        <v>51</v>
      </c>
      <c r="F82" s="81">
        <v>1030</v>
      </c>
      <c r="G82" s="81">
        <v>26549</v>
      </c>
      <c r="H82" s="79">
        <v>80777</v>
      </c>
      <c r="I82" s="79">
        <v>11697</v>
      </c>
      <c r="J82" s="75" t="s">
        <v>54</v>
      </c>
      <c r="K82" s="75" t="s">
        <v>693</v>
      </c>
      <c r="L82" s="75" t="s">
        <v>692</v>
      </c>
      <c r="M82" s="75" t="s">
        <v>52</v>
      </c>
      <c r="N82" s="76" t="s">
        <v>53</v>
      </c>
      <c r="O82" s="106" t="s">
        <v>622</v>
      </c>
      <c r="P82" s="336" t="s">
        <v>709</v>
      </c>
      <c r="Q82" s="336"/>
      <c r="R82" s="336"/>
      <c r="S82" s="336"/>
      <c r="T82" s="336"/>
      <c r="U82" s="336"/>
      <c r="V82" s="336"/>
      <c r="W82" s="337"/>
    </row>
    <row r="83" spans="1:23" s="91" customFormat="1" ht="13.5" customHeight="1" thickBot="1" x14ac:dyDescent="0.25">
      <c r="A83" s="102"/>
      <c r="B83" s="335"/>
      <c r="C83" s="338" t="s">
        <v>699</v>
      </c>
      <c r="D83" s="338"/>
      <c r="E83" s="338"/>
      <c r="F83" s="338"/>
      <c r="G83" s="338"/>
      <c r="H83" s="338"/>
      <c r="I83" s="338"/>
      <c r="J83" s="338"/>
      <c r="K83" s="338"/>
      <c r="L83" s="338"/>
      <c r="M83" s="338"/>
      <c r="N83" s="338"/>
      <c r="O83" s="338"/>
      <c r="P83" s="338"/>
      <c r="Q83" s="338"/>
      <c r="R83" s="338"/>
      <c r="S83" s="338"/>
      <c r="T83" s="338"/>
      <c r="U83" s="338"/>
      <c r="V83" s="338"/>
      <c r="W83" s="339"/>
    </row>
  </sheetData>
  <mergeCells count="80">
    <mergeCell ref="A2:W2"/>
    <mergeCell ref="A3:W3"/>
    <mergeCell ref="A4:W4"/>
    <mergeCell ref="P9:W9"/>
    <mergeCell ref="B17:W17"/>
    <mergeCell ref="P5:W5"/>
    <mergeCell ref="A6:W6"/>
    <mergeCell ref="P7:W7"/>
    <mergeCell ref="A10:W10"/>
    <mergeCell ref="B11:W11"/>
    <mergeCell ref="A8:W8"/>
    <mergeCell ref="P12:W12"/>
    <mergeCell ref="P13:W13"/>
    <mergeCell ref="P14:W14"/>
    <mergeCell ref="P15:W15"/>
    <mergeCell ref="A16:W16"/>
    <mergeCell ref="P18:W18"/>
    <mergeCell ref="A19:W19"/>
    <mergeCell ref="P20:W20"/>
    <mergeCell ref="S24:W24"/>
    <mergeCell ref="S25:W25"/>
    <mergeCell ref="A26:W26"/>
    <mergeCell ref="A27:W27"/>
    <mergeCell ref="P28:W28"/>
    <mergeCell ref="P29:W29"/>
    <mergeCell ref="P30:W30"/>
    <mergeCell ref="B42:W42"/>
    <mergeCell ref="A31:W31"/>
    <mergeCell ref="B32:W32"/>
    <mergeCell ref="B33:W33"/>
    <mergeCell ref="P34:W34"/>
    <mergeCell ref="B35:W35"/>
    <mergeCell ref="P36:W36"/>
    <mergeCell ref="P37:W37"/>
    <mergeCell ref="P38:W38"/>
    <mergeCell ref="P39:W39"/>
    <mergeCell ref="A40:W40"/>
    <mergeCell ref="B41:W41"/>
    <mergeCell ref="P56:W56"/>
    <mergeCell ref="B43:W43"/>
    <mergeCell ref="P44:W44"/>
    <mergeCell ref="A45:W45"/>
    <mergeCell ref="P46:W46"/>
    <mergeCell ref="P47:W47"/>
    <mergeCell ref="P48:W48"/>
    <mergeCell ref="P49:W49"/>
    <mergeCell ref="A50:W50"/>
    <mergeCell ref="P52:W52"/>
    <mergeCell ref="A53:W53"/>
    <mergeCell ref="A55:W55"/>
    <mergeCell ref="P51:W51"/>
    <mergeCell ref="P69:W69"/>
    <mergeCell ref="A57:W57"/>
    <mergeCell ref="B58:W58"/>
    <mergeCell ref="P59:W59"/>
    <mergeCell ref="P60:W60"/>
    <mergeCell ref="A61:W61"/>
    <mergeCell ref="B62:W62"/>
    <mergeCell ref="P63:W63"/>
    <mergeCell ref="P65:W65"/>
    <mergeCell ref="A66:W66"/>
    <mergeCell ref="P67:W67"/>
    <mergeCell ref="P68:W68"/>
    <mergeCell ref="P64:W64"/>
    <mergeCell ref="A76:W76"/>
    <mergeCell ref="B77:W77"/>
    <mergeCell ref="P78:W78"/>
    <mergeCell ref="A79:W79"/>
    <mergeCell ref="P70:W70"/>
    <mergeCell ref="P71:W71"/>
    <mergeCell ref="A72:W72"/>
    <mergeCell ref="P73:W73"/>
    <mergeCell ref="P74:W74"/>
    <mergeCell ref="A75:W75"/>
    <mergeCell ref="B80:B81"/>
    <mergeCell ref="P80:W80"/>
    <mergeCell ref="C81:W81"/>
    <mergeCell ref="B82:B83"/>
    <mergeCell ref="P82:W82"/>
    <mergeCell ref="C83:W83"/>
  </mergeCells>
  <printOptions gridLines="1"/>
  <pageMargins left="0.1" right="0.1" top="0.1" bottom="0.1" header="0.3" footer="0.3"/>
  <pageSetup scale="4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V77"/>
  <sheetViews>
    <sheetView zoomScale="70" zoomScaleNormal="70" workbookViewId="0">
      <pane ySplit="1" topLeftCell="A2" activePane="bottomLeft" state="frozen"/>
      <selection activeCell="C1" sqref="C1"/>
      <selection pane="bottomLeft" activeCell="A21" sqref="A21:V21"/>
    </sheetView>
  </sheetViews>
  <sheetFormatPr defaultRowHeight="12.75" x14ac:dyDescent="0.2"/>
  <cols>
    <col min="1" max="1" width="3.5703125" customWidth="1"/>
    <col min="2" max="2" width="4.140625" style="91" customWidth="1"/>
    <col min="3" max="3" width="17.85546875" style="91" bestFit="1" customWidth="1"/>
    <col min="4" max="4" width="8.28515625" style="91" customWidth="1"/>
    <col min="5" max="5" width="6.85546875" style="91" bestFit="1" customWidth="1"/>
    <col min="6" max="6" width="6.140625" style="91" bestFit="1" customWidth="1"/>
    <col min="7" max="7" width="6.42578125" bestFit="1" customWidth="1"/>
    <col min="8" max="8" width="7.85546875" style="4" bestFit="1" customWidth="1"/>
    <col min="9" max="9" width="7.42578125" style="4" bestFit="1" customWidth="1"/>
    <col min="10" max="10" width="11.140625" bestFit="1" customWidth="1"/>
    <col min="11" max="11" width="3.5703125" bestFit="1" customWidth="1"/>
    <col min="12" max="12" width="6.5703125" bestFit="1" customWidth="1"/>
    <col min="13" max="13" width="15.7109375" bestFit="1" customWidth="1"/>
    <col min="14" max="14" width="10.5703125" style="91" bestFit="1" customWidth="1"/>
    <col min="15" max="15" width="6.42578125" style="91" bestFit="1" customWidth="1"/>
    <col min="16" max="16" width="16" style="91" bestFit="1" customWidth="1"/>
    <col min="17" max="17" width="21" style="91" customWidth="1"/>
    <col min="18" max="18" width="5.7109375" style="91" bestFit="1" customWidth="1"/>
    <col min="19" max="19" width="42.28515625" style="91" customWidth="1"/>
    <col min="20" max="20" width="10.28515625" style="91" bestFit="1" customWidth="1"/>
    <col min="21" max="21" width="14.140625" style="91" bestFit="1" customWidth="1"/>
    <col min="22" max="22" width="36" style="91" customWidth="1"/>
    <col min="23" max="37" width="3.7109375" customWidth="1"/>
  </cols>
  <sheetData>
    <row r="1" spans="1:22" s="91" customFormat="1" ht="13.5" thickBot="1" x14ac:dyDescent="0.25">
      <c r="A1" s="62"/>
      <c r="B1" s="62" t="s">
        <v>4</v>
      </c>
      <c r="C1" s="36" t="s">
        <v>5</v>
      </c>
      <c r="D1" s="36" t="s">
        <v>635</v>
      </c>
      <c r="E1" s="36" t="s">
        <v>8</v>
      </c>
      <c r="F1" s="36" t="s">
        <v>6</v>
      </c>
      <c r="G1" s="36" t="s">
        <v>9</v>
      </c>
      <c r="H1" s="63" t="s">
        <v>10</v>
      </c>
      <c r="I1" s="63" t="s">
        <v>11</v>
      </c>
      <c r="J1" s="36" t="s">
        <v>12</v>
      </c>
      <c r="K1" s="61" t="s">
        <v>7</v>
      </c>
      <c r="L1" s="36" t="s">
        <v>13</v>
      </c>
      <c r="M1" s="36" t="s">
        <v>16</v>
      </c>
      <c r="N1" s="36" t="s">
        <v>36</v>
      </c>
      <c r="O1" s="64">
        <v>8100</v>
      </c>
      <c r="P1" s="2"/>
      <c r="Q1" s="2"/>
      <c r="R1" s="165"/>
      <c r="S1" s="2"/>
      <c r="T1" s="2"/>
      <c r="U1" s="2"/>
      <c r="V1" s="2"/>
    </row>
    <row r="2" spans="1:22" s="91" customFormat="1" ht="24" thickBot="1" x14ac:dyDescent="0.25">
      <c r="A2" s="324" t="s">
        <v>678</v>
      </c>
      <c r="B2" s="325"/>
      <c r="C2" s="325"/>
      <c r="D2" s="325"/>
      <c r="E2" s="325"/>
      <c r="F2" s="325"/>
      <c r="G2" s="325"/>
      <c r="H2" s="325"/>
      <c r="I2" s="325"/>
      <c r="J2" s="325"/>
      <c r="K2" s="325"/>
      <c r="L2" s="325"/>
      <c r="M2" s="325"/>
      <c r="N2" s="325"/>
      <c r="O2" s="325"/>
      <c r="P2" s="325"/>
      <c r="Q2" s="325"/>
      <c r="R2" s="325"/>
      <c r="S2" s="325"/>
      <c r="T2" s="325"/>
      <c r="U2" s="325"/>
      <c r="V2" s="356"/>
    </row>
    <row r="3" spans="1:22" s="91" customFormat="1" ht="21" thickBot="1" x14ac:dyDescent="0.25">
      <c r="A3" s="328" t="s">
        <v>533</v>
      </c>
      <c r="B3" s="329"/>
      <c r="C3" s="329"/>
      <c r="D3" s="329"/>
      <c r="E3" s="329"/>
      <c r="F3" s="329"/>
      <c r="G3" s="329"/>
      <c r="H3" s="329"/>
      <c r="I3" s="329"/>
      <c r="J3" s="329"/>
      <c r="K3" s="329"/>
      <c r="L3" s="329"/>
      <c r="M3" s="329"/>
      <c r="N3" s="329"/>
      <c r="O3" s="329"/>
      <c r="P3" s="329"/>
      <c r="Q3" s="329"/>
      <c r="R3" s="329"/>
      <c r="S3" s="329"/>
      <c r="T3" s="329"/>
      <c r="U3" s="329"/>
      <c r="V3" s="330"/>
    </row>
    <row r="4" spans="1:22" s="91" customFormat="1" ht="18.75" thickBot="1" x14ac:dyDescent="0.3">
      <c r="A4" s="310" t="s">
        <v>747</v>
      </c>
      <c r="B4" s="311"/>
      <c r="C4" s="311"/>
      <c r="D4" s="311"/>
      <c r="E4" s="311"/>
      <c r="F4" s="311"/>
      <c r="G4" s="311"/>
      <c r="H4" s="311"/>
      <c r="I4" s="311"/>
      <c r="J4" s="311"/>
      <c r="K4" s="311"/>
      <c r="L4" s="311"/>
      <c r="M4" s="311"/>
      <c r="N4" s="311"/>
      <c r="O4" s="311"/>
      <c r="P4" s="311"/>
      <c r="Q4" s="311"/>
      <c r="R4" s="311"/>
      <c r="S4" s="311"/>
      <c r="T4" s="311"/>
      <c r="U4" s="311"/>
      <c r="V4" s="312"/>
    </row>
    <row r="5" spans="1:22" s="91" customFormat="1" ht="15" customHeight="1" thickBot="1" x14ac:dyDescent="0.25">
      <c r="A5" s="180"/>
      <c r="B5" s="73">
        <v>82</v>
      </c>
      <c r="C5" s="73" t="s">
        <v>329</v>
      </c>
      <c r="D5" s="74" t="s">
        <v>560</v>
      </c>
      <c r="E5" s="74" t="s">
        <v>330</v>
      </c>
      <c r="F5" s="74">
        <v>982</v>
      </c>
      <c r="G5" s="74">
        <v>26500</v>
      </c>
      <c r="H5" s="75">
        <v>41854</v>
      </c>
      <c r="I5" s="75">
        <v>18620</v>
      </c>
      <c r="J5" s="75" t="s">
        <v>332</v>
      </c>
      <c r="K5" s="75" t="s">
        <v>7</v>
      </c>
      <c r="L5" s="75" t="s">
        <v>331</v>
      </c>
      <c r="M5" s="75" t="s">
        <v>333</v>
      </c>
      <c r="N5" s="76" t="s">
        <v>334</v>
      </c>
      <c r="O5" s="42" t="s">
        <v>246</v>
      </c>
      <c r="P5" s="307" t="s">
        <v>757</v>
      </c>
      <c r="Q5" s="308"/>
      <c r="R5" s="308"/>
      <c r="S5" s="308"/>
      <c r="T5" s="308"/>
      <c r="U5" s="308"/>
      <c r="V5" s="309"/>
    </row>
    <row r="6" spans="1:22" s="2" customFormat="1" ht="15" customHeight="1" thickBot="1" x14ac:dyDescent="0.25">
      <c r="A6" s="180"/>
      <c r="B6" s="73">
        <v>102</v>
      </c>
      <c r="C6" s="73" t="s">
        <v>474</v>
      </c>
      <c r="D6" s="74" t="s">
        <v>526</v>
      </c>
      <c r="E6" s="74" t="s">
        <v>475</v>
      </c>
      <c r="F6" s="74">
        <v>226</v>
      </c>
      <c r="G6" s="74">
        <v>29369</v>
      </c>
      <c r="H6" s="75">
        <v>95808</v>
      </c>
      <c r="I6" s="75">
        <v>29969</v>
      </c>
      <c r="J6" s="75" t="s">
        <v>476</v>
      </c>
      <c r="K6" s="75" t="s">
        <v>7</v>
      </c>
      <c r="L6" s="75" t="s">
        <v>477</v>
      </c>
      <c r="M6" s="75" t="s">
        <v>154</v>
      </c>
      <c r="N6" s="76" t="s">
        <v>478</v>
      </c>
      <c r="O6" s="42" t="s">
        <v>246</v>
      </c>
      <c r="P6" s="307" t="s">
        <v>759</v>
      </c>
      <c r="Q6" s="308"/>
      <c r="R6" s="308"/>
      <c r="S6" s="308"/>
      <c r="T6" s="308"/>
      <c r="U6" s="308"/>
      <c r="V6" s="309"/>
    </row>
    <row r="7" spans="1:22" s="91" customFormat="1" ht="15" customHeight="1" thickBot="1" x14ac:dyDescent="0.25">
      <c r="A7" s="180"/>
      <c r="B7" s="73">
        <v>108</v>
      </c>
      <c r="C7" s="73" t="s">
        <v>519</v>
      </c>
      <c r="D7" s="74" t="s">
        <v>528</v>
      </c>
      <c r="E7" s="74" t="s">
        <v>520</v>
      </c>
      <c r="F7" s="74">
        <v>155</v>
      </c>
      <c r="G7" s="74">
        <v>22691</v>
      </c>
      <c r="H7" s="75">
        <v>73740</v>
      </c>
      <c r="I7" s="75">
        <v>30582</v>
      </c>
      <c r="J7" s="75" t="s">
        <v>521</v>
      </c>
      <c r="K7" s="75" t="s">
        <v>7</v>
      </c>
      <c r="L7" s="75" t="s">
        <v>522</v>
      </c>
      <c r="M7" s="75" t="s">
        <v>523</v>
      </c>
      <c r="N7" s="76">
        <v>34</v>
      </c>
      <c r="O7" s="42" t="s">
        <v>246</v>
      </c>
      <c r="P7" s="307" t="s">
        <v>758</v>
      </c>
      <c r="Q7" s="308"/>
      <c r="R7" s="308"/>
      <c r="S7" s="308"/>
      <c r="T7" s="308"/>
      <c r="U7" s="308"/>
      <c r="V7" s="309"/>
    </row>
    <row r="8" spans="1:22" s="91" customFormat="1" ht="15" customHeight="1" thickBot="1" x14ac:dyDescent="0.25">
      <c r="A8" s="161"/>
      <c r="B8" s="73">
        <v>36</v>
      </c>
      <c r="C8" s="73" t="s">
        <v>115</v>
      </c>
      <c r="D8" s="74" t="s">
        <v>527</v>
      </c>
      <c r="E8" s="74" t="s">
        <v>113</v>
      </c>
      <c r="F8" s="74">
        <v>410</v>
      </c>
      <c r="G8" s="74">
        <v>24616</v>
      </c>
      <c r="H8" s="75">
        <v>70042</v>
      </c>
      <c r="I8" s="75">
        <v>24266</v>
      </c>
      <c r="J8" s="75" t="s">
        <v>114</v>
      </c>
      <c r="K8" s="75" t="s">
        <v>7</v>
      </c>
      <c r="L8" s="75" t="s">
        <v>679</v>
      </c>
      <c r="M8" s="75" t="s">
        <v>117</v>
      </c>
      <c r="N8" s="76" t="s">
        <v>116</v>
      </c>
      <c r="O8" s="42" t="s">
        <v>246</v>
      </c>
      <c r="P8" s="307" t="s">
        <v>708</v>
      </c>
      <c r="Q8" s="308"/>
      <c r="R8" s="308"/>
      <c r="S8" s="308"/>
      <c r="T8" s="308"/>
      <c r="U8" s="308"/>
      <c r="V8" s="309"/>
    </row>
    <row r="9" spans="1:22" s="91" customFormat="1" ht="15" customHeight="1" thickBot="1" x14ac:dyDescent="0.25">
      <c r="A9" s="162"/>
      <c r="B9" s="73">
        <v>60</v>
      </c>
      <c r="C9" s="73" t="s">
        <v>18</v>
      </c>
      <c r="D9" s="74" t="s">
        <v>560</v>
      </c>
      <c r="E9" s="74" t="s">
        <v>21</v>
      </c>
      <c r="F9" s="74">
        <v>498</v>
      </c>
      <c r="G9" s="74">
        <v>26674</v>
      </c>
      <c r="H9" s="75">
        <v>72134</v>
      </c>
      <c r="I9" s="75">
        <v>25660</v>
      </c>
      <c r="J9" s="75" t="s">
        <v>22</v>
      </c>
      <c r="K9" s="75" t="s">
        <v>7</v>
      </c>
      <c r="L9" s="75" t="s">
        <v>23</v>
      </c>
      <c r="M9" s="75" t="s">
        <v>19</v>
      </c>
      <c r="N9" s="76" t="s">
        <v>20</v>
      </c>
      <c r="O9" s="42" t="s">
        <v>246</v>
      </c>
      <c r="P9" s="307" t="s">
        <v>706</v>
      </c>
      <c r="Q9" s="308"/>
      <c r="R9" s="308"/>
      <c r="S9" s="308"/>
      <c r="T9" s="308"/>
      <c r="U9" s="308"/>
      <c r="V9" s="309"/>
    </row>
    <row r="10" spans="1:22" s="91" customFormat="1" ht="15" customHeight="1" thickBot="1" x14ac:dyDescent="0.25">
      <c r="A10" s="163"/>
      <c r="B10" s="85">
        <v>74</v>
      </c>
      <c r="C10" s="74" t="s">
        <v>299</v>
      </c>
      <c r="D10" s="74" t="s">
        <v>527</v>
      </c>
      <c r="E10" s="74" t="s">
        <v>300</v>
      </c>
      <c r="F10" s="74">
        <v>664</v>
      </c>
      <c r="G10" s="74">
        <v>27053</v>
      </c>
      <c r="H10" s="75">
        <v>65061</v>
      </c>
      <c r="I10" s="75">
        <v>22691</v>
      </c>
      <c r="J10" s="75" t="s">
        <v>301</v>
      </c>
      <c r="K10" s="75" t="s">
        <v>7</v>
      </c>
      <c r="L10" s="75" t="s">
        <v>302</v>
      </c>
      <c r="M10" s="75" t="s">
        <v>86</v>
      </c>
      <c r="N10" s="90" t="s">
        <v>303</v>
      </c>
      <c r="O10" s="42" t="s">
        <v>246</v>
      </c>
      <c r="P10" s="307" t="s">
        <v>707</v>
      </c>
      <c r="Q10" s="308"/>
      <c r="R10" s="308"/>
      <c r="S10" s="308"/>
      <c r="T10" s="308"/>
      <c r="U10" s="308"/>
      <c r="V10" s="309"/>
    </row>
    <row r="11" spans="1:22" s="91" customFormat="1" ht="18.75" thickBot="1" x14ac:dyDescent="0.3">
      <c r="A11" s="310" t="s">
        <v>741</v>
      </c>
      <c r="B11" s="311"/>
      <c r="C11" s="311"/>
      <c r="D11" s="311"/>
      <c r="E11" s="311"/>
      <c r="F11" s="311"/>
      <c r="G11" s="311"/>
      <c r="H11" s="311"/>
      <c r="I11" s="311"/>
      <c r="J11" s="311"/>
      <c r="K11" s="311"/>
      <c r="L11" s="311"/>
      <c r="M11" s="311"/>
      <c r="N11" s="311"/>
      <c r="O11" s="311"/>
      <c r="P11" s="311"/>
      <c r="Q11" s="311"/>
      <c r="R11" s="311"/>
      <c r="S11" s="311"/>
      <c r="T11" s="311"/>
      <c r="U11" s="311"/>
      <c r="V11" s="312"/>
    </row>
    <row r="12" spans="1:22" s="91" customFormat="1" ht="15" customHeight="1" thickBot="1" x14ac:dyDescent="0.25">
      <c r="A12" s="112"/>
      <c r="B12" s="73">
        <v>45</v>
      </c>
      <c r="C12" s="73" t="s">
        <v>85</v>
      </c>
      <c r="D12" s="74" t="s">
        <v>527</v>
      </c>
      <c r="E12" s="74" t="s">
        <v>87</v>
      </c>
      <c r="F12" s="74"/>
      <c r="G12" s="74">
        <v>25059</v>
      </c>
      <c r="H12" s="75">
        <v>33581</v>
      </c>
      <c r="I12" s="75">
        <v>30265</v>
      </c>
      <c r="J12" s="75" t="s">
        <v>88</v>
      </c>
      <c r="K12" s="75" t="s">
        <v>7</v>
      </c>
      <c r="L12" s="75"/>
      <c r="M12" s="75" t="s">
        <v>119</v>
      </c>
      <c r="N12" s="90" t="s">
        <v>742</v>
      </c>
      <c r="O12" s="42" t="s">
        <v>685</v>
      </c>
      <c r="P12" s="307" t="s">
        <v>743</v>
      </c>
      <c r="Q12" s="308"/>
      <c r="R12" s="308"/>
      <c r="S12" s="308"/>
      <c r="T12" s="308"/>
      <c r="U12" s="308"/>
      <c r="V12" s="309"/>
    </row>
    <row r="13" spans="1:22" s="91" customFormat="1" ht="15" customHeight="1" thickBot="1" x14ac:dyDescent="0.25">
      <c r="A13" s="118"/>
      <c r="B13" s="73">
        <v>8</v>
      </c>
      <c r="C13" s="73" t="s">
        <v>212</v>
      </c>
      <c r="D13" s="74" t="s">
        <v>526</v>
      </c>
      <c r="E13" s="74" t="s">
        <v>213</v>
      </c>
      <c r="F13" s="74"/>
      <c r="G13" s="74">
        <v>24371</v>
      </c>
      <c r="H13" s="75">
        <v>51819</v>
      </c>
      <c r="I13" s="75">
        <v>22004</v>
      </c>
      <c r="J13" s="75" t="s">
        <v>214</v>
      </c>
      <c r="K13" s="75"/>
      <c r="L13" s="75"/>
      <c r="M13" s="75" t="s">
        <v>154</v>
      </c>
      <c r="N13" s="90">
        <v>181</v>
      </c>
      <c r="O13" s="42" t="s">
        <v>555</v>
      </c>
      <c r="P13" s="307" t="s">
        <v>748</v>
      </c>
      <c r="Q13" s="308"/>
      <c r="R13" s="308"/>
      <c r="S13" s="308"/>
      <c r="T13" s="308"/>
      <c r="U13" s="308"/>
      <c r="V13" s="309"/>
    </row>
    <row r="14" spans="1:22" s="91" customFormat="1" ht="18.75" thickBot="1" x14ac:dyDescent="0.3">
      <c r="A14" s="310" t="s">
        <v>745</v>
      </c>
      <c r="B14" s="311"/>
      <c r="C14" s="311"/>
      <c r="D14" s="311"/>
      <c r="E14" s="311"/>
      <c r="F14" s="311"/>
      <c r="G14" s="311"/>
      <c r="H14" s="311"/>
      <c r="I14" s="311"/>
      <c r="J14" s="311"/>
      <c r="K14" s="311"/>
      <c r="L14" s="311"/>
      <c r="M14" s="311"/>
      <c r="N14" s="311"/>
      <c r="O14" s="311"/>
      <c r="P14" s="311"/>
      <c r="Q14" s="311"/>
      <c r="R14" s="311"/>
      <c r="S14" s="311"/>
      <c r="T14" s="311"/>
      <c r="U14" s="311"/>
      <c r="V14" s="312"/>
    </row>
    <row r="15" spans="1:22" s="91" customFormat="1" ht="15.75" thickBot="1" x14ac:dyDescent="0.25">
      <c r="A15" s="100"/>
      <c r="B15" s="364" t="s">
        <v>744</v>
      </c>
      <c r="C15" s="365"/>
      <c r="D15" s="365"/>
      <c r="E15" s="365"/>
      <c r="F15" s="365"/>
      <c r="G15" s="365"/>
      <c r="H15" s="365"/>
      <c r="I15" s="365"/>
      <c r="J15" s="365"/>
      <c r="K15" s="365"/>
      <c r="L15" s="365"/>
      <c r="M15" s="365"/>
      <c r="N15" s="365"/>
      <c r="O15" s="365"/>
      <c r="P15" s="365"/>
      <c r="Q15" s="365"/>
      <c r="R15" s="365"/>
      <c r="S15" s="365"/>
      <c r="T15" s="365"/>
      <c r="U15" s="365"/>
      <c r="V15" s="366"/>
    </row>
    <row r="16" spans="1:22" s="91" customFormat="1" ht="15" customHeight="1" thickBot="1" x14ac:dyDescent="0.25">
      <c r="A16" s="112"/>
      <c r="B16" s="73">
        <v>65</v>
      </c>
      <c r="C16" s="73" t="s">
        <v>248</v>
      </c>
      <c r="D16" s="74" t="s">
        <v>447</v>
      </c>
      <c r="E16" s="74" t="s">
        <v>3</v>
      </c>
      <c r="F16" s="74">
        <v>350</v>
      </c>
      <c r="G16" s="74">
        <v>24598</v>
      </c>
      <c r="H16" s="75">
        <v>74090</v>
      </c>
      <c r="I16" s="75">
        <v>26357</v>
      </c>
      <c r="J16" s="75" t="s">
        <v>239</v>
      </c>
      <c r="K16" s="75" t="s">
        <v>7</v>
      </c>
      <c r="L16" s="75" t="s">
        <v>14</v>
      </c>
      <c r="M16" s="75" t="s">
        <v>154</v>
      </c>
      <c r="N16" s="90" t="s">
        <v>107</v>
      </c>
      <c r="O16" s="42" t="s">
        <v>685</v>
      </c>
      <c r="P16" s="307" t="s">
        <v>738</v>
      </c>
      <c r="Q16" s="308"/>
      <c r="R16" s="308"/>
      <c r="S16" s="308"/>
      <c r="T16" s="308"/>
      <c r="U16" s="308"/>
      <c r="V16" s="309"/>
    </row>
    <row r="17" spans="1:22" s="91" customFormat="1" ht="15" customHeight="1" thickBot="1" x14ac:dyDescent="0.25">
      <c r="A17" s="112"/>
      <c r="B17" s="87">
        <v>63</v>
      </c>
      <c r="C17" s="87" t="s">
        <v>1</v>
      </c>
      <c r="D17" s="49" t="s">
        <v>527</v>
      </c>
      <c r="E17" s="49" t="s">
        <v>680</v>
      </c>
      <c r="F17" s="88">
        <v>979</v>
      </c>
      <c r="G17" s="88">
        <v>32386</v>
      </c>
      <c r="H17" s="89">
        <v>51497</v>
      </c>
      <c r="I17" s="89">
        <v>13141</v>
      </c>
      <c r="J17" s="50" t="s">
        <v>681</v>
      </c>
      <c r="K17" s="69" t="s">
        <v>7</v>
      </c>
      <c r="L17" s="50" t="s">
        <v>682</v>
      </c>
      <c r="M17" s="69" t="s">
        <v>683</v>
      </c>
      <c r="N17" s="51" t="s">
        <v>684</v>
      </c>
      <c r="O17" s="42" t="s">
        <v>685</v>
      </c>
      <c r="P17" s="307" t="s">
        <v>739</v>
      </c>
      <c r="Q17" s="308"/>
      <c r="R17" s="308"/>
      <c r="S17" s="308"/>
      <c r="T17" s="308"/>
      <c r="U17" s="308"/>
      <c r="V17" s="309"/>
    </row>
    <row r="18" spans="1:22" s="91" customFormat="1" ht="15" customHeight="1" thickBot="1" x14ac:dyDescent="0.25">
      <c r="A18" s="112"/>
      <c r="B18" s="39">
        <v>11</v>
      </c>
      <c r="C18" s="57" t="s">
        <v>203</v>
      </c>
      <c r="D18" s="58" t="s">
        <v>447</v>
      </c>
      <c r="E18" s="58" t="s">
        <v>204</v>
      </c>
      <c r="F18" s="40">
        <v>25</v>
      </c>
      <c r="G18" s="40">
        <v>22180</v>
      </c>
      <c r="H18" s="41">
        <v>43934</v>
      </c>
      <c r="I18" s="41">
        <v>36560</v>
      </c>
      <c r="J18" s="59" t="s">
        <v>205</v>
      </c>
      <c r="K18" s="41" t="s">
        <v>657</v>
      </c>
      <c r="L18" s="41" t="s">
        <v>735</v>
      </c>
      <c r="M18" s="41" t="s">
        <v>154</v>
      </c>
      <c r="N18" s="60">
        <v>75</v>
      </c>
      <c r="O18" s="42" t="s">
        <v>736</v>
      </c>
      <c r="P18" s="307" t="s">
        <v>740</v>
      </c>
      <c r="Q18" s="308"/>
      <c r="R18" s="308"/>
      <c r="S18" s="308"/>
      <c r="T18" s="308"/>
      <c r="U18" s="308"/>
      <c r="V18" s="309"/>
    </row>
    <row r="19" spans="1:22" s="91" customFormat="1" ht="15" customHeight="1" thickBot="1" x14ac:dyDescent="0.25">
      <c r="A19" s="112"/>
      <c r="B19" s="39">
        <v>61</v>
      </c>
      <c r="C19" s="57" t="s">
        <v>17</v>
      </c>
      <c r="D19" s="58" t="s">
        <v>527</v>
      </c>
      <c r="E19" s="58" t="s">
        <v>160</v>
      </c>
      <c r="F19" s="40"/>
      <c r="G19" s="40">
        <v>22183</v>
      </c>
      <c r="H19" s="41"/>
      <c r="I19" s="41"/>
      <c r="J19" s="59" t="s">
        <v>161</v>
      </c>
      <c r="K19" s="41"/>
      <c r="L19" s="41"/>
      <c r="M19" s="41"/>
      <c r="N19" s="60" t="s">
        <v>271</v>
      </c>
      <c r="O19" s="178" t="s">
        <v>736</v>
      </c>
      <c r="P19" s="307" t="s">
        <v>740</v>
      </c>
      <c r="Q19" s="308"/>
      <c r="R19" s="308"/>
      <c r="S19" s="308"/>
      <c r="T19" s="308"/>
      <c r="U19" s="308"/>
      <c r="V19" s="309"/>
    </row>
    <row r="20" spans="1:22" s="91" customFormat="1" ht="15" customHeight="1" thickBot="1" x14ac:dyDescent="0.25">
      <c r="A20" s="112"/>
      <c r="B20" s="39">
        <v>42</v>
      </c>
      <c r="C20" s="73" t="s">
        <v>17</v>
      </c>
      <c r="D20" s="74" t="s">
        <v>527</v>
      </c>
      <c r="E20" s="74" t="s">
        <v>100</v>
      </c>
      <c r="F20" s="81"/>
      <c r="G20" s="81">
        <v>25977</v>
      </c>
      <c r="H20" s="79">
        <v>73333</v>
      </c>
      <c r="I20" s="79">
        <v>32666</v>
      </c>
      <c r="J20" s="75" t="s">
        <v>101</v>
      </c>
      <c r="K20" s="79"/>
      <c r="L20" s="79"/>
      <c r="M20" s="79" t="s">
        <v>86</v>
      </c>
      <c r="N20" s="90" t="s">
        <v>99</v>
      </c>
      <c r="O20" s="178" t="s">
        <v>736</v>
      </c>
      <c r="P20" s="307" t="s">
        <v>746</v>
      </c>
      <c r="Q20" s="308"/>
      <c r="R20" s="308"/>
      <c r="S20" s="308"/>
      <c r="T20" s="308"/>
      <c r="U20" s="308"/>
      <c r="V20" s="309"/>
    </row>
    <row r="21" spans="1:22" s="91" customFormat="1" ht="18.75" thickBot="1" x14ac:dyDescent="0.3">
      <c r="A21" s="310" t="s">
        <v>687</v>
      </c>
      <c r="B21" s="311"/>
      <c r="C21" s="311"/>
      <c r="D21" s="311"/>
      <c r="E21" s="311"/>
      <c r="F21" s="311"/>
      <c r="G21" s="311"/>
      <c r="H21" s="311"/>
      <c r="I21" s="311"/>
      <c r="J21" s="311"/>
      <c r="K21" s="311"/>
      <c r="L21" s="311"/>
      <c r="M21" s="311"/>
      <c r="N21" s="311"/>
      <c r="O21" s="311"/>
      <c r="P21" s="311"/>
      <c r="Q21" s="311"/>
      <c r="R21" s="311"/>
      <c r="S21" s="311"/>
      <c r="T21" s="311"/>
      <c r="U21" s="311"/>
      <c r="V21" s="312"/>
    </row>
    <row r="22" spans="1:22" s="91" customFormat="1" ht="15" customHeight="1" thickBot="1" x14ac:dyDescent="0.25">
      <c r="A22" s="112"/>
      <c r="B22" s="87">
        <v>16</v>
      </c>
      <c r="C22" s="48" t="s">
        <v>182</v>
      </c>
      <c r="D22" s="49" t="s">
        <v>560</v>
      </c>
      <c r="E22" s="49" t="s">
        <v>183</v>
      </c>
      <c r="F22" s="88"/>
      <c r="G22" s="88">
        <v>28966</v>
      </c>
      <c r="H22" s="89">
        <v>61960</v>
      </c>
      <c r="I22" s="89">
        <v>16053</v>
      </c>
      <c r="J22" s="50" t="s">
        <v>185</v>
      </c>
      <c r="K22" s="89" t="s">
        <v>7</v>
      </c>
      <c r="L22" s="89" t="s">
        <v>686</v>
      </c>
      <c r="M22" s="50" t="s">
        <v>186</v>
      </c>
      <c r="N22" s="51" t="s">
        <v>184</v>
      </c>
      <c r="O22" s="42">
        <v>50</v>
      </c>
      <c r="P22" s="307" t="s">
        <v>688</v>
      </c>
      <c r="Q22" s="308"/>
      <c r="R22" s="308"/>
      <c r="S22" s="308"/>
      <c r="T22" s="308"/>
      <c r="U22" s="308"/>
      <c r="V22" s="309"/>
    </row>
    <row r="23" spans="1:22" s="91" customFormat="1" ht="18.75" thickBot="1" x14ac:dyDescent="0.3">
      <c r="A23" s="310" t="s">
        <v>579</v>
      </c>
      <c r="B23" s="311"/>
      <c r="C23" s="311"/>
      <c r="D23" s="311"/>
      <c r="E23" s="311"/>
      <c r="F23" s="311"/>
      <c r="G23" s="311"/>
      <c r="H23" s="311"/>
      <c r="I23" s="311"/>
      <c r="J23" s="311"/>
      <c r="K23" s="311"/>
      <c r="L23" s="311"/>
      <c r="M23" s="311"/>
      <c r="N23" s="311"/>
      <c r="O23" s="311"/>
      <c r="P23" s="311"/>
      <c r="Q23" s="311"/>
      <c r="R23" s="311"/>
      <c r="S23" s="311"/>
      <c r="T23" s="311"/>
      <c r="U23" s="311"/>
      <c r="V23" s="312"/>
    </row>
    <row r="24" spans="1:22" s="91" customFormat="1" ht="15" customHeight="1" thickBot="1" x14ac:dyDescent="0.25">
      <c r="A24" s="112"/>
      <c r="B24" s="65">
        <v>43</v>
      </c>
      <c r="C24" s="65" t="s">
        <v>95</v>
      </c>
      <c r="D24" s="67" t="s">
        <v>749</v>
      </c>
      <c r="E24" s="67" t="s">
        <v>96</v>
      </c>
      <c r="F24" s="67">
        <v>174</v>
      </c>
      <c r="G24" s="67">
        <v>24120</v>
      </c>
      <c r="H24" s="68">
        <v>54027</v>
      </c>
      <c r="I24" s="68">
        <v>24581</v>
      </c>
      <c r="J24" s="68" t="s">
        <v>98</v>
      </c>
      <c r="K24" s="68" t="s">
        <v>7</v>
      </c>
      <c r="L24" s="68" t="s">
        <v>732</v>
      </c>
      <c r="M24" s="68" t="s">
        <v>97</v>
      </c>
      <c r="N24" s="94">
        <v>135</v>
      </c>
      <c r="O24" s="167" t="s">
        <v>733</v>
      </c>
      <c r="P24" s="333" t="s">
        <v>734</v>
      </c>
      <c r="Q24" s="331"/>
      <c r="R24" s="331"/>
      <c r="S24" s="331"/>
      <c r="T24" s="331"/>
      <c r="U24" s="331"/>
      <c r="V24" s="332"/>
    </row>
    <row r="25" spans="1:22" s="91" customFormat="1" ht="15" customHeight="1" thickBot="1" x14ac:dyDescent="0.25">
      <c r="A25" s="112"/>
      <c r="B25" s="65">
        <v>27</v>
      </c>
      <c r="C25" s="65" t="s">
        <v>153</v>
      </c>
      <c r="D25" s="67" t="s">
        <v>526</v>
      </c>
      <c r="E25" s="67" t="s">
        <v>155</v>
      </c>
      <c r="F25" s="67"/>
      <c r="G25" s="67">
        <v>26963</v>
      </c>
      <c r="H25" s="68">
        <v>70309</v>
      </c>
      <c r="I25" s="68">
        <v>23353</v>
      </c>
      <c r="J25" s="68" t="s">
        <v>156</v>
      </c>
      <c r="K25" s="68"/>
      <c r="L25" s="68"/>
      <c r="M25" s="68" t="s">
        <v>154</v>
      </c>
      <c r="N25" s="94">
        <v>389</v>
      </c>
      <c r="O25" s="42">
        <v>50</v>
      </c>
      <c r="P25" s="307" t="s">
        <v>750</v>
      </c>
      <c r="Q25" s="308"/>
      <c r="R25" s="308"/>
      <c r="S25" s="308"/>
      <c r="T25" s="308"/>
      <c r="U25" s="308"/>
      <c r="V25" s="309"/>
    </row>
    <row r="26" spans="1:22" s="91" customFormat="1" ht="15" customHeight="1" thickBot="1" x14ac:dyDescent="0.25">
      <c r="A26" s="112"/>
      <c r="B26" s="65">
        <v>35</v>
      </c>
      <c r="C26" s="39" t="s">
        <v>118</v>
      </c>
      <c r="D26" s="58" t="s">
        <v>528</v>
      </c>
      <c r="E26" s="40" t="s">
        <v>96</v>
      </c>
      <c r="F26" s="40"/>
      <c r="G26" s="40">
        <v>24120</v>
      </c>
      <c r="H26" s="41">
        <v>54027</v>
      </c>
      <c r="I26" s="41">
        <v>24581</v>
      </c>
      <c r="J26" s="41" t="s">
        <v>98</v>
      </c>
      <c r="K26" s="41"/>
      <c r="L26" s="41"/>
      <c r="M26" s="41" t="s">
        <v>119</v>
      </c>
      <c r="N26" s="108">
        <v>140</v>
      </c>
      <c r="O26" s="42">
        <v>11.3</v>
      </c>
      <c r="P26" s="307" t="s">
        <v>756</v>
      </c>
      <c r="Q26" s="308"/>
      <c r="R26" s="308"/>
      <c r="S26" s="308"/>
      <c r="T26" s="308"/>
      <c r="U26" s="308"/>
      <c r="V26" s="309"/>
    </row>
    <row r="27" spans="1:22" s="91" customFormat="1" ht="18.75" thickBot="1" x14ac:dyDescent="0.3">
      <c r="A27" s="310" t="s">
        <v>753</v>
      </c>
      <c r="B27" s="311"/>
      <c r="C27" s="311"/>
      <c r="D27" s="311"/>
      <c r="E27" s="311"/>
      <c r="F27" s="311"/>
      <c r="G27" s="311"/>
      <c r="H27" s="311"/>
      <c r="I27" s="311"/>
      <c r="J27" s="311"/>
      <c r="K27" s="311"/>
      <c r="L27" s="311"/>
      <c r="M27" s="311"/>
      <c r="N27" s="311"/>
      <c r="O27" s="311"/>
      <c r="P27" s="311"/>
      <c r="Q27" s="311"/>
      <c r="R27" s="311"/>
      <c r="S27" s="311"/>
      <c r="T27" s="311"/>
      <c r="U27" s="311"/>
      <c r="V27" s="312"/>
    </row>
    <row r="28" spans="1:22" s="91" customFormat="1" ht="15" customHeight="1" thickBot="1" x14ac:dyDescent="0.25">
      <c r="A28" s="112"/>
      <c r="B28" s="80">
        <v>68</v>
      </c>
      <c r="C28" s="73" t="s">
        <v>266</v>
      </c>
      <c r="D28" s="74" t="s">
        <v>527</v>
      </c>
      <c r="E28" s="74" t="s">
        <v>267</v>
      </c>
      <c r="F28" s="81">
        <v>287</v>
      </c>
      <c r="G28" s="81">
        <v>24420</v>
      </c>
      <c r="H28" s="79"/>
      <c r="I28" s="79"/>
      <c r="J28" s="75" t="s">
        <v>268</v>
      </c>
      <c r="K28" s="75" t="s">
        <v>7</v>
      </c>
      <c r="L28" s="75" t="s">
        <v>269</v>
      </c>
      <c r="M28" s="79" t="s">
        <v>270</v>
      </c>
      <c r="N28" s="76">
        <v>237</v>
      </c>
      <c r="O28" s="42" t="s">
        <v>755</v>
      </c>
      <c r="P28" s="307" t="s">
        <v>737</v>
      </c>
      <c r="Q28" s="308"/>
      <c r="R28" s="308"/>
      <c r="S28" s="308"/>
      <c r="T28" s="308"/>
      <c r="U28" s="308"/>
      <c r="V28" s="309"/>
    </row>
    <row r="29" spans="1:22" s="91" customFormat="1" ht="15" customHeight="1" thickBot="1" x14ac:dyDescent="0.25">
      <c r="A29" s="102"/>
      <c r="B29" s="80">
        <v>35</v>
      </c>
      <c r="C29" s="80" t="s">
        <v>118</v>
      </c>
      <c r="D29" s="360" t="s">
        <v>751</v>
      </c>
      <c r="E29" s="338"/>
      <c r="F29" s="338"/>
      <c r="G29" s="338"/>
      <c r="H29" s="338"/>
      <c r="I29" s="338"/>
      <c r="J29" s="338"/>
      <c r="K29" s="338"/>
      <c r="L29" s="338"/>
      <c r="M29" s="338"/>
      <c r="N29" s="339"/>
      <c r="O29" s="42" t="s">
        <v>754</v>
      </c>
      <c r="P29" s="307" t="s">
        <v>752</v>
      </c>
      <c r="Q29" s="308"/>
      <c r="R29" s="308"/>
      <c r="S29" s="308"/>
      <c r="T29" s="308"/>
      <c r="U29" s="308"/>
      <c r="V29" s="309"/>
    </row>
    <row r="30" spans="1:22" s="91" customFormat="1" ht="21" thickBot="1" x14ac:dyDescent="0.25">
      <c r="A30" s="328" t="s">
        <v>760</v>
      </c>
      <c r="B30" s="329"/>
      <c r="C30" s="329"/>
      <c r="D30" s="329"/>
      <c r="E30" s="329"/>
      <c r="F30" s="329"/>
      <c r="G30" s="329"/>
      <c r="H30" s="329"/>
      <c r="I30" s="329"/>
      <c r="J30" s="329"/>
      <c r="K30" s="329"/>
      <c r="L30" s="329"/>
      <c r="M30" s="329"/>
      <c r="N30" s="329"/>
      <c r="O30" s="329"/>
      <c r="P30" s="329"/>
      <c r="Q30" s="329"/>
      <c r="R30" s="329"/>
      <c r="S30" s="329"/>
      <c r="T30" s="329"/>
      <c r="U30" s="329"/>
      <c r="V30" s="330"/>
    </row>
    <row r="31" spans="1:22" s="3" customFormat="1" ht="15" customHeight="1" thickBot="1" x14ac:dyDescent="0.25">
      <c r="A31" s="176"/>
      <c r="B31" s="184">
        <v>64</v>
      </c>
      <c r="C31" s="49" t="s">
        <v>2</v>
      </c>
      <c r="D31" s="88" t="s">
        <v>15</v>
      </c>
      <c r="E31" s="88" t="s">
        <v>3</v>
      </c>
      <c r="F31" s="88">
        <v>350</v>
      </c>
      <c r="G31" s="88">
        <v>24598</v>
      </c>
      <c r="H31" s="89">
        <v>74090</v>
      </c>
      <c r="I31" s="50">
        <v>26357</v>
      </c>
      <c r="J31" s="50" t="s">
        <v>239</v>
      </c>
      <c r="K31" s="89" t="s">
        <v>7</v>
      </c>
      <c r="L31" s="89" t="s">
        <v>14</v>
      </c>
      <c r="M31" s="89" t="s">
        <v>249</v>
      </c>
      <c r="N31" s="89" t="s">
        <v>247</v>
      </c>
      <c r="O31" s="185" t="s">
        <v>246</v>
      </c>
      <c r="P31" s="307" t="s">
        <v>761</v>
      </c>
      <c r="Q31" s="308"/>
      <c r="R31" s="308"/>
      <c r="S31" s="308"/>
      <c r="T31" s="308"/>
      <c r="U31" s="308"/>
      <c r="V31" s="309"/>
    </row>
    <row r="32" spans="1:22" s="3" customFormat="1" ht="15" customHeight="1" thickBot="1" x14ac:dyDescent="0.25">
      <c r="A32" s="176"/>
      <c r="B32" s="77">
        <v>78</v>
      </c>
      <c r="C32" s="58" t="s">
        <v>313</v>
      </c>
      <c r="D32" s="58" t="s">
        <v>15</v>
      </c>
      <c r="E32" s="58" t="s">
        <v>314</v>
      </c>
      <c r="F32" s="58">
        <v>921</v>
      </c>
      <c r="G32" s="58">
        <v>30422</v>
      </c>
      <c r="H32" s="59">
        <v>53558</v>
      </c>
      <c r="I32" s="59">
        <v>19929</v>
      </c>
      <c r="J32" s="59" t="s">
        <v>315</v>
      </c>
      <c r="K32" s="59" t="s">
        <v>7</v>
      </c>
      <c r="L32" s="59" t="s">
        <v>316</v>
      </c>
      <c r="M32" s="59" t="s">
        <v>317</v>
      </c>
      <c r="N32" s="59" t="s">
        <v>318</v>
      </c>
      <c r="O32" s="177" t="s">
        <v>246</v>
      </c>
      <c r="P32" s="307" t="s">
        <v>762</v>
      </c>
      <c r="Q32" s="308"/>
      <c r="R32" s="308"/>
      <c r="S32" s="308"/>
      <c r="T32" s="308"/>
      <c r="U32" s="308"/>
      <c r="V32" s="309"/>
    </row>
    <row r="33" spans="1:22" s="91" customFormat="1" ht="21" thickBot="1" x14ac:dyDescent="0.25">
      <c r="A33" s="109"/>
      <c r="B33" s="174"/>
      <c r="C33" s="174"/>
      <c r="D33" s="174"/>
      <c r="E33" s="174"/>
      <c r="F33" s="174"/>
      <c r="G33" s="174"/>
      <c r="H33" s="174"/>
      <c r="I33" s="174"/>
      <c r="J33" s="174"/>
      <c r="K33" s="174"/>
      <c r="L33" s="174"/>
      <c r="M33" s="174"/>
      <c r="N33" s="174"/>
      <c r="O33" s="174"/>
      <c r="P33" s="174"/>
      <c r="Q33" s="174"/>
      <c r="R33" s="174"/>
      <c r="S33" s="174"/>
      <c r="T33" s="174"/>
      <c r="U33" s="174"/>
      <c r="V33" s="175"/>
    </row>
    <row r="34" spans="1:22" s="91" customFormat="1" ht="15" customHeight="1" thickBot="1" x14ac:dyDescent="0.25">
      <c r="A34" s="180"/>
      <c r="B34" s="84">
        <v>95</v>
      </c>
      <c r="C34" s="110" t="s">
        <v>428</v>
      </c>
      <c r="D34" s="66" t="s">
        <v>310</v>
      </c>
      <c r="E34" s="66" t="s">
        <v>431</v>
      </c>
      <c r="F34" s="66">
        <v>563</v>
      </c>
      <c r="G34" s="66">
        <v>26709</v>
      </c>
      <c r="H34" s="69">
        <v>70191</v>
      </c>
      <c r="I34" s="69">
        <v>24585</v>
      </c>
      <c r="J34" s="69" t="s">
        <v>430</v>
      </c>
      <c r="K34" s="69" t="s">
        <v>7</v>
      </c>
      <c r="L34" s="69" t="s">
        <v>429</v>
      </c>
      <c r="M34" s="69" t="s">
        <v>432</v>
      </c>
      <c r="N34" s="70" t="s">
        <v>433</v>
      </c>
      <c r="O34" s="92" t="s">
        <v>435</v>
      </c>
      <c r="P34" s="179" t="s">
        <v>434</v>
      </c>
      <c r="Q34" s="179" t="s">
        <v>242</v>
      </c>
      <c r="R34" s="179" t="s">
        <v>363</v>
      </c>
      <c r="S34" s="361"/>
      <c r="T34" s="362"/>
      <c r="U34" s="362"/>
      <c r="V34" s="363"/>
    </row>
    <row r="35" spans="1:22" s="7" customFormat="1" ht="15" customHeight="1" thickBot="1" x14ac:dyDescent="0.25">
      <c r="A35" s="181"/>
      <c r="B35" s="73">
        <v>88</v>
      </c>
      <c r="C35" s="73" t="s">
        <v>387</v>
      </c>
      <c r="D35" s="74" t="s">
        <v>15</v>
      </c>
      <c r="E35" s="74" t="s">
        <v>388</v>
      </c>
      <c r="F35" s="74">
        <v>953</v>
      </c>
      <c r="G35" s="74">
        <v>30486</v>
      </c>
      <c r="H35" s="75">
        <v>51523</v>
      </c>
      <c r="I35" s="75">
        <v>18717</v>
      </c>
      <c r="J35" s="75" t="s">
        <v>389</v>
      </c>
      <c r="K35" s="75" t="s">
        <v>7</v>
      </c>
      <c r="L35" s="75" t="s">
        <v>390</v>
      </c>
      <c r="M35" s="75" t="s">
        <v>391</v>
      </c>
      <c r="N35" s="76" t="s">
        <v>392</v>
      </c>
      <c r="O35" s="42" t="s">
        <v>246</v>
      </c>
      <c r="P35" s="179" t="s">
        <v>342</v>
      </c>
      <c r="Q35" s="42" t="s">
        <v>242</v>
      </c>
      <c r="R35" s="42" t="s">
        <v>336</v>
      </c>
      <c r="S35" s="307" t="s">
        <v>393</v>
      </c>
      <c r="T35" s="308"/>
      <c r="U35" s="308"/>
      <c r="V35" s="309"/>
    </row>
    <row r="36" spans="1:22" s="8" customFormat="1" ht="15" customHeight="1" thickBot="1" x14ac:dyDescent="0.25">
      <c r="A36" s="23"/>
      <c r="B36" s="84">
        <v>75</v>
      </c>
      <c r="C36" s="66" t="s">
        <v>304</v>
      </c>
      <c r="D36" s="66" t="s">
        <v>15</v>
      </c>
      <c r="E36" s="66" t="s">
        <v>307</v>
      </c>
      <c r="F36" s="66">
        <v>1009</v>
      </c>
      <c r="G36" s="66">
        <v>32942</v>
      </c>
      <c r="H36" s="69">
        <v>38020</v>
      </c>
      <c r="I36" s="69">
        <v>24115</v>
      </c>
      <c r="J36" s="69" t="s">
        <v>305</v>
      </c>
      <c r="K36" s="69" t="s">
        <v>258</v>
      </c>
      <c r="L36" s="69" t="s">
        <v>306</v>
      </c>
      <c r="M36" s="69"/>
      <c r="N36" s="69"/>
      <c r="O36" s="179" t="s">
        <v>246</v>
      </c>
      <c r="P36" s="43" t="e">
        <f>#REF!</f>
        <v>#REF!</v>
      </c>
      <c r="Q36" s="42" t="s">
        <v>340</v>
      </c>
      <c r="R36" s="42" t="s">
        <v>337</v>
      </c>
      <c r="S36" s="307" t="s">
        <v>343</v>
      </c>
      <c r="T36" s="308"/>
      <c r="U36" s="308"/>
      <c r="V36" s="309"/>
    </row>
    <row r="37" spans="1:22" s="91" customFormat="1" ht="15" customHeight="1" thickBot="1" x14ac:dyDescent="0.25">
      <c r="A37" s="180"/>
      <c r="B37" s="34">
        <v>38</v>
      </c>
      <c r="C37" s="3" t="s">
        <v>108</v>
      </c>
      <c r="D37" s="8" t="s">
        <v>15</v>
      </c>
      <c r="E37" s="3" t="s">
        <v>109</v>
      </c>
      <c r="F37" s="3"/>
      <c r="G37" s="3">
        <v>34009</v>
      </c>
      <c r="H37" s="5">
        <v>28338</v>
      </c>
      <c r="I37" s="6">
        <v>18853</v>
      </c>
      <c r="J37" s="5" t="s">
        <v>112</v>
      </c>
      <c r="K37" s="5"/>
      <c r="L37" s="5"/>
      <c r="M37" s="5" t="s">
        <v>111</v>
      </c>
      <c r="N37" s="14" t="s">
        <v>110</v>
      </c>
      <c r="O37" s="83" t="s">
        <v>246</v>
      </c>
      <c r="P37" s="15" t="s">
        <v>263</v>
      </c>
      <c r="Q37" s="29" t="s">
        <v>242</v>
      </c>
      <c r="R37" s="29"/>
      <c r="S37" s="15"/>
      <c r="T37" s="13"/>
      <c r="U37" s="25"/>
      <c r="V37" s="15" t="s">
        <v>262</v>
      </c>
    </row>
    <row r="38" spans="1:22" s="91" customFormat="1" ht="15" customHeight="1" thickBot="1" x14ac:dyDescent="0.25">
      <c r="A38" s="180"/>
      <c r="B38" s="16">
        <v>44</v>
      </c>
      <c r="C38" s="16" t="s">
        <v>89</v>
      </c>
      <c r="D38" s="17" t="s">
        <v>15</v>
      </c>
      <c r="E38" s="17" t="s">
        <v>91</v>
      </c>
      <c r="F38" s="17"/>
      <c r="G38" s="17">
        <v>28265</v>
      </c>
      <c r="H38" s="18">
        <v>30030</v>
      </c>
      <c r="I38" s="19">
        <v>14239</v>
      </c>
      <c r="J38" s="18" t="s">
        <v>93</v>
      </c>
      <c r="K38" s="18"/>
      <c r="L38" s="18"/>
      <c r="M38" s="18" t="s">
        <v>90</v>
      </c>
      <c r="N38" s="18" t="s">
        <v>92</v>
      </c>
      <c r="O38" s="12" t="s">
        <v>245</v>
      </c>
      <c r="P38" s="11" t="s">
        <v>261</v>
      </c>
      <c r="Q38" s="12" t="s">
        <v>241</v>
      </c>
      <c r="R38" s="12"/>
      <c r="S38" s="11"/>
      <c r="T38" s="12"/>
      <c r="U38" s="10"/>
      <c r="V38" s="11" t="s">
        <v>94</v>
      </c>
    </row>
    <row r="39" spans="1:22" s="91" customFormat="1" ht="21" thickBot="1" x14ac:dyDescent="0.25">
      <c r="A39" s="328" t="s">
        <v>45</v>
      </c>
      <c r="B39" s="329"/>
      <c r="C39" s="329"/>
      <c r="D39" s="329"/>
      <c r="E39" s="329"/>
      <c r="F39" s="329"/>
      <c r="G39" s="329"/>
      <c r="H39" s="329"/>
      <c r="I39" s="329"/>
      <c r="J39" s="329"/>
      <c r="K39" s="329"/>
      <c r="L39" s="329"/>
      <c r="M39" s="329"/>
      <c r="N39" s="329"/>
      <c r="O39" s="329"/>
      <c r="P39" s="329"/>
      <c r="Q39" s="329"/>
      <c r="R39" s="329"/>
      <c r="S39" s="329"/>
      <c r="T39" s="329"/>
      <c r="U39" s="329"/>
      <c r="V39" s="330"/>
    </row>
    <row r="40" spans="1:22" s="35" customFormat="1" ht="15" customHeight="1" thickBot="1" x14ac:dyDescent="0.25">
      <c r="A40" s="182"/>
      <c r="B40" s="57">
        <v>73</v>
      </c>
      <c r="C40" s="57" t="s">
        <v>293</v>
      </c>
      <c r="D40" s="58"/>
      <c r="E40" s="58" t="s">
        <v>294</v>
      </c>
      <c r="F40" s="58">
        <v>776</v>
      </c>
      <c r="G40" s="58">
        <v>25485</v>
      </c>
      <c r="H40" s="59">
        <v>24451</v>
      </c>
      <c r="I40" s="59">
        <v>14943</v>
      </c>
      <c r="J40" s="59" t="s">
        <v>295</v>
      </c>
      <c r="K40" s="59" t="s">
        <v>7</v>
      </c>
      <c r="L40" s="59" t="s">
        <v>296</v>
      </c>
      <c r="M40" s="59" t="s">
        <v>297</v>
      </c>
      <c r="N40" s="60" t="s">
        <v>298</v>
      </c>
      <c r="O40" s="42" t="s">
        <v>246</v>
      </c>
      <c r="P40" s="42" t="s">
        <v>342</v>
      </c>
      <c r="Q40" s="42" t="s">
        <v>243</v>
      </c>
      <c r="R40" s="42" t="s">
        <v>341</v>
      </c>
      <c r="S40" s="307" t="s">
        <v>355</v>
      </c>
      <c r="T40" s="308"/>
      <c r="U40" s="308"/>
      <c r="V40" s="309"/>
    </row>
    <row r="41" spans="1:22" s="35" customFormat="1" ht="15" customHeight="1" thickBot="1" x14ac:dyDescent="0.25">
      <c r="A41" s="182"/>
      <c r="B41" s="73">
        <v>105</v>
      </c>
      <c r="C41" s="73" t="s">
        <v>498</v>
      </c>
      <c r="D41" s="58"/>
      <c r="E41" s="74" t="s">
        <v>499</v>
      </c>
      <c r="F41" s="74">
        <v>646</v>
      </c>
      <c r="G41" s="74">
        <v>27390</v>
      </c>
      <c r="H41" s="75">
        <v>22962</v>
      </c>
      <c r="I41" s="75">
        <v>15226</v>
      </c>
      <c r="J41" s="75" t="s">
        <v>500</v>
      </c>
      <c r="K41" s="75" t="s">
        <v>7</v>
      </c>
      <c r="L41" s="75" t="s">
        <v>503</v>
      </c>
      <c r="M41" s="59" t="s">
        <v>501</v>
      </c>
      <c r="N41" s="76" t="s">
        <v>502</v>
      </c>
      <c r="O41" s="42" t="s">
        <v>246</v>
      </c>
      <c r="P41" s="43" t="s">
        <v>506</v>
      </c>
      <c r="Q41" s="43" t="s">
        <v>505</v>
      </c>
      <c r="R41" s="92" t="s">
        <v>362</v>
      </c>
      <c r="S41" s="307" t="s">
        <v>504</v>
      </c>
      <c r="T41" s="308"/>
      <c r="U41" s="308"/>
      <c r="V41" s="309"/>
    </row>
    <row r="42" spans="1:22" s="91" customFormat="1" ht="15" customHeight="1" thickBot="1" x14ac:dyDescent="0.25">
      <c r="A42" s="180"/>
      <c r="B42" s="80">
        <v>33</v>
      </c>
      <c r="C42" s="80" t="s">
        <v>125</v>
      </c>
      <c r="D42" s="81"/>
      <c r="E42" s="81" t="s">
        <v>126</v>
      </c>
      <c r="F42" s="81"/>
      <c r="G42" s="81">
        <v>28846</v>
      </c>
      <c r="H42" s="79">
        <v>15655</v>
      </c>
      <c r="I42" s="75">
        <v>10535</v>
      </c>
      <c r="J42" s="79" t="s">
        <v>127</v>
      </c>
      <c r="K42" s="79"/>
      <c r="L42" s="79"/>
      <c r="M42" s="79" t="s">
        <v>128</v>
      </c>
      <c r="N42" s="82" t="s">
        <v>129</v>
      </c>
      <c r="O42" s="42" t="s">
        <v>435</v>
      </c>
      <c r="P42" s="43" t="s">
        <v>247</v>
      </c>
      <c r="Q42" s="43" t="s">
        <v>510</v>
      </c>
      <c r="R42" s="42" t="s">
        <v>338</v>
      </c>
      <c r="S42" s="307" t="s">
        <v>512</v>
      </c>
      <c r="T42" s="308"/>
      <c r="U42" s="308"/>
      <c r="V42" s="309"/>
    </row>
    <row r="43" spans="1:22" s="91" customFormat="1" ht="15" customHeight="1" thickBot="1" x14ac:dyDescent="0.25">
      <c r="A43" s="180"/>
      <c r="B43" s="78">
        <v>26</v>
      </c>
      <c r="C43" s="3" t="s">
        <v>157</v>
      </c>
      <c r="D43" s="3"/>
      <c r="E43" s="3" t="s">
        <v>160</v>
      </c>
      <c r="F43" s="3"/>
      <c r="G43" s="3">
        <v>22183</v>
      </c>
      <c r="H43" s="5">
        <v>47317</v>
      </c>
      <c r="I43" s="6">
        <v>35205</v>
      </c>
      <c r="J43" s="5" t="s">
        <v>161</v>
      </c>
      <c r="K43" s="5"/>
      <c r="L43" s="5"/>
      <c r="M43" s="5" t="s">
        <v>158</v>
      </c>
      <c r="N43" s="14" t="s">
        <v>159</v>
      </c>
      <c r="O43" s="46" t="s">
        <v>246</v>
      </c>
      <c r="P43" s="47" t="s">
        <v>260</v>
      </c>
      <c r="Q43" s="46" t="s">
        <v>244</v>
      </c>
      <c r="R43" s="46"/>
      <c r="S43" s="47"/>
      <c r="T43" s="46"/>
      <c r="U43" s="95"/>
      <c r="V43" s="47" t="s">
        <v>162</v>
      </c>
    </row>
    <row r="44" spans="1:22" s="7" customFormat="1" ht="15" customHeight="1" thickBot="1" x14ac:dyDescent="0.25">
      <c r="A44" s="183"/>
      <c r="B44" s="85">
        <v>81</v>
      </c>
      <c r="C44" s="74" t="s">
        <v>323</v>
      </c>
      <c r="D44" s="74"/>
      <c r="E44" s="74" t="s">
        <v>324</v>
      </c>
      <c r="F44" s="74">
        <v>52</v>
      </c>
      <c r="G44" s="74">
        <v>22187</v>
      </c>
      <c r="H44" s="75">
        <v>44407</v>
      </c>
      <c r="I44" s="75">
        <v>35830</v>
      </c>
      <c r="J44" s="75" t="s">
        <v>325</v>
      </c>
      <c r="K44" s="75" t="s">
        <v>258</v>
      </c>
      <c r="L44" s="75" t="s">
        <v>326</v>
      </c>
      <c r="M44" s="75" t="s">
        <v>327</v>
      </c>
      <c r="N44" s="76" t="s">
        <v>328</v>
      </c>
      <c r="O44" s="42" t="s">
        <v>246</v>
      </c>
      <c r="P44" s="43" t="s">
        <v>247</v>
      </c>
      <c r="Q44" s="43" t="s">
        <v>335</v>
      </c>
      <c r="R44" s="42" t="s">
        <v>338</v>
      </c>
      <c r="S44" s="307" t="s">
        <v>511</v>
      </c>
      <c r="T44" s="308"/>
      <c r="U44" s="308"/>
      <c r="V44" s="309"/>
    </row>
    <row r="45" spans="1:22" s="91" customFormat="1" ht="24" thickBot="1" x14ac:dyDescent="0.25">
      <c r="A45" s="324" t="s">
        <v>705</v>
      </c>
      <c r="B45" s="325"/>
      <c r="C45" s="325"/>
      <c r="D45" s="325"/>
      <c r="E45" s="325"/>
      <c r="F45" s="325"/>
      <c r="G45" s="325"/>
      <c r="H45" s="325"/>
      <c r="I45" s="325"/>
      <c r="J45" s="325"/>
      <c r="K45" s="325"/>
      <c r="L45" s="325"/>
      <c r="M45" s="325"/>
      <c r="N45" s="325"/>
      <c r="O45" s="325"/>
      <c r="P45" s="326"/>
      <c r="Q45" s="326"/>
      <c r="R45" s="326"/>
      <c r="S45" s="326"/>
      <c r="T45" s="326"/>
      <c r="U45" s="326"/>
      <c r="V45" s="326"/>
    </row>
    <row r="46" spans="1:22" s="91" customFormat="1" ht="21" thickBot="1" x14ac:dyDescent="0.25">
      <c r="A46" s="328" t="s">
        <v>713</v>
      </c>
      <c r="B46" s="329"/>
      <c r="C46" s="329"/>
      <c r="D46" s="329"/>
      <c r="E46" s="329"/>
      <c r="F46" s="329"/>
      <c r="G46" s="329"/>
      <c r="H46" s="329"/>
      <c r="I46" s="329"/>
      <c r="J46" s="329"/>
      <c r="K46" s="329"/>
      <c r="L46" s="329"/>
      <c r="M46" s="329"/>
      <c r="N46" s="329"/>
      <c r="O46" s="329"/>
      <c r="P46" s="329"/>
      <c r="Q46" s="329"/>
      <c r="R46" s="329"/>
      <c r="S46" s="329"/>
      <c r="T46" s="329"/>
      <c r="U46" s="329"/>
      <c r="V46" s="329"/>
    </row>
    <row r="47" spans="1:22" ht="18.75" thickBot="1" x14ac:dyDescent="0.3">
      <c r="A47" s="310" t="s">
        <v>727</v>
      </c>
      <c r="B47" s="311"/>
      <c r="C47" s="311"/>
      <c r="D47" s="311"/>
      <c r="E47" s="311"/>
      <c r="F47" s="311"/>
      <c r="G47" s="311"/>
      <c r="H47" s="311"/>
      <c r="I47" s="311"/>
      <c r="J47" s="311"/>
      <c r="K47" s="311"/>
      <c r="L47" s="311"/>
      <c r="M47" s="311"/>
      <c r="N47" s="311"/>
      <c r="O47" s="311"/>
      <c r="P47" s="311"/>
      <c r="Q47" s="311"/>
      <c r="R47" s="311"/>
      <c r="S47" s="311"/>
      <c r="T47" s="311"/>
      <c r="U47" s="311"/>
      <c r="V47" s="311"/>
    </row>
    <row r="48" spans="1:22" ht="13.5" customHeight="1" thickBot="1" x14ac:dyDescent="0.3">
      <c r="A48" s="153"/>
      <c r="B48" s="73">
        <v>56</v>
      </c>
      <c r="C48" s="73" t="s">
        <v>38</v>
      </c>
      <c r="D48" s="74">
        <v>200</v>
      </c>
      <c r="E48" s="74" t="s">
        <v>39</v>
      </c>
      <c r="F48" s="74">
        <v>49</v>
      </c>
      <c r="G48" s="74">
        <v>27484</v>
      </c>
      <c r="H48" s="75">
        <v>49683</v>
      </c>
      <c r="I48" s="75">
        <v>7046</v>
      </c>
      <c r="J48" s="75" t="s">
        <v>43</v>
      </c>
      <c r="K48" s="75" t="s">
        <v>712</v>
      </c>
      <c r="L48" s="75" t="s">
        <v>247</v>
      </c>
      <c r="M48" s="75" t="s">
        <v>40</v>
      </c>
      <c r="N48" s="90" t="s">
        <v>42</v>
      </c>
      <c r="O48" s="42">
        <v>30</v>
      </c>
      <c r="P48" s="307" t="s">
        <v>726</v>
      </c>
      <c r="Q48" s="308"/>
      <c r="R48" s="308"/>
      <c r="S48" s="308"/>
      <c r="T48" s="308"/>
      <c r="U48" s="308"/>
      <c r="V48" s="309"/>
    </row>
    <row r="49" spans="1:22" ht="13.5" customHeight="1" thickBot="1" x14ac:dyDescent="0.25">
      <c r="A49" s="112"/>
      <c r="B49" s="357" t="s">
        <v>718</v>
      </c>
      <c r="C49" s="74" t="s">
        <v>721</v>
      </c>
      <c r="D49" s="74">
        <v>200</v>
      </c>
      <c r="E49" s="74" t="s">
        <v>722</v>
      </c>
      <c r="F49" s="74">
        <v>157</v>
      </c>
      <c r="G49" s="74">
        <v>29319</v>
      </c>
      <c r="H49" s="75">
        <v>42561</v>
      </c>
      <c r="I49" s="75">
        <v>6443</v>
      </c>
      <c r="J49" s="75" t="s">
        <v>723</v>
      </c>
      <c r="K49" s="75" t="s">
        <v>712</v>
      </c>
      <c r="L49" s="75" t="s">
        <v>247</v>
      </c>
      <c r="M49" s="75" t="s">
        <v>40</v>
      </c>
      <c r="N49" s="90" t="s">
        <v>720</v>
      </c>
      <c r="O49" s="106" t="s">
        <v>719</v>
      </c>
      <c r="P49" s="307" t="s">
        <v>724</v>
      </c>
      <c r="Q49" s="308"/>
      <c r="R49" s="308"/>
      <c r="S49" s="308"/>
      <c r="T49" s="308"/>
      <c r="U49" s="308"/>
      <c r="V49" s="309"/>
    </row>
    <row r="50" spans="1:22" s="91" customFormat="1" ht="15" customHeight="1" thickBot="1" x14ac:dyDescent="0.25">
      <c r="A50" s="112"/>
      <c r="B50" s="358"/>
      <c r="C50" s="359" t="s">
        <v>725</v>
      </c>
      <c r="D50" s="338"/>
      <c r="E50" s="338"/>
      <c r="F50" s="338"/>
      <c r="G50" s="338"/>
      <c r="H50" s="338"/>
      <c r="I50" s="338"/>
      <c r="J50" s="338"/>
      <c r="K50" s="338"/>
      <c r="L50" s="338"/>
      <c r="M50" s="338"/>
      <c r="N50" s="338"/>
      <c r="O50" s="338"/>
      <c r="P50" s="338"/>
      <c r="Q50" s="338"/>
      <c r="R50" s="338"/>
      <c r="S50" s="338"/>
      <c r="T50" s="338"/>
      <c r="U50" s="338"/>
      <c r="V50" s="339"/>
    </row>
    <row r="51" spans="1:22" ht="13.5" customHeight="1" thickBot="1" x14ac:dyDescent="0.25">
      <c r="A51" s="112"/>
      <c r="B51" s="73">
        <v>53</v>
      </c>
      <c r="C51" s="73" t="s">
        <v>55</v>
      </c>
      <c r="D51" s="74">
        <v>200</v>
      </c>
      <c r="E51" s="74" t="s">
        <v>56</v>
      </c>
      <c r="F51" s="74"/>
      <c r="G51" s="74">
        <v>28689</v>
      </c>
      <c r="H51" s="75">
        <v>53028</v>
      </c>
      <c r="I51" s="75">
        <v>7756</v>
      </c>
      <c r="J51" s="75" t="s">
        <v>57</v>
      </c>
      <c r="K51" s="75"/>
      <c r="L51" s="75"/>
      <c r="M51" s="75" t="s">
        <v>40</v>
      </c>
      <c r="N51" s="90" t="s">
        <v>222</v>
      </c>
      <c r="O51" s="42">
        <v>30</v>
      </c>
      <c r="P51" s="307" t="s">
        <v>716</v>
      </c>
      <c r="Q51" s="308"/>
      <c r="R51" s="308"/>
      <c r="S51" s="308"/>
      <c r="T51" s="308"/>
      <c r="U51" s="308"/>
      <c r="V51" s="309"/>
    </row>
    <row r="52" spans="1:22" ht="13.5" thickBot="1" x14ac:dyDescent="0.25">
      <c r="A52" s="112"/>
      <c r="B52" s="80">
        <v>79</v>
      </c>
      <c r="C52" s="80" t="s">
        <v>319</v>
      </c>
      <c r="D52" s="66" t="s">
        <v>714</v>
      </c>
      <c r="E52" s="66" t="s">
        <v>320</v>
      </c>
      <c r="F52" s="67"/>
      <c r="G52" s="67">
        <v>41362</v>
      </c>
      <c r="H52" s="68">
        <v>10416</v>
      </c>
      <c r="I52" s="68">
        <v>1864</v>
      </c>
      <c r="J52" s="69" t="s">
        <v>321</v>
      </c>
      <c r="K52" s="69"/>
      <c r="L52" s="69"/>
      <c r="M52" s="75" t="s">
        <v>40</v>
      </c>
      <c r="N52" s="90" t="s">
        <v>322</v>
      </c>
      <c r="O52" s="106" t="s">
        <v>715</v>
      </c>
      <c r="P52" s="307" t="s">
        <v>717</v>
      </c>
      <c r="Q52" s="308"/>
      <c r="R52" s="308"/>
      <c r="S52" s="308"/>
      <c r="T52" s="308"/>
      <c r="U52" s="308"/>
      <c r="V52" s="309"/>
    </row>
    <row r="53" spans="1:22" s="91" customFormat="1" ht="15" customHeight="1" thickBot="1" x14ac:dyDescent="0.25">
      <c r="A53"/>
      <c r="B53" s="157"/>
      <c r="C53" s="158"/>
      <c r="D53" s="158"/>
      <c r="E53" s="52"/>
      <c r="F53" s="52"/>
      <c r="G53" s="52"/>
      <c r="H53" s="52"/>
      <c r="I53" s="52"/>
      <c r="J53" s="52"/>
      <c r="K53" s="52"/>
      <c r="L53" s="52"/>
      <c r="M53" s="52"/>
      <c r="N53" s="52"/>
      <c r="O53" s="53"/>
      <c r="T53" s="54"/>
      <c r="U53" s="53"/>
      <c r="V53" s="53"/>
    </row>
    <row r="54" spans="1:22" s="91" customFormat="1" ht="15" customHeight="1" thickBot="1" x14ac:dyDescent="0.3">
      <c r="B54" s="44" t="s">
        <v>348</v>
      </c>
      <c r="C54" s="45"/>
      <c r="D54" s="45"/>
      <c r="E54" s="45"/>
      <c r="F54" s="45"/>
      <c r="G54" s="45"/>
      <c r="H54" s="45"/>
      <c r="I54" s="45"/>
      <c r="J54" s="45"/>
      <c r="K54" s="45"/>
      <c r="L54" s="45"/>
      <c r="M54" s="45"/>
      <c r="N54" s="45"/>
      <c r="O54" s="45"/>
      <c r="P54" s="37" t="s">
        <v>345</v>
      </c>
      <c r="Q54" s="45"/>
      <c r="R54" s="45"/>
      <c r="S54" s="45"/>
      <c r="T54" s="45"/>
      <c r="U54" s="45"/>
      <c r="V54" s="45"/>
    </row>
    <row r="55" spans="1:22" s="91" customFormat="1" ht="15" customHeight="1" thickBot="1" x14ac:dyDescent="0.25">
      <c r="B55" s="9">
        <v>6</v>
      </c>
      <c r="C55" s="23" t="s">
        <v>218</v>
      </c>
      <c r="D55" s="8" t="s">
        <v>0</v>
      </c>
      <c r="E55" s="8" t="s">
        <v>219</v>
      </c>
      <c r="F55" s="3"/>
      <c r="G55" s="3">
        <v>34566</v>
      </c>
      <c r="H55" s="5">
        <v>15025</v>
      </c>
      <c r="I55" s="5">
        <v>2400</v>
      </c>
      <c r="J55" s="6" t="s">
        <v>220</v>
      </c>
      <c r="K55" s="5"/>
      <c r="L55" s="5"/>
      <c r="M55" s="6" t="s">
        <v>221</v>
      </c>
      <c r="N55" s="24" t="s">
        <v>222</v>
      </c>
      <c r="O55" s="12" t="s">
        <v>245</v>
      </c>
      <c r="P55" s="11" t="s">
        <v>247</v>
      </c>
      <c r="Q55" s="55" t="s">
        <v>242</v>
      </c>
      <c r="R55" s="55"/>
      <c r="S55" s="11"/>
      <c r="T55" s="12"/>
      <c r="U55" s="10"/>
      <c r="V55" s="11" t="s">
        <v>223</v>
      </c>
    </row>
    <row r="56" spans="1:22" s="7" customFormat="1" ht="15" customHeight="1" thickBot="1" x14ac:dyDescent="0.3">
      <c r="A56" s="91"/>
      <c r="B56" s="44"/>
      <c r="C56" s="45"/>
      <c r="D56" s="45"/>
      <c r="E56" s="45"/>
      <c r="F56" s="45"/>
      <c r="G56" s="45"/>
      <c r="H56" s="45"/>
      <c r="I56" s="45"/>
      <c r="J56" s="45"/>
      <c r="K56" s="45"/>
      <c r="L56" s="45"/>
      <c r="M56" s="45"/>
      <c r="N56" s="45"/>
      <c r="O56" s="45"/>
      <c r="P56" s="37" t="s">
        <v>344</v>
      </c>
      <c r="Q56" s="45"/>
      <c r="R56" s="45"/>
      <c r="S56" s="45"/>
      <c r="T56" s="45"/>
      <c r="U56" s="45"/>
      <c r="V56" s="45"/>
    </row>
    <row r="57" spans="1:22" s="7" customFormat="1" ht="15" customHeight="1" thickBot="1" x14ac:dyDescent="0.25">
      <c r="A57" s="91"/>
      <c r="B57" s="73">
        <v>94</v>
      </c>
      <c r="C57" s="73" t="s">
        <v>419</v>
      </c>
      <c r="D57" s="74" t="s">
        <v>215</v>
      </c>
      <c r="E57" s="74" t="s">
        <v>420</v>
      </c>
      <c r="F57" s="74">
        <v>206</v>
      </c>
      <c r="G57" s="74">
        <v>29323</v>
      </c>
      <c r="H57" s="75">
        <v>77981</v>
      </c>
      <c r="I57" s="75">
        <v>11591</v>
      </c>
      <c r="J57" s="75" t="s">
        <v>421</v>
      </c>
      <c r="K57" s="75" t="s">
        <v>258</v>
      </c>
      <c r="L57" s="75" t="s">
        <v>247</v>
      </c>
      <c r="M57" s="75" t="s">
        <v>422</v>
      </c>
      <c r="N57" s="76" t="s">
        <v>423</v>
      </c>
      <c r="O57" s="56" t="s">
        <v>246</v>
      </c>
      <c r="P57" s="43" t="s">
        <v>425</v>
      </c>
      <c r="Q57" s="42" t="s">
        <v>242</v>
      </c>
      <c r="R57" s="42" t="s">
        <v>362</v>
      </c>
      <c r="S57" s="307" t="s">
        <v>426</v>
      </c>
      <c r="T57" s="308"/>
      <c r="U57" s="308"/>
      <c r="V57" s="308"/>
    </row>
    <row r="58" spans="1:22" s="91" customFormat="1" ht="15" customHeight="1" thickBot="1" x14ac:dyDescent="0.25">
      <c r="B58" s="73">
        <v>89</v>
      </c>
      <c r="C58" s="73" t="s">
        <v>394</v>
      </c>
      <c r="D58" s="74" t="s">
        <v>215</v>
      </c>
      <c r="E58" s="74" t="s">
        <v>395</v>
      </c>
      <c r="F58" s="74">
        <v>858</v>
      </c>
      <c r="G58" s="74">
        <v>39776</v>
      </c>
      <c r="H58" s="75">
        <v>32619</v>
      </c>
      <c r="I58" s="75">
        <v>2905</v>
      </c>
      <c r="J58" s="75" t="s">
        <v>396</v>
      </c>
      <c r="K58" s="75" t="s">
        <v>7</v>
      </c>
      <c r="L58" s="75" t="s">
        <v>247</v>
      </c>
      <c r="M58" s="75" t="s">
        <v>397</v>
      </c>
      <c r="N58" s="76" t="s">
        <v>398</v>
      </c>
      <c r="O58" s="42">
        <v>30</v>
      </c>
      <c r="P58" s="43"/>
      <c r="Q58" s="42" t="s">
        <v>242</v>
      </c>
      <c r="R58" s="42" t="s">
        <v>399</v>
      </c>
      <c r="S58" s="307" t="s">
        <v>424</v>
      </c>
      <c r="T58" s="308"/>
      <c r="U58" s="308"/>
      <c r="V58" s="308"/>
    </row>
    <row r="59" spans="1:22" s="91" customFormat="1" ht="15" customHeight="1" thickBot="1" x14ac:dyDescent="0.25">
      <c r="A59" s="7"/>
      <c r="B59" s="48">
        <v>69</v>
      </c>
      <c r="C59" s="48" t="s">
        <v>276</v>
      </c>
      <c r="D59" s="49" t="s">
        <v>216</v>
      </c>
      <c r="E59" s="49" t="s">
        <v>272</v>
      </c>
      <c r="F59" s="49">
        <v>69</v>
      </c>
      <c r="G59" s="49">
        <v>26951</v>
      </c>
      <c r="H59" s="50">
        <v>80639</v>
      </c>
      <c r="I59" s="50">
        <v>10970</v>
      </c>
      <c r="J59" s="50" t="s">
        <v>273</v>
      </c>
      <c r="K59" s="50" t="s">
        <v>7</v>
      </c>
      <c r="L59" s="50" t="s">
        <v>247</v>
      </c>
      <c r="M59" s="50" t="s">
        <v>275</v>
      </c>
      <c r="N59" s="51" t="s">
        <v>274</v>
      </c>
      <c r="O59" s="92" t="s">
        <v>246</v>
      </c>
      <c r="P59" s="93"/>
      <c r="Q59" s="92" t="s">
        <v>242</v>
      </c>
      <c r="R59" s="92" t="s">
        <v>338</v>
      </c>
      <c r="S59" s="318" t="s">
        <v>339</v>
      </c>
      <c r="T59" s="319"/>
      <c r="U59" s="319"/>
      <c r="V59" s="319"/>
    </row>
    <row r="60" spans="1:22" s="91" customFormat="1" ht="15" customHeight="1" thickBot="1" x14ac:dyDescent="0.25">
      <c r="A60" s="7"/>
      <c r="B60" s="73">
        <v>99</v>
      </c>
      <c r="C60" s="73" t="s">
        <v>457</v>
      </c>
      <c r="D60" s="74" t="s">
        <v>216</v>
      </c>
      <c r="E60" s="74" t="s">
        <v>458</v>
      </c>
      <c r="F60" s="74">
        <v>218</v>
      </c>
      <c r="G60" s="74">
        <v>29585</v>
      </c>
      <c r="H60" s="75">
        <v>73987</v>
      </c>
      <c r="I60" s="75">
        <v>8796</v>
      </c>
      <c r="J60" s="75" t="s">
        <v>460</v>
      </c>
      <c r="K60" s="75" t="s">
        <v>7</v>
      </c>
      <c r="L60" s="75" t="s">
        <v>247</v>
      </c>
      <c r="M60" s="76" t="s">
        <v>459</v>
      </c>
      <c r="N60" s="76" t="s">
        <v>461</v>
      </c>
      <c r="O60" s="42" t="s">
        <v>246</v>
      </c>
      <c r="P60" s="43"/>
      <c r="Q60" s="42" t="s">
        <v>507</v>
      </c>
      <c r="R60" s="42" t="s">
        <v>336</v>
      </c>
      <c r="S60" s="307" t="s">
        <v>509</v>
      </c>
      <c r="T60" s="308"/>
      <c r="U60" s="308"/>
      <c r="V60" s="308"/>
    </row>
    <row r="61" spans="1:22" s="91" customFormat="1" ht="15" customHeight="1" thickBot="1" x14ac:dyDescent="0.3">
      <c r="B61" s="44"/>
      <c r="C61" s="45"/>
      <c r="D61" s="45"/>
      <c r="E61" s="45"/>
      <c r="F61" s="45"/>
      <c r="G61" s="45"/>
      <c r="H61" s="45"/>
      <c r="I61" s="45"/>
      <c r="J61" s="45"/>
      <c r="K61" s="45"/>
      <c r="L61" s="45"/>
      <c r="M61" s="45"/>
      <c r="N61" s="45"/>
      <c r="O61" s="45"/>
      <c r="P61" s="37" t="s">
        <v>346</v>
      </c>
      <c r="Q61" s="45"/>
      <c r="R61" s="45"/>
      <c r="S61" s="45"/>
      <c r="T61" s="45"/>
      <c r="U61" s="45"/>
      <c r="V61" s="45"/>
    </row>
    <row r="62" spans="1:22" s="7" customFormat="1" ht="15" customHeight="1" thickBot="1" x14ac:dyDescent="0.25">
      <c r="A62" s="91"/>
      <c r="B62" s="9">
        <v>51</v>
      </c>
      <c r="C62" s="9" t="s">
        <v>63</v>
      </c>
      <c r="D62" s="3" t="s">
        <v>68</v>
      </c>
      <c r="E62" s="3" t="s">
        <v>65</v>
      </c>
      <c r="F62" s="3"/>
      <c r="G62" s="3">
        <v>36013</v>
      </c>
      <c r="H62" s="5">
        <v>32211</v>
      </c>
      <c r="I62" s="5">
        <v>4212</v>
      </c>
      <c r="J62" s="5" t="s">
        <v>67</v>
      </c>
      <c r="K62" s="5"/>
      <c r="L62" s="5"/>
      <c r="M62" s="5" t="s">
        <v>64</v>
      </c>
      <c r="N62" s="14" t="s">
        <v>66</v>
      </c>
      <c r="O62" s="46" t="s">
        <v>245</v>
      </c>
      <c r="P62" s="47" t="s">
        <v>427</v>
      </c>
      <c r="Q62" s="46" t="s">
        <v>401</v>
      </c>
      <c r="R62" s="46"/>
      <c r="S62" s="15"/>
      <c r="T62" s="13"/>
      <c r="U62" s="25"/>
      <c r="V62" s="15" t="s">
        <v>69</v>
      </c>
    </row>
    <row r="63" spans="1:22" ht="13.5" thickBot="1" x14ac:dyDescent="0.25">
      <c r="A63" s="91"/>
      <c r="B63" s="80">
        <v>90</v>
      </c>
      <c r="C63" s="73" t="s">
        <v>400</v>
      </c>
      <c r="D63" s="81" t="s">
        <v>68</v>
      </c>
      <c r="E63" s="81" t="s">
        <v>65</v>
      </c>
      <c r="F63" s="81"/>
      <c r="G63" s="81">
        <v>36013</v>
      </c>
      <c r="H63" s="79">
        <v>44528</v>
      </c>
      <c r="I63" s="79">
        <v>5697</v>
      </c>
      <c r="J63" s="79" t="s">
        <v>67</v>
      </c>
      <c r="K63" s="75" t="s">
        <v>258</v>
      </c>
      <c r="L63" s="75" t="s">
        <v>247</v>
      </c>
      <c r="M63" s="79" t="s">
        <v>64</v>
      </c>
      <c r="N63" s="82" t="s">
        <v>66</v>
      </c>
      <c r="O63" s="42" t="s">
        <v>246</v>
      </c>
      <c r="P63" s="43" t="s">
        <v>427</v>
      </c>
      <c r="Q63" s="42" t="s">
        <v>401</v>
      </c>
      <c r="R63" s="42" t="s">
        <v>336</v>
      </c>
      <c r="S63" s="307" t="s">
        <v>508</v>
      </c>
      <c r="T63" s="308"/>
      <c r="U63" s="308"/>
      <c r="V63" s="308"/>
    </row>
    <row r="64" spans="1:22" ht="16.5" thickBot="1" x14ac:dyDescent="0.3">
      <c r="A64" s="91"/>
      <c r="B64" s="44"/>
      <c r="C64" s="45"/>
      <c r="D64" s="45"/>
      <c r="E64" s="45"/>
      <c r="F64" s="45"/>
      <c r="G64" s="45"/>
      <c r="H64" s="45"/>
      <c r="I64" s="45"/>
      <c r="J64" s="45"/>
      <c r="K64" s="45"/>
      <c r="L64" s="45"/>
      <c r="M64" s="45"/>
      <c r="N64" s="45"/>
      <c r="O64" s="45"/>
      <c r="P64" s="37" t="s">
        <v>347</v>
      </c>
      <c r="Q64" s="45"/>
      <c r="R64" s="45"/>
      <c r="S64" s="45"/>
      <c r="T64" s="45"/>
      <c r="U64" s="45"/>
      <c r="V64" s="45"/>
    </row>
    <row r="65" spans="1:22" ht="13.5" thickBot="1" x14ac:dyDescent="0.25">
      <c r="A65" s="7"/>
      <c r="B65" s="30">
        <v>18</v>
      </c>
      <c r="C65" s="30" t="s">
        <v>173</v>
      </c>
      <c r="D65" s="31" t="s">
        <v>68</v>
      </c>
      <c r="E65" s="31" t="s">
        <v>174</v>
      </c>
      <c r="F65" s="31"/>
      <c r="G65" s="31">
        <v>32724</v>
      </c>
      <c r="H65" s="32">
        <v>42026</v>
      </c>
      <c r="I65" s="32">
        <v>4574</v>
      </c>
      <c r="J65" s="32" t="s">
        <v>175</v>
      </c>
      <c r="K65" s="32"/>
      <c r="L65" s="32"/>
      <c r="M65" s="32" t="s">
        <v>64</v>
      </c>
      <c r="N65" s="33" t="s">
        <v>176</v>
      </c>
      <c r="O65" s="13" t="s">
        <v>246</v>
      </c>
      <c r="P65" s="15" t="s">
        <v>247</v>
      </c>
      <c r="Q65" s="13" t="s">
        <v>241</v>
      </c>
      <c r="R65" s="13"/>
      <c r="S65" s="15"/>
      <c r="T65" s="13"/>
      <c r="U65" s="25"/>
      <c r="V65" s="15" t="s">
        <v>264</v>
      </c>
    </row>
    <row r="76" spans="1:22" x14ac:dyDescent="0.2">
      <c r="S76" s="91">
        <f>0.087/365</f>
        <v>2.3835616438356162E-4</v>
      </c>
      <c r="T76" s="91">
        <f>S76*1000</f>
        <v>0.23835616438356161</v>
      </c>
      <c r="U76" s="91">
        <f>T76*1000</f>
        <v>238.35616438356161</v>
      </c>
    </row>
    <row r="77" spans="1:22" x14ac:dyDescent="0.2">
      <c r="S77" s="91">
        <f>3/1000</f>
        <v>3.0000000000000001E-3</v>
      </c>
    </row>
  </sheetData>
  <mergeCells count="54">
    <mergeCell ref="A2:V2"/>
    <mergeCell ref="A3:V3"/>
    <mergeCell ref="P10:V10"/>
    <mergeCell ref="A14:V14"/>
    <mergeCell ref="A11:V11"/>
    <mergeCell ref="P5:V5"/>
    <mergeCell ref="P9:V9"/>
    <mergeCell ref="P8:V8"/>
    <mergeCell ref="P6:V6"/>
    <mergeCell ref="P7:V7"/>
    <mergeCell ref="P12:V12"/>
    <mergeCell ref="P13:V13"/>
    <mergeCell ref="P25:V25"/>
    <mergeCell ref="A21:V21"/>
    <mergeCell ref="P22:V22"/>
    <mergeCell ref="P18:V18"/>
    <mergeCell ref="A4:V4"/>
    <mergeCell ref="B15:V15"/>
    <mergeCell ref="P16:V16"/>
    <mergeCell ref="P17:V17"/>
    <mergeCell ref="A23:V23"/>
    <mergeCell ref="P24:V24"/>
    <mergeCell ref="C50:V50"/>
    <mergeCell ref="S44:V44"/>
    <mergeCell ref="P19:V19"/>
    <mergeCell ref="P28:V28"/>
    <mergeCell ref="A27:V27"/>
    <mergeCell ref="P29:V29"/>
    <mergeCell ref="D29:N29"/>
    <mergeCell ref="A30:V30"/>
    <mergeCell ref="A39:V39"/>
    <mergeCell ref="P31:V31"/>
    <mergeCell ref="P32:V32"/>
    <mergeCell ref="S34:V34"/>
    <mergeCell ref="S35:V35"/>
    <mergeCell ref="S36:V36"/>
    <mergeCell ref="P20:V20"/>
    <mergeCell ref="P26:V26"/>
    <mergeCell ref="S63:V63"/>
    <mergeCell ref="S40:V40"/>
    <mergeCell ref="S41:V41"/>
    <mergeCell ref="S42:V42"/>
    <mergeCell ref="A45:V45"/>
    <mergeCell ref="A46:V46"/>
    <mergeCell ref="A47:V47"/>
    <mergeCell ref="P51:V51"/>
    <mergeCell ref="P52:V52"/>
    <mergeCell ref="P48:V48"/>
    <mergeCell ref="S57:V57"/>
    <mergeCell ref="S58:V58"/>
    <mergeCell ref="P49:V49"/>
    <mergeCell ref="S59:V59"/>
    <mergeCell ref="S60:V60"/>
    <mergeCell ref="B49:B50"/>
  </mergeCells>
  <printOptions gridLines="1"/>
  <pageMargins left="0.1" right="0.1" top="0.1" bottom="0.1" header="0.3" footer="0.3"/>
  <pageSetup scale="40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2"/>
  <sheetViews>
    <sheetView workbookViewId="0">
      <selection activeCell="L24" sqref="L24"/>
    </sheetView>
  </sheetViews>
  <sheetFormatPr defaultRowHeight="12.75" x14ac:dyDescent="0.2"/>
  <cols>
    <col min="1" max="1" width="4" style="91" bestFit="1" customWidth="1"/>
    <col min="2" max="2" width="6.5703125" style="91" bestFit="1" customWidth="1"/>
    <col min="3" max="3" width="4" style="91" bestFit="1" customWidth="1"/>
    <col min="4" max="4" width="5" style="91" bestFit="1" customWidth="1"/>
    <col min="5" max="5" width="4.85546875" style="91" bestFit="1" customWidth="1"/>
    <col min="6" max="6" width="4.140625" style="91" bestFit="1" customWidth="1"/>
    <col min="7" max="7" width="4.140625" style="91" customWidth="1"/>
    <col min="8" max="9" width="3" style="91" bestFit="1" customWidth="1"/>
    <col min="10" max="10" width="3.140625" style="91" customWidth="1"/>
    <col min="11" max="16384" width="9.140625" style="91"/>
  </cols>
  <sheetData>
    <row r="1" spans="1:10" x14ac:dyDescent="0.2">
      <c r="A1" s="91" t="s">
        <v>4</v>
      </c>
      <c r="B1" s="91" t="s">
        <v>8</v>
      </c>
      <c r="C1" s="91" t="s">
        <v>898</v>
      </c>
      <c r="D1" s="91" t="s">
        <v>635</v>
      </c>
      <c r="E1" s="91" t="s">
        <v>899</v>
      </c>
      <c r="F1" s="91" t="s">
        <v>900</v>
      </c>
      <c r="G1" s="91" t="s">
        <v>902</v>
      </c>
      <c r="H1" s="91" t="s">
        <v>718</v>
      </c>
      <c r="I1" s="91" t="s">
        <v>904</v>
      </c>
      <c r="J1" s="91" t="s">
        <v>905</v>
      </c>
    </row>
    <row r="2" spans="1:10" x14ac:dyDescent="0.2">
      <c r="A2" s="91">
        <v>112</v>
      </c>
      <c r="B2" s="91" t="s">
        <v>906</v>
      </c>
      <c r="C2" s="91">
        <v>757</v>
      </c>
      <c r="D2" s="91">
        <v>200</v>
      </c>
      <c r="E2" s="91" t="s">
        <v>15</v>
      </c>
      <c r="F2" s="91" t="s">
        <v>901</v>
      </c>
      <c r="G2" s="91" t="s">
        <v>903</v>
      </c>
      <c r="H2" s="91">
        <v>1</v>
      </c>
      <c r="I2" s="91">
        <v>1</v>
      </c>
      <c r="J2" s="91">
        <v>1</v>
      </c>
    </row>
  </sheetData>
  <printOptions gridLines="1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2"/>
  <sheetViews>
    <sheetView zoomScale="160" zoomScaleNormal="160" workbookViewId="0">
      <selection activeCell="D9" sqref="D9"/>
    </sheetView>
  </sheetViews>
  <sheetFormatPr defaultRowHeight="12.75" x14ac:dyDescent="0.2"/>
  <cols>
    <col min="1" max="1" width="3.42578125" style="91" customWidth="1"/>
    <col min="2" max="2" width="15.5703125" style="91" bestFit="1" customWidth="1"/>
    <col min="3" max="3" width="14.5703125" style="91" bestFit="1" customWidth="1"/>
    <col min="4" max="4" width="6" style="91" bestFit="1" customWidth="1"/>
    <col min="5" max="5" width="9" style="91" customWidth="1"/>
    <col min="6" max="6" width="4.5703125" style="91" bestFit="1" customWidth="1"/>
    <col min="7" max="7" width="6" style="91" bestFit="1" customWidth="1"/>
    <col min="8" max="8" width="13.5703125" style="91" bestFit="1" customWidth="1"/>
    <col min="9" max="9" width="18.140625" style="91" bestFit="1" customWidth="1"/>
    <col min="10" max="11" width="6.28515625" style="91" bestFit="1" customWidth="1"/>
    <col min="12" max="12" width="6" style="91" bestFit="1" customWidth="1"/>
    <col min="13" max="13" width="17" style="91" bestFit="1" customWidth="1"/>
    <col min="14" max="14" width="12" style="91" bestFit="1" customWidth="1"/>
    <col min="15" max="16384" width="9.140625" style="91"/>
  </cols>
  <sheetData>
    <row r="1" spans="1:14" x14ac:dyDescent="0.2">
      <c r="A1" s="91" t="s">
        <v>4</v>
      </c>
      <c r="B1" s="91" t="s">
        <v>910</v>
      </c>
      <c r="C1" s="91" t="s">
        <v>909</v>
      </c>
      <c r="D1" s="91" t="s">
        <v>924</v>
      </c>
      <c r="E1" s="91" t="s">
        <v>911</v>
      </c>
      <c r="F1" s="160" t="s">
        <v>925</v>
      </c>
      <c r="G1" s="160" t="s">
        <v>917</v>
      </c>
      <c r="H1" s="160" t="s">
        <v>918</v>
      </c>
      <c r="I1" s="160" t="s">
        <v>923</v>
      </c>
      <c r="J1" s="91" t="s">
        <v>926</v>
      </c>
      <c r="K1" s="91" t="s">
        <v>919</v>
      </c>
      <c r="L1" s="91" t="s">
        <v>920</v>
      </c>
      <c r="M1" s="91" t="s">
        <v>921</v>
      </c>
      <c r="N1" s="160" t="s">
        <v>927</v>
      </c>
    </row>
    <row r="2" spans="1:14" x14ac:dyDescent="0.2">
      <c r="A2" s="91">
        <v>1</v>
      </c>
      <c r="B2" s="91" t="s">
        <v>907</v>
      </c>
      <c r="C2" s="91" t="s">
        <v>908</v>
      </c>
      <c r="D2" s="91" t="s">
        <v>247</v>
      </c>
      <c r="E2" s="91">
        <v>1436.8</v>
      </c>
      <c r="F2" s="249" t="s">
        <v>914</v>
      </c>
      <c r="G2" s="91" t="s">
        <v>912</v>
      </c>
      <c r="H2" s="91" t="s">
        <v>916</v>
      </c>
      <c r="I2" s="91" t="s">
        <v>928</v>
      </c>
      <c r="J2" s="249" t="s">
        <v>915</v>
      </c>
      <c r="K2" s="91" t="s">
        <v>912</v>
      </c>
      <c r="L2" s="91">
        <v>7.0999999999999994E-2</v>
      </c>
      <c r="M2" s="91" t="s">
        <v>913</v>
      </c>
      <c r="N2" s="91" t="s">
        <v>922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"/>
  <sheetViews>
    <sheetView workbookViewId="0">
      <selection activeCell="C12" sqref="C12"/>
    </sheetView>
  </sheetViews>
  <sheetFormatPr defaultRowHeight="12.75" x14ac:dyDescent="0.2"/>
  <cols>
    <col min="1" max="1" width="13.5703125" style="91" bestFit="1" customWidth="1"/>
    <col min="2" max="2" width="12" style="91" bestFit="1" customWidth="1"/>
    <col min="3" max="16384" width="9.140625" style="91"/>
  </cols>
  <sheetData>
    <row r="1" spans="1:6" x14ac:dyDescent="0.2">
      <c r="B1" s="91" t="s">
        <v>929</v>
      </c>
      <c r="C1" s="91" t="s">
        <v>930</v>
      </c>
      <c r="D1" s="91" t="s">
        <v>931</v>
      </c>
      <c r="E1" s="91" t="s">
        <v>932</v>
      </c>
      <c r="F1" s="91" t="s">
        <v>933</v>
      </c>
    </row>
    <row r="2" spans="1:6" x14ac:dyDescent="0.2">
      <c r="A2" s="91" t="s">
        <v>916</v>
      </c>
      <c r="B2" s="91" t="s">
        <v>934</v>
      </c>
      <c r="C2" s="91">
        <v>1.3</v>
      </c>
      <c r="D2" s="91">
        <v>1.4</v>
      </c>
      <c r="E2" s="91">
        <v>0.08</v>
      </c>
      <c r="F2" s="91">
        <v>0.19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4B9BDCA331C5946BBFBBAC4127A0CB1" ma:contentTypeVersion="0" ma:contentTypeDescription="Create a new document." ma:contentTypeScope="" ma:versionID="1c3d2f008eecc964f106fef05628bdf6">
  <xsd:schema xmlns:xsd="http://www.w3.org/2001/XMLSchema" xmlns:p="http://schemas.microsoft.com/office/2006/metadata/properties" targetNamespace="http://schemas.microsoft.com/office/2006/metadata/properties" ma:root="true" ma:fieldsID="4aeb20c0e3442673af7ee10786458764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89FED77F-202E-4CB5-8CFA-8E61D0288D8A}">
  <ds:schemaRefs>
    <ds:schemaRef ds:uri="http://purl.org/dc/terms/"/>
    <ds:schemaRef ds:uri="http://schemas.openxmlformats.org/package/2006/metadata/core-properties"/>
    <ds:schemaRef ds:uri="http://purl.org/dc/dcmitype/"/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EEA9B9AF-B627-41C1-803B-D645999E2DE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3.xml><?xml version="1.0" encoding="utf-8"?>
<ds:datastoreItem xmlns:ds="http://schemas.openxmlformats.org/officeDocument/2006/customXml" ds:itemID="{EF67215B-BD36-4424-AA63-A7EEAAF2CD97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pac</vt:lpstr>
      <vt:lpstr>st1</vt:lpstr>
      <vt:lpstr>st2</vt:lpstr>
      <vt:lpstr>3</vt:lpstr>
      <vt:lpstr>4</vt:lpstr>
      <vt:lpstr>5</vt:lpstr>
      <vt:lpstr>new</vt:lpstr>
      <vt:lpstr>s1</vt:lpstr>
      <vt:lpstr>profile</vt:lpstr>
    </vt:vector>
  </TitlesOfParts>
  <Company>The Boeing Company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Doors Priority and DTA listing</dc:title>
  <dc:creator>Max Whittlesey</dc:creator>
  <cp:lastModifiedBy>Klimovskikh, Alexander V</cp:lastModifiedBy>
  <cp:lastPrinted>2020-08-20T11:06:06Z</cp:lastPrinted>
  <dcterms:created xsi:type="dcterms:W3CDTF">2008-12-16T16:05:27Z</dcterms:created>
  <dcterms:modified xsi:type="dcterms:W3CDTF">2020-08-21T11:15:36Z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tate">
    <vt:lpwstr>In-Work</vt:lpwstr>
  </property>
  <property fmtid="{D5CDD505-2E9C-101B-9397-08002B2CF9AE}" pid="3" name="ContentType">
    <vt:lpwstr>Document</vt:lpwstr>
  </property>
  <property fmtid="{D5CDD505-2E9C-101B-9397-08002B2CF9AE}" pid="4" name="ContentTypeId">
    <vt:lpwstr>0x01010024B9BDCA331C5946BBFBBAC4127A0CB1</vt:lpwstr>
  </property>
</Properties>
</file>